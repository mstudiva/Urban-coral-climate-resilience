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michael.studivan/Downloads/"/>
    </mc:Choice>
  </mc:AlternateContent>
  <xr:revisionPtr revIDLastSave="0" documentId="13_ncr:1_{7C60C5B5-EBDC-6A4D-8501-370D7C8D9F0B}" xr6:coauthVersionLast="47" xr6:coauthVersionMax="47" xr10:uidLastSave="{00000000-0000-0000-0000-000000000000}"/>
  <bookViews>
    <workbookView xWindow="5580" yWindow="2380" windowWidth="27640" windowHeight="16680" xr2:uid="{89958DAA-DB75-EA47-B90E-BF0E4036EE37}"/>
  </bookViews>
  <sheets>
    <sheet name="Sheet1" sheetId="1" r:id="rId1"/>
  </sheets>
  <calcPr calcId="181029"/>
  <pivotCaches>
    <pivotCache cacheId="38" r:id="rId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82" i="1" l="1"/>
  <c r="F3381" i="1"/>
  <c r="F3380" i="1"/>
  <c r="F3379" i="1"/>
  <c r="F3378" i="1"/>
  <c r="F3377" i="1"/>
  <c r="F3376" i="1"/>
  <c r="F3375" i="1"/>
  <c r="F3374" i="1"/>
  <c r="F3373" i="1"/>
  <c r="F3372" i="1"/>
  <c r="F3371" i="1"/>
  <c r="F3370" i="1"/>
  <c r="F3369" i="1"/>
  <c r="F3368" i="1"/>
  <c r="F3367" i="1"/>
  <c r="F3366" i="1"/>
  <c r="F3365" i="1"/>
  <c r="F3364" i="1"/>
  <c r="F3363" i="1"/>
  <c r="F3362" i="1"/>
  <c r="F3361" i="1"/>
  <c r="F3360" i="1"/>
  <c r="F3359" i="1"/>
  <c r="F3358" i="1"/>
  <c r="F3357" i="1"/>
  <c r="F3356" i="1"/>
  <c r="F3355" i="1"/>
  <c r="F3354" i="1"/>
  <c r="F3353" i="1"/>
  <c r="F3352" i="1"/>
  <c r="F3351" i="1"/>
  <c r="F3350" i="1"/>
  <c r="F3349" i="1"/>
  <c r="F3348" i="1"/>
  <c r="F3347" i="1"/>
  <c r="F3346" i="1"/>
  <c r="F3345" i="1"/>
  <c r="F3344" i="1"/>
  <c r="F3343" i="1"/>
  <c r="F3342" i="1"/>
  <c r="F3341" i="1"/>
  <c r="F3340" i="1"/>
  <c r="F3339" i="1"/>
  <c r="F3338" i="1"/>
  <c r="F3337" i="1"/>
  <c r="F3336" i="1"/>
  <c r="F3335" i="1"/>
  <c r="F3334" i="1"/>
  <c r="F3333" i="1"/>
  <c r="F3332" i="1"/>
  <c r="F3331" i="1"/>
  <c r="F3330" i="1"/>
  <c r="F3329" i="1"/>
  <c r="F3328" i="1"/>
  <c r="F3327" i="1"/>
  <c r="F3326" i="1"/>
  <c r="F3325" i="1"/>
  <c r="F3324" i="1"/>
  <c r="F3323" i="1"/>
  <c r="F3322" i="1"/>
  <c r="F3321" i="1"/>
  <c r="F3320" i="1"/>
  <c r="F3319" i="1"/>
  <c r="F3318" i="1"/>
  <c r="F3317" i="1"/>
  <c r="F3316" i="1"/>
  <c r="F3315" i="1"/>
  <c r="F3314" i="1"/>
  <c r="F3313" i="1"/>
  <c r="F3312" i="1"/>
  <c r="F3311" i="1"/>
  <c r="F3310" i="1"/>
  <c r="F3309" i="1"/>
  <c r="F3308" i="1"/>
  <c r="F3307" i="1"/>
  <c r="F3306" i="1"/>
  <c r="F3305" i="1"/>
  <c r="F3304" i="1"/>
  <c r="F3303" i="1"/>
  <c r="F3302" i="1"/>
  <c r="F3301" i="1"/>
  <c r="F3300" i="1"/>
  <c r="F3299" i="1"/>
  <c r="F3298" i="1"/>
  <c r="F3297" i="1"/>
  <c r="F3296" i="1"/>
  <c r="F3295" i="1"/>
  <c r="F3294" i="1"/>
  <c r="F3293" i="1"/>
  <c r="F3292" i="1"/>
  <c r="F3291" i="1"/>
  <c r="F3290" i="1"/>
  <c r="F3289" i="1"/>
  <c r="F3288" i="1"/>
  <c r="F3287" i="1"/>
  <c r="F3286" i="1"/>
  <c r="F3285" i="1"/>
  <c r="F3284" i="1"/>
  <c r="F3283" i="1"/>
  <c r="F3282" i="1"/>
  <c r="F3281" i="1"/>
  <c r="F3280" i="1"/>
  <c r="F3279" i="1"/>
  <c r="F3278" i="1"/>
  <c r="F3277" i="1"/>
  <c r="F3276" i="1"/>
  <c r="F3275" i="1"/>
  <c r="F3274" i="1"/>
  <c r="F3273" i="1"/>
  <c r="F3272" i="1"/>
  <c r="F3271" i="1"/>
  <c r="F3270" i="1"/>
  <c r="F3269" i="1"/>
  <c r="F3268" i="1"/>
  <c r="F3267" i="1"/>
  <c r="F3266" i="1"/>
  <c r="F3265" i="1"/>
  <c r="F3264" i="1"/>
  <c r="F3263" i="1"/>
  <c r="F3262" i="1"/>
  <c r="F3261" i="1"/>
  <c r="F3260" i="1"/>
  <c r="F3259" i="1"/>
  <c r="F3258" i="1"/>
  <c r="F3257" i="1"/>
  <c r="F3256" i="1"/>
  <c r="F3255" i="1"/>
  <c r="F3254" i="1"/>
  <c r="F3253" i="1"/>
  <c r="F3252" i="1"/>
  <c r="F3251" i="1"/>
  <c r="F3250" i="1"/>
  <c r="F3249" i="1"/>
  <c r="F3248" i="1"/>
  <c r="F3247" i="1"/>
  <c r="F3246" i="1"/>
  <c r="F3245" i="1"/>
  <c r="F3244" i="1"/>
  <c r="F3243" i="1"/>
  <c r="F3242" i="1"/>
  <c r="F3241" i="1"/>
  <c r="F3240" i="1"/>
  <c r="F3239" i="1"/>
  <c r="F3238" i="1"/>
  <c r="F3237" i="1"/>
  <c r="F3236" i="1"/>
  <c r="F3235" i="1"/>
  <c r="F3234" i="1"/>
  <c r="F3233" i="1"/>
  <c r="F3232" i="1"/>
  <c r="F3231" i="1"/>
  <c r="F3230" i="1"/>
  <c r="F3229" i="1"/>
  <c r="F3228" i="1"/>
  <c r="F3227" i="1"/>
  <c r="F3226" i="1"/>
  <c r="F3225" i="1"/>
  <c r="F3224" i="1"/>
  <c r="F3223" i="1"/>
  <c r="F3222" i="1"/>
  <c r="F3221" i="1"/>
  <c r="F3220" i="1"/>
  <c r="F3219" i="1"/>
  <c r="F3218" i="1"/>
  <c r="F3217" i="1"/>
  <c r="F3216" i="1"/>
  <c r="F3215" i="1"/>
  <c r="F3214" i="1"/>
  <c r="F3213" i="1"/>
  <c r="F3212" i="1"/>
  <c r="F3211" i="1"/>
  <c r="F3210" i="1"/>
  <c r="F3209" i="1"/>
  <c r="F3208" i="1"/>
  <c r="F3207" i="1"/>
  <c r="F3206" i="1"/>
  <c r="F3205" i="1"/>
  <c r="F3204" i="1"/>
  <c r="F3203" i="1"/>
  <c r="F3202" i="1"/>
  <c r="F3201" i="1"/>
  <c r="F3200" i="1"/>
  <c r="F3199" i="1"/>
  <c r="F3198" i="1"/>
  <c r="F3197" i="1"/>
  <c r="F3196" i="1"/>
  <c r="F3195" i="1"/>
  <c r="F3194" i="1"/>
  <c r="F3193" i="1"/>
  <c r="F3192" i="1"/>
  <c r="F3191" i="1"/>
  <c r="F3190" i="1"/>
  <c r="F3189" i="1"/>
  <c r="F3188" i="1"/>
  <c r="F3187" i="1"/>
  <c r="F3186" i="1"/>
  <c r="F3185" i="1"/>
  <c r="F3184" i="1"/>
  <c r="F3183" i="1"/>
  <c r="F3182" i="1"/>
  <c r="F3181" i="1"/>
  <c r="F3180" i="1"/>
  <c r="F3179" i="1"/>
  <c r="F3178" i="1"/>
  <c r="F3177" i="1"/>
  <c r="F3176" i="1"/>
  <c r="F3175" i="1"/>
  <c r="F3174" i="1"/>
  <c r="F3173" i="1"/>
  <c r="F3172" i="1"/>
  <c r="F3171" i="1"/>
  <c r="F3170" i="1"/>
  <c r="F3169" i="1"/>
  <c r="F3168" i="1"/>
  <c r="F3167" i="1"/>
  <c r="F3166" i="1"/>
  <c r="F3165" i="1"/>
  <c r="F3164" i="1"/>
  <c r="F3163" i="1"/>
  <c r="F3162" i="1"/>
  <c r="F3161" i="1"/>
  <c r="F3160" i="1"/>
  <c r="F3159" i="1"/>
  <c r="F3158" i="1"/>
  <c r="F3157" i="1"/>
  <c r="F3156" i="1"/>
  <c r="F3155" i="1"/>
  <c r="F3154" i="1"/>
  <c r="F3153" i="1"/>
  <c r="F3152" i="1"/>
  <c r="F3151" i="1"/>
  <c r="F3150" i="1"/>
  <c r="F3149" i="1"/>
  <c r="F3148" i="1"/>
  <c r="F3147" i="1"/>
  <c r="F3146" i="1"/>
  <c r="F3145" i="1"/>
  <c r="F3144" i="1"/>
  <c r="F3143" i="1"/>
  <c r="F3142" i="1"/>
  <c r="F3141" i="1"/>
  <c r="F3140" i="1"/>
  <c r="F3139" i="1"/>
  <c r="F3138" i="1"/>
  <c r="F3137" i="1"/>
  <c r="F3136" i="1"/>
  <c r="F3135" i="1"/>
  <c r="F3134" i="1"/>
  <c r="F3133" i="1"/>
  <c r="F3132" i="1"/>
  <c r="F3131" i="1"/>
  <c r="F3130" i="1"/>
  <c r="F3129" i="1"/>
  <c r="F3128" i="1"/>
  <c r="F3127" i="1"/>
  <c r="F3126" i="1"/>
  <c r="F3125" i="1"/>
  <c r="F3124" i="1"/>
  <c r="F3123" i="1"/>
  <c r="F3122" i="1"/>
  <c r="F3121" i="1"/>
  <c r="F3120" i="1"/>
  <c r="F3119" i="1"/>
  <c r="F3118" i="1"/>
  <c r="F3117" i="1"/>
  <c r="F3116" i="1"/>
  <c r="F3115" i="1"/>
  <c r="F3114" i="1"/>
  <c r="F3113" i="1"/>
  <c r="F3112" i="1"/>
  <c r="F3111" i="1"/>
  <c r="F3110" i="1"/>
  <c r="F3109" i="1"/>
  <c r="F3108" i="1"/>
  <c r="F3107" i="1"/>
  <c r="F3106" i="1"/>
  <c r="F3105" i="1"/>
  <c r="F3104" i="1"/>
  <c r="F3103" i="1"/>
  <c r="F3102" i="1"/>
  <c r="F3101" i="1"/>
  <c r="F3100" i="1"/>
  <c r="F3099" i="1"/>
  <c r="F3098" i="1"/>
  <c r="F3097" i="1"/>
  <c r="F3096" i="1"/>
  <c r="F3095" i="1"/>
  <c r="F3094" i="1"/>
  <c r="F3093" i="1"/>
  <c r="F3092" i="1"/>
  <c r="F3091" i="1"/>
  <c r="F3090" i="1"/>
  <c r="F3089" i="1"/>
  <c r="F3088" i="1"/>
  <c r="F3087" i="1"/>
  <c r="F3086" i="1"/>
  <c r="F3085" i="1"/>
  <c r="F3084" i="1"/>
  <c r="F3083" i="1"/>
  <c r="F3082" i="1"/>
  <c r="F3081" i="1"/>
  <c r="F3080" i="1"/>
  <c r="F3079" i="1"/>
  <c r="F3078" i="1"/>
  <c r="F3077" i="1"/>
  <c r="F3076" i="1"/>
  <c r="F3075" i="1"/>
  <c r="F3074" i="1"/>
  <c r="F3073" i="1"/>
  <c r="F3072" i="1"/>
  <c r="F3071" i="1"/>
  <c r="F3070" i="1"/>
  <c r="F3069" i="1"/>
  <c r="F3068" i="1"/>
  <c r="F3067" i="1"/>
  <c r="F3066" i="1"/>
  <c r="F3065" i="1"/>
  <c r="F3064" i="1"/>
  <c r="F3063" i="1"/>
  <c r="F3062" i="1"/>
  <c r="F3061" i="1"/>
  <c r="F3060" i="1"/>
  <c r="F3059" i="1"/>
  <c r="F3058" i="1"/>
  <c r="F3057" i="1"/>
  <c r="F3056" i="1"/>
  <c r="F3055" i="1"/>
  <c r="F3054" i="1"/>
  <c r="F3053" i="1"/>
  <c r="F3052" i="1"/>
  <c r="F3051" i="1"/>
  <c r="F3050" i="1"/>
  <c r="F3049" i="1"/>
  <c r="F3048" i="1"/>
  <c r="F3047" i="1"/>
  <c r="F3046" i="1"/>
  <c r="F3045" i="1"/>
  <c r="F3044" i="1"/>
  <c r="F3043" i="1"/>
  <c r="F3042" i="1"/>
  <c r="F3041" i="1"/>
  <c r="F3040" i="1"/>
  <c r="F3039" i="1"/>
  <c r="F3038" i="1"/>
  <c r="F3037" i="1"/>
  <c r="F3036" i="1"/>
  <c r="F3035" i="1"/>
  <c r="F3034" i="1"/>
  <c r="F3033" i="1"/>
  <c r="F3032" i="1"/>
  <c r="F3031" i="1"/>
  <c r="F3030" i="1"/>
  <c r="F3029" i="1"/>
  <c r="F3028" i="1"/>
  <c r="F3027" i="1"/>
  <c r="F3026" i="1"/>
  <c r="F3025" i="1"/>
  <c r="F3024" i="1"/>
  <c r="F3023" i="1"/>
  <c r="F3022" i="1"/>
  <c r="F3021" i="1"/>
  <c r="F3020" i="1"/>
  <c r="F3019" i="1"/>
  <c r="F3018" i="1"/>
  <c r="F3017" i="1"/>
  <c r="F3016" i="1"/>
  <c r="F3015" i="1"/>
  <c r="F3014" i="1"/>
  <c r="F3013" i="1"/>
  <c r="F3012" i="1"/>
  <c r="F3011" i="1"/>
  <c r="F3010" i="1"/>
  <c r="F3009" i="1"/>
  <c r="F3008" i="1"/>
  <c r="F3007" i="1"/>
  <c r="F3006" i="1"/>
  <c r="F3005" i="1"/>
  <c r="F3004" i="1"/>
  <c r="F3003" i="1"/>
  <c r="F3002" i="1"/>
  <c r="F3001" i="1"/>
  <c r="F3000" i="1"/>
  <c r="F2999" i="1"/>
  <c r="F2998" i="1"/>
  <c r="F2997" i="1"/>
  <c r="F2996" i="1"/>
  <c r="F2995" i="1"/>
  <c r="F2994" i="1"/>
  <c r="F2993" i="1"/>
  <c r="F2992" i="1"/>
  <c r="F2991" i="1"/>
  <c r="F2990" i="1"/>
  <c r="F2989" i="1"/>
  <c r="F2988" i="1"/>
  <c r="F2987" i="1"/>
  <c r="F2986" i="1"/>
  <c r="F2985" i="1"/>
  <c r="F2984" i="1"/>
  <c r="F2983" i="1"/>
  <c r="F2982" i="1"/>
  <c r="F2981" i="1"/>
  <c r="F2980" i="1"/>
  <c r="F2979" i="1"/>
  <c r="F2978" i="1"/>
  <c r="F2977" i="1"/>
  <c r="F2976" i="1"/>
  <c r="F2975" i="1"/>
  <c r="F2974" i="1"/>
  <c r="F2973" i="1"/>
  <c r="F2972" i="1"/>
  <c r="F2971" i="1"/>
  <c r="F2970" i="1"/>
  <c r="F2969" i="1"/>
  <c r="F2968" i="1"/>
  <c r="F2967" i="1"/>
  <c r="F2966" i="1"/>
  <c r="F2965" i="1"/>
  <c r="F2964" i="1"/>
  <c r="F2963" i="1"/>
  <c r="F2962" i="1"/>
  <c r="F2961" i="1"/>
  <c r="F2960" i="1"/>
  <c r="F2959" i="1"/>
  <c r="F2958" i="1"/>
  <c r="F2957" i="1"/>
  <c r="F2956" i="1"/>
  <c r="F2955" i="1"/>
  <c r="F2954" i="1"/>
  <c r="F2953" i="1"/>
  <c r="F2952" i="1"/>
  <c r="F2951" i="1"/>
  <c r="F2950" i="1"/>
  <c r="F2949" i="1"/>
  <c r="F2948" i="1"/>
  <c r="F2947" i="1"/>
  <c r="F2946" i="1"/>
  <c r="F2945" i="1"/>
  <c r="F2944" i="1"/>
  <c r="F2943" i="1"/>
  <c r="F2942" i="1"/>
  <c r="F2941" i="1"/>
  <c r="F2940" i="1"/>
  <c r="F2939" i="1"/>
  <c r="F2938" i="1"/>
  <c r="F2937" i="1"/>
  <c r="F2936" i="1"/>
  <c r="F2935" i="1"/>
  <c r="F2934" i="1"/>
  <c r="F2933" i="1"/>
  <c r="F2932" i="1"/>
  <c r="F2931" i="1"/>
  <c r="F2930" i="1"/>
  <c r="F2929" i="1"/>
  <c r="F2928" i="1"/>
  <c r="F2927" i="1"/>
  <c r="F2926" i="1"/>
  <c r="F2925" i="1"/>
  <c r="F2924" i="1"/>
  <c r="F2923" i="1"/>
  <c r="F2922" i="1"/>
  <c r="F2921" i="1"/>
  <c r="F2920" i="1"/>
  <c r="F2919" i="1"/>
  <c r="F2918" i="1"/>
  <c r="F2917" i="1"/>
  <c r="F2916" i="1"/>
  <c r="F2915" i="1"/>
  <c r="F2914" i="1"/>
  <c r="F2913" i="1"/>
  <c r="F2912" i="1"/>
  <c r="F2911" i="1"/>
  <c r="F2910" i="1"/>
  <c r="F2909" i="1"/>
  <c r="F2908" i="1"/>
  <c r="F2907" i="1"/>
  <c r="F2906" i="1"/>
  <c r="F2905" i="1"/>
  <c r="F2904" i="1"/>
  <c r="F2903" i="1"/>
  <c r="F2902" i="1"/>
  <c r="F2901" i="1"/>
  <c r="F2900" i="1"/>
  <c r="F2899" i="1"/>
  <c r="F2898" i="1"/>
  <c r="F2897" i="1"/>
  <c r="F2896" i="1"/>
  <c r="F2895" i="1"/>
  <c r="F2894" i="1"/>
  <c r="F2893" i="1"/>
  <c r="F2892" i="1"/>
  <c r="F2891" i="1"/>
  <c r="F2890" i="1"/>
  <c r="F2889" i="1"/>
  <c r="F2888" i="1"/>
  <c r="F2887" i="1"/>
  <c r="F2886" i="1"/>
  <c r="F2885" i="1"/>
  <c r="F2884" i="1"/>
  <c r="F2883" i="1"/>
  <c r="F2882" i="1"/>
  <c r="F2881" i="1"/>
  <c r="F2880" i="1"/>
  <c r="F2879" i="1"/>
  <c r="F2878" i="1"/>
  <c r="F2877" i="1"/>
  <c r="F2876" i="1"/>
  <c r="F2875" i="1"/>
  <c r="F2874" i="1"/>
  <c r="F2873" i="1"/>
  <c r="F2872" i="1"/>
  <c r="F2871" i="1"/>
  <c r="F2870" i="1"/>
  <c r="F2869" i="1"/>
  <c r="F2868" i="1"/>
  <c r="F2867" i="1"/>
  <c r="F2866" i="1"/>
  <c r="F2865" i="1"/>
  <c r="F2864" i="1"/>
  <c r="F2863" i="1"/>
  <c r="F2862" i="1"/>
  <c r="F2861" i="1"/>
  <c r="F2860" i="1"/>
  <c r="F2859" i="1"/>
  <c r="F2858" i="1"/>
  <c r="F2857" i="1"/>
  <c r="F2856" i="1"/>
  <c r="F2855" i="1"/>
  <c r="F2854" i="1"/>
  <c r="F2853" i="1"/>
  <c r="F2852" i="1"/>
  <c r="F2851" i="1"/>
  <c r="F2850" i="1"/>
  <c r="F2849" i="1"/>
  <c r="F2848" i="1"/>
  <c r="F2847" i="1"/>
  <c r="F2846" i="1"/>
  <c r="F2845" i="1"/>
  <c r="F2844" i="1"/>
  <c r="F2843" i="1"/>
  <c r="F2842" i="1"/>
  <c r="F2841" i="1"/>
  <c r="F2840" i="1"/>
  <c r="F2839" i="1"/>
  <c r="F2838" i="1"/>
  <c r="F2837" i="1"/>
  <c r="F2836" i="1"/>
  <c r="F2835" i="1"/>
  <c r="F2834" i="1"/>
  <c r="F2833" i="1"/>
  <c r="F2832" i="1"/>
  <c r="F2831" i="1"/>
  <c r="F2830" i="1"/>
  <c r="F2829" i="1"/>
  <c r="F2828" i="1"/>
  <c r="F2827" i="1"/>
  <c r="F2826" i="1"/>
  <c r="F2825" i="1"/>
  <c r="F2824" i="1"/>
  <c r="F2823" i="1"/>
  <c r="F2822" i="1"/>
  <c r="F2821" i="1"/>
  <c r="F2820" i="1"/>
  <c r="F2819" i="1"/>
  <c r="F2818" i="1"/>
  <c r="F2817" i="1"/>
  <c r="F2816" i="1"/>
  <c r="F2815" i="1"/>
  <c r="F2814" i="1"/>
  <c r="F2813" i="1"/>
  <c r="F2812" i="1"/>
  <c r="F2811" i="1"/>
  <c r="F2810" i="1"/>
  <c r="F2809" i="1"/>
  <c r="F2808" i="1"/>
  <c r="F2807" i="1"/>
  <c r="F2806" i="1"/>
  <c r="F2805" i="1"/>
  <c r="F2804" i="1"/>
  <c r="F2803" i="1"/>
  <c r="F2802" i="1"/>
  <c r="F2801" i="1"/>
  <c r="F2800" i="1"/>
  <c r="F2799" i="1"/>
  <c r="F2798" i="1"/>
  <c r="F2797" i="1"/>
  <c r="F2796" i="1"/>
  <c r="F2795" i="1"/>
  <c r="F2794" i="1"/>
  <c r="F2793" i="1"/>
  <c r="F2792" i="1"/>
  <c r="F2791" i="1"/>
  <c r="F2790" i="1"/>
  <c r="F2789" i="1"/>
  <c r="F2788" i="1"/>
  <c r="F2787" i="1"/>
  <c r="F2786" i="1"/>
  <c r="F2785" i="1"/>
  <c r="F2784" i="1"/>
  <c r="F2783" i="1"/>
  <c r="F2782" i="1"/>
  <c r="F2781" i="1"/>
  <c r="F2780" i="1"/>
  <c r="F2779" i="1"/>
  <c r="F2778" i="1"/>
  <c r="F2777" i="1"/>
  <c r="F2776" i="1"/>
  <c r="F2775" i="1"/>
  <c r="F2774" i="1"/>
  <c r="F2773" i="1"/>
  <c r="F2772" i="1"/>
  <c r="F2771" i="1"/>
  <c r="F2770" i="1"/>
  <c r="F2769" i="1"/>
  <c r="F2768" i="1"/>
  <c r="F2767" i="1"/>
  <c r="F2766" i="1"/>
  <c r="F2765" i="1"/>
  <c r="F2764" i="1"/>
  <c r="F2763" i="1"/>
  <c r="F2762" i="1"/>
  <c r="F2761" i="1"/>
  <c r="F2760" i="1"/>
  <c r="F2759" i="1"/>
  <c r="F2758" i="1"/>
  <c r="F2757" i="1"/>
  <c r="F2756" i="1"/>
  <c r="F2755" i="1"/>
  <c r="F2754" i="1"/>
  <c r="F2753" i="1"/>
  <c r="F2752" i="1"/>
  <c r="F2751" i="1"/>
  <c r="F2750" i="1"/>
  <c r="F2749" i="1"/>
  <c r="F2748" i="1"/>
  <c r="F2747" i="1"/>
  <c r="F2746" i="1"/>
  <c r="F2745" i="1"/>
  <c r="F2744" i="1"/>
  <c r="F2743" i="1"/>
  <c r="F2742" i="1"/>
  <c r="F2741" i="1"/>
  <c r="F2740" i="1"/>
  <c r="F2739" i="1"/>
  <c r="F2738" i="1"/>
  <c r="F2737" i="1"/>
  <c r="F2736" i="1"/>
  <c r="F2735" i="1"/>
  <c r="F2734" i="1"/>
  <c r="F2733" i="1"/>
  <c r="F2732" i="1"/>
  <c r="F2731" i="1"/>
  <c r="F2730" i="1"/>
  <c r="F2729" i="1"/>
  <c r="F2728" i="1"/>
  <c r="F2727" i="1"/>
  <c r="F2726" i="1"/>
  <c r="F2725" i="1"/>
  <c r="F2724" i="1"/>
  <c r="F2723" i="1"/>
  <c r="F2722" i="1"/>
  <c r="F2721" i="1"/>
  <c r="F2720" i="1"/>
  <c r="F2719" i="1"/>
  <c r="F2718" i="1"/>
  <c r="F2717" i="1"/>
  <c r="F2716" i="1"/>
  <c r="F2715" i="1"/>
  <c r="F2714" i="1"/>
  <c r="F2713" i="1"/>
  <c r="F2712" i="1"/>
  <c r="F2711" i="1"/>
  <c r="F2710" i="1"/>
  <c r="F2709" i="1"/>
  <c r="F2708" i="1"/>
  <c r="F2707" i="1"/>
  <c r="F2706" i="1"/>
  <c r="F2705" i="1"/>
  <c r="F2704" i="1"/>
  <c r="F2703" i="1"/>
  <c r="F2702" i="1"/>
  <c r="F2701" i="1"/>
  <c r="F2700" i="1"/>
  <c r="F2699" i="1"/>
  <c r="F2698" i="1"/>
  <c r="F2697" i="1"/>
  <c r="F2696" i="1"/>
  <c r="F2695" i="1"/>
  <c r="F2694" i="1"/>
  <c r="F2693" i="1"/>
  <c r="F2692" i="1"/>
  <c r="F2691" i="1"/>
  <c r="F2690" i="1"/>
  <c r="F2689" i="1"/>
  <c r="F2688" i="1"/>
  <c r="F2687" i="1"/>
  <c r="F2686" i="1"/>
  <c r="F2685" i="1"/>
  <c r="F2684" i="1"/>
  <c r="F2683" i="1"/>
  <c r="F2682" i="1"/>
  <c r="F2681" i="1"/>
  <c r="F2680" i="1"/>
  <c r="F2679" i="1"/>
  <c r="F2678" i="1"/>
  <c r="F2677" i="1"/>
  <c r="F2676" i="1"/>
  <c r="F2675" i="1"/>
  <c r="F2674" i="1"/>
  <c r="F2673" i="1"/>
  <c r="F2672" i="1"/>
  <c r="F2671" i="1"/>
  <c r="F2670" i="1"/>
  <c r="F2669" i="1"/>
  <c r="F2668" i="1"/>
  <c r="F2667" i="1"/>
  <c r="F2666" i="1"/>
  <c r="F2665" i="1"/>
  <c r="F2664" i="1"/>
  <c r="F2663" i="1"/>
  <c r="F2662" i="1"/>
  <c r="F2661" i="1"/>
  <c r="F2660" i="1"/>
  <c r="F2659" i="1"/>
  <c r="F2658" i="1"/>
  <c r="F2657" i="1"/>
  <c r="F2656" i="1"/>
  <c r="F2655" i="1"/>
  <c r="F2654" i="1"/>
  <c r="F2653" i="1"/>
  <c r="F2652" i="1"/>
  <c r="F2651" i="1"/>
  <c r="F2650" i="1"/>
  <c r="F2649" i="1"/>
  <c r="F2648" i="1"/>
  <c r="F2647" i="1"/>
  <c r="F2646" i="1"/>
  <c r="F2645" i="1"/>
  <c r="F2644" i="1"/>
  <c r="F2643" i="1"/>
  <c r="F2642" i="1"/>
  <c r="F2641" i="1"/>
  <c r="F2640" i="1"/>
  <c r="F2639" i="1"/>
  <c r="F2638" i="1"/>
  <c r="F2637" i="1"/>
  <c r="F2636" i="1"/>
  <c r="F2635" i="1"/>
  <c r="F2634" i="1"/>
  <c r="F2633" i="1"/>
  <c r="F2632" i="1"/>
  <c r="F2631" i="1"/>
  <c r="F2630" i="1"/>
  <c r="F2629" i="1"/>
  <c r="F2628" i="1"/>
  <c r="F2627" i="1"/>
  <c r="F2626" i="1"/>
  <c r="F2625" i="1"/>
  <c r="F2624" i="1"/>
  <c r="F2623" i="1"/>
  <c r="F2622" i="1"/>
  <c r="F2621" i="1"/>
  <c r="F2620" i="1"/>
  <c r="F2619" i="1"/>
  <c r="F2618" i="1"/>
  <c r="F2617" i="1"/>
  <c r="F2616" i="1"/>
  <c r="F2615" i="1"/>
  <c r="F2614" i="1"/>
  <c r="F2613" i="1"/>
  <c r="F2612" i="1"/>
  <c r="F2611" i="1"/>
  <c r="F2610" i="1"/>
  <c r="F2609" i="1"/>
  <c r="F2608" i="1"/>
  <c r="F2607" i="1"/>
  <c r="F2606" i="1"/>
  <c r="F2605" i="1"/>
  <c r="F2604" i="1"/>
  <c r="F2603" i="1"/>
  <c r="F2602" i="1"/>
  <c r="F2601" i="1"/>
  <c r="F2600" i="1"/>
  <c r="F2599" i="1"/>
  <c r="F2598" i="1"/>
  <c r="F2597" i="1"/>
  <c r="F2596" i="1"/>
  <c r="F2595" i="1"/>
  <c r="F2594" i="1"/>
  <c r="F2593" i="1"/>
  <c r="F2592" i="1"/>
  <c r="F2591" i="1"/>
  <c r="F2590" i="1"/>
  <c r="F2589" i="1"/>
  <c r="F2588" i="1"/>
  <c r="F2587" i="1"/>
  <c r="F2586" i="1"/>
  <c r="F2585" i="1"/>
  <c r="F2584" i="1"/>
  <c r="F2583" i="1"/>
  <c r="F2582" i="1"/>
  <c r="F2581" i="1"/>
  <c r="F2580" i="1"/>
  <c r="F2579" i="1"/>
  <c r="F2578" i="1"/>
  <c r="F2577" i="1"/>
  <c r="F2576" i="1"/>
  <c r="F2575" i="1"/>
  <c r="F2574" i="1"/>
  <c r="F2573" i="1"/>
  <c r="F2572" i="1"/>
  <c r="F2571" i="1"/>
  <c r="F2570" i="1"/>
  <c r="F2569" i="1"/>
  <c r="F2568" i="1"/>
  <c r="F2567" i="1"/>
  <c r="F2566" i="1"/>
  <c r="F2565" i="1"/>
  <c r="F2564" i="1"/>
  <c r="F2563" i="1"/>
  <c r="F2562" i="1"/>
  <c r="F2561" i="1"/>
  <c r="F2560" i="1"/>
  <c r="F2559" i="1"/>
  <c r="F2558" i="1"/>
  <c r="F2557" i="1"/>
  <c r="F2556" i="1"/>
  <c r="F2555" i="1"/>
  <c r="F2554" i="1"/>
  <c r="F2553" i="1"/>
  <c r="F2552" i="1"/>
  <c r="F2551" i="1"/>
  <c r="F2550" i="1"/>
  <c r="F2549" i="1"/>
  <c r="F2548" i="1"/>
  <c r="F2547" i="1"/>
  <c r="F2546" i="1"/>
  <c r="F2545" i="1"/>
  <c r="F2544" i="1"/>
  <c r="F2543" i="1"/>
  <c r="F2542" i="1"/>
  <c r="F2541" i="1"/>
  <c r="F2540" i="1"/>
  <c r="F2539" i="1"/>
  <c r="F2538" i="1"/>
  <c r="F2537" i="1"/>
  <c r="F2536" i="1"/>
  <c r="F2535" i="1"/>
  <c r="F2534" i="1"/>
  <c r="F2533" i="1"/>
  <c r="F2532" i="1"/>
  <c r="F2531" i="1"/>
  <c r="F2530" i="1"/>
  <c r="F2529" i="1"/>
  <c r="F2528" i="1"/>
  <c r="F2527" i="1"/>
  <c r="F2526" i="1"/>
  <c r="F2525" i="1"/>
  <c r="F2524" i="1"/>
  <c r="F2523" i="1"/>
  <c r="F2522" i="1"/>
  <c r="F2521" i="1"/>
  <c r="F2520" i="1"/>
  <c r="F2519" i="1"/>
  <c r="F2518" i="1"/>
  <c r="F2517" i="1"/>
  <c r="F2516" i="1"/>
  <c r="F2515" i="1"/>
  <c r="F2514" i="1"/>
  <c r="F2513" i="1"/>
  <c r="F2512" i="1"/>
  <c r="F2511" i="1"/>
  <c r="F2510" i="1"/>
  <c r="F2509" i="1"/>
  <c r="F2508" i="1"/>
  <c r="F2507" i="1"/>
  <c r="F2506" i="1"/>
  <c r="F2505" i="1"/>
  <c r="F2504" i="1"/>
  <c r="F2503" i="1"/>
  <c r="F2502" i="1"/>
  <c r="F2501" i="1"/>
  <c r="F2500" i="1"/>
  <c r="F2499" i="1"/>
  <c r="F2498" i="1"/>
  <c r="F2497" i="1"/>
  <c r="F2496" i="1"/>
  <c r="F2495" i="1"/>
  <c r="F2494" i="1"/>
  <c r="F2493" i="1"/>
  <c r="F2492" i="1"/>
  <c r="F2491" i="1"/>
  <c r="F2490" i="1"/>
  <c r="F2489" i="1"/>
  <c r="F2488" i="1"/>
  <c r="F2487" i="1"/>
  <c r="F2486" i="1"/>
  <c r="F2485" i="1"/>
  <c r="F2484" i="1"/>
  <c r="F2483" i="1"/>
  <c r="F2482" i="1"/>
  <c r="F2481" i="1"/>
  <c r="F2480" i="1"/>
  <c r="F2479" i="1"/>
  <c r="F2478" i="1"/>
  <c r="F2477" i="1"/>
  <c r="F2476" i="1"/>
  <c r="F2475" i="1"/>
  <c r="F2474" i="1"/>
  <c r="F2473" i="1"/>
  <c r="F2472" i="1"/>
  <c r="F2471" i="1"/>
  <c r="F2470" i="1"/>
  <c r="F2469" i="1"/>
  <c r="F2468" i="1"/>
  <c r="F2467" i="1"/>
  <c r="F2466" i="1"/>
  <c r="F2465" i="1"/>
  <c r="F2464" i="1"/>
  <c r="F2463" i="1"/>
  <c r="F2462" i="1"/>
  <c r="F2461" i="1"/>
  <c r="F2460" i="1"/>
  <c r="F2459" i="1"/>
  <c r="F2458" i="1"/>
  <c r="F2457" i="1"/>
  <c r="F2456" i="1"/>
  <c r="F2455" i="1"/>
  <c r="F2454" i="1"/>
  <c r="F2453" i="1"/>
  <c r="F2452" i="1"/>
  <c r="F2451" i="1"/>
  <c r="F2450" i="1"/>
  <c r="F2449" i="1"/>
  <c r="F2448" i="1"/>
  <c r="F2447" i="1"/>
  <c r="F2446" i="1"/>
  <c r="F2445" i="1"/>
  <c r="F2444" i="1"/>
  <c r="F2443" i="1"/>
  <c r="F2442" i="1"/>
  <c r="F2441" i="1"/>
  <c r="F2440" i="1"/>
  <c r="F2439" i="1"/>
  <c r="F2438" i="1"/>
  <c r="F2437" i="1"/>
  <c r="F2436" i="1"/>
  <c r="F2435" i="1"/>
  <c r="F2434" i="1"/>
  <c r="F2433" i="1"/>
  <c r="F2432" i="1"/>
  <c r="F2431" i="1"/>
  <c r="F2430" i="1"/>
  <c r="F2429" i="1"/>
  <c r="F2428" i="1"/>
  <c r="F2427" i="1"/>
  <c r="F2426" i="1"/>
  <c r="F2425" i="1"/>
  <c r="F2424" i="1"/>
  <c r="F2423" i="1"/>
  <c r="F2422" i="1"/>
  <c r="F2421" i="1"/>
  <c r="F2420" i="1"/>
  <c r="F2419" i="1"/>
  <c r="F2418" i="1"/>
  <c r="F2417" i="1"/>
  <c r="F2416" i="1"/>
  <c r="F2415" i="1"/>
  <c r="F2414" i="1"/>
  <c r="F2413" i="1"/>
  <c r="F2412" i="1"/>
  <c r="F2411" i="1"/>
  <c r="F2410" i="1"/>
  <c r="F2409" i="1"/>
  <c r="F2408" i="1"/>
  <c r="F2407" i="1"/>
  <c r="F2406" i="1"/>
  <c r="F2405" i="1"/>
  <c r="F2404" i="1"/>
  <c r="F2403" i="1"/>
  <c r="F2402" i="1"/>
  <c r="F2401" i="1"/>
  <c r="F2400" i="1"/>
  <c r="F2399" i="1"/>
  <c r="F2398" i="1"/>
  <c r="F2397" i="1"/>
  <c r="F2396" i="1"/>
  <c r="F2395" i="1"/>
  <c r="F2394" i="1"/>
  <c r="F2393" i="1"/>
  <c r="F2392" i="1"/>
  <c r="F2391" i="1"/>
  <c r="F2390" i="1"/>
  <c r="F2389" i="1"/>
  <c r="F2388" i="1"/>
  <c r="F2387" i="1"/>
  <c r="F2386" i="1"/>
  <c r="F2385" i="1"/>
  <c r="F2384" i="1"/>
  <c r="F2383" i="1"/>
  <c r="F2382" i="1"/>
  <c r="F2381" i="1"/>
  <c r="F2380" i="1"/>
  <c r="F2379" i="1"/>
  <c r="F2378" i="1"/>
  <c r="F2377" i="1"/>
  <c r="F2376" i="1"/>
  <c r="F2375" i="1"/>
  <c r="F2374" i="1"/>
  <c r="F2373" i="1"/>
  <c r="F2372" i="1"/>
  <c r="F2371" i="1"/>
  <c r="F2370" i="1"/>
  <c r="F2369" i="1"/>
  <c r="F2368" i="1"/>
  <c r="F2367" i="1"/>
  <c r="F2366" i="1"/>
  <c r="F2365" i="1"/>
  <c r="F2364" i="1"/>
  <c r="F2363" i="1"/>
  <c r="F2362" i="1"/>
  <c r="F2361" i="1"/>
  <c r="F2360" i="1"/>
  <c r="F2359" i="1"/>
  <c r="F2358" i="1"/>
  <c r="F2357" i="1"/>
  <c r="F2356" i="1"/>
  <c r="F2355" i="1"/>
  <c r="F2354" i="1"/>
  <c r="F2353" i="1"/>
  <c r="F2352" i="1"/>
  <c r="F2351" i="1"/>
  <c r="F2350" i="1"/>
  <c r="F2349" i="1"/>
  <c r="F2348" i="1"/>
  <c r="F2347" i="1"/>
  <c r="F2346" i="1"/>
  <c r="F2345" i="1"/>
  <c r="F2344" i="1"/>
  <c r="F2343" i="1"/>
  <c r="F2342" i="1"/>
  <c r="F2341" i="1"/>
  <c r="F2340" i="1"/>
  <c r="F2339" i="1"/>
  <c r="F2338" i="1"/>
  <c r="F2337" i="1"/>
  <c r="F2336" i="1"/>
  <c r="F2335" i="1"/>
  <c r="F2334" i="1"/>
  <c r="F2333" i="1"/>
  <c r="F2332" i="1"/>
  <c r="F2331" i="1"/>
  <c r="F2330" i="1"/>
  <c r="F2329" i="1"/>
  <c r="F2328" i="1"/>
  <c r="F2327" i="1"/>
  <c r="F2326" i="1"/>
  <c r="F2325" i="1"/>
  <c r="F2324" i="1"/>
  <c r="F2323" i="1"/>
  <c r="F2322" i="1"/>
  <c r="F2321" i="1"/>
  <c r="F2320" i="1"/>
  <c r="F2319" i="1"/>
  <c r="F2318" i="1"/>
  <c r="F2317" i="1"/>
  <c r="F2316" i="1"/>
  <c r="F2315" i="1"/>
  <c r="F2314" i="1"/>
  <c r="F2313" i="1"/>
  <c r="F2312" i="1"/>
  <c r="F2311" i="1"/>
  <c r="F2310" i="1"/>
  <c r="F2309" i="1"/>
  <c r="F2308" i="1"/>
  <c r="F2307" i="1"/>
  <c r="F2306" i="1"/>
  <c r="F2305" i="1"/>
  <c r="F2304" i="1"/>
  <c r="F2303" i="1"/>
  <c r="F2302" i="1"/>
  <c r="F2301" i="1"/>
  <c r="F2300" i="1"/>
  <c r="F2299" i="1"/>
  <c r="F2298" i="1"/>
  <c r="F2297" i="1"/>
  <c r="F2296" i="1"/>
  <c r="F2295" i="1"/>
  <c r="F2294" i="1"/>
  <c r="F2293" i="1"/>
  <c r="F2292" i="1"/>
  <c r="F2291" i="1"/>
  <c r="F2290" i="1"/>
  <c r="F2289" i="1"/>
  <c r="F2288" i="1"/>
  <c r="F2287" i="1"/>
  <c r="F2286" i="1"/>
  <c r="F2285" i="1"/>
  <c r="F2284" i="1"/>
  <c r="F2283" i="1"/>
  <c r="F2282" i="1"/>
  <c r="F2281" i="1"/>
  <c r="F2280" i="1"/>
  <c r="F2279" i="1"/>
  <c r="F2278" i="1"/>
  <c r="F2277" i="1"/>
  <c r="F2276" i="1"/>
  <c r="F2275" i="1"/>
  <c r="F2274" i="1"/>
  <c r="F2273" i="1"/>
  <c r="F2272" i="1"/>
  <c r="F2271" i="1"/>
  <c r="F2270" i="1"/>
  <c r="F2269" i="1"/>
  <c r="F2268" i="1"/>
  <c r="F2267" i="1"/>
  <c r="F2266" i="1"/>
  <c r="F2265" i="1"/>
  <c r="F2264" i="1"/>
  <c r="F2263" i="1"/>
  <c r="F2262" i="1"/>
  <c r="F2261" i="1"/>
  <c r="F2260" i="1"/>
  <c r="F2259" i="1"/>
  <c r="F2258" i="1"/>
  <c r="F2257" i="1"/>
  <c r="F2256" i="1"/>
  <c r="F2255" i="1"/>
  <c r="F2254" i="1"/>
  <c r="F2253" i="1"/>
  <c r="F2252" i="1"/>
  <c r="F2251" i="1"/>
  <c r="F2250" i="1"/>
  <c r="F2249" i="1"/>
  <c r="F2248" i="1"/>
  <c r="F2247" i="1"/>
  <c r="F2246" i="1"/>
  <c r="F2245" i="1"/>
  <c r="F2244" i="1"/>
  <c r="F2243" i="1"/>
  <c r="F2242" i="1"/>
  <c r="F2241" i="1"/>
  <c r="F2240" i="1"/>
  <c r="F2239" i="1"/>
  <c r="F2238" i="1"/>
  <c r="F2237" i="1"/>
  <c r="F2236" i="1"/>
  <c r="F2235" i="1"/>
  <c r="F2234" i="1"/>
  <c r="F2233" i="1"/>
  <c r="F2232" i="1"/>
  <c r="F2231" i="1"/>
  <c r="F2230" i="1"/>
  <c r="F2229" i="1"/>
  <c r="F2228" i="1"/>
  <c r="F2227" i="1"/>
  <c r="F2226" i="1"/>
  <c r="F2225" i="1"/>
  <c r="F2224" i="1"/>
  <c r="F2223" i="1"/>
  <c r="F2222" i="1"/>
  <c r="F2221" i="1"/>
  <c r="F2220" i="1"/>
  <c r="F2219" i="1"/>
  <c r="F2218" i="1"/>
  <c r="F2217" i="1"/>
  <c r="F2216" i="1"/>
  <c r="F2215" i="1"/>
  <c r="F2214" i="1"/>
  <c r="F2213" i="1"/>
  <c r="F2212" i="1"/>
  <c r="F2211" i="1"/>
  <c r="F2210" i="1"/>
  <c r="F2209" i="1"/>
  <c r="F2208" i="1"/>
  <c r="F2207" i="1"/>
  <c r="F2206" i="1"/>
  <c r="F2205" i="1"/>
  <c r="F2204" i="1"/>
  <c r="F2203" i="1"/>
  <c r="F2202" i="1"/>
  <c r="F2201" i="1"/>
  <c r="F2200" i="1"/>
  <c r="F2199" i="1"/>
  <c r="F2198" i="1"/>
  <c r="F2197" i="1"/>
  <c r="F2196" i="1"/>
  <c r="F2195" i="1"/>
  <c r="F2194" i="1"/>
  <c r="F2193" i="1"/>
  <c r="F2192" i="1"/>
  <c r="F2191" i="1"/>
  <c r="F2190" i="1"/>
  <c r="F2189" i="1"/>
  <c r="F2188" i="1"/>
  <c r="F2187" i="1"/>
  <c r="F2186" i="1"/>
  <c r="F2185" i="1"/>
  <c r="F2184" i="1"/>
  <c r="F2183" i="1"/>
  <c r="F2182" i="1"/>
  <c r="F2181" i="1"/>
  <c r="F2180" i="1"/>
  <c r="F2179" i="1"/>
  <c r="F2178" i="1"/>
  <c r="F2177" i="1"/>
  <c r="F2176" i="1"/>
  <c r="F2175" i="1"/>
  <c r="F2174" i="1"/>
  <c r="F2173" i="1"/>
  <c r="F2172" i="1"/>
  <c r="F2171" i="1"/>
  <c r="F2170" i="1"/>
  <c r="F2169" i="1"/>
  <c r="F2168" i="1"/>
  <c r="F2167" i="1"/>
  <c r="F2166" i="1"/>
  <c r="F2165" i="1"/>
  <c r="F2164" i="1"/>
  <c r="F2163" i="1"/>
  <c r="F2162" i="1"/>
  <c r="F2161" i="1"/>
  <c r="F2160" i="1"/>
  <c r="F2159" i="1"/>
  <c r="F2158" i="1"/>
  <c r="F2157" i="1"/>
  <c r="F2156" i="1"/>
  <c r="F2155" i="1"/>
  <c r="F2154" i="1"/>
  <c r="F2153" i="1"/>
  <c r="F2152" i="1"/>
  <c r="F2151" i="1"/>
  <c r="F2150" i="1"/>
  <c r="F2149" i="1"/>
  <c r="F2148" i="1"/>
  <c r="F2147" i="1"/>
  <c r="F2146" i="1"/>
  <c r="F2145" i="1"/>
  <c r="F2144" i="1"/>
  <c r="F2143" i="1"/>
  <c r="F2142" i="1"/>
  <c r="F2141" i="1"/>
  <c r="F2140" i="1"/>
  <c r="F2139" i="1"/>
  <c r="F2138" i="1"/>
  <c r="F2137" i="1"/>
  <c r="F2136" i="1"/>
  <c r="F2135" i="1"/>
  <c r="F2134" i="1"/>
  <c r="F2133" i="1"/>
  <c r="F2132" i="1"/>
  <c r="F2131" i="1"/>
  <c r="F2130" i="1"/>
  <c r="F2129" i="1"/>
  <c r="F2128" i="1"/>
  <c r="F2127" i="1"/>
  <c r="F2126" i="1"/>
  <c r="F2125" i="1"/>
  <c r="F2124" i="1"/>
  <c r="F2123" i="1"/>
  <c r="F2122" i="1"/>
  <c r="F2121" i="1"/>
  <c r="F2120" i="1"/>
  <c r="F2119" i="1"/>
  <c r="F2118" i="1"/>
  <c r="F2117" i="1"/>
  <c r="F2116" i="1"/>
  <c r="F2115" i="1"/>
  <c r="F2114" i="1"/>
  <c r="F2113" i="1"/>
  <c r="F2112" i="1"/>
  <c r="F2111" i="1"/>
  <c r="F2110" i="1"/>
  <c r="F2109" i="1"/>
  <c r="F2108" i="1"/>
  <c r="F2107" i="1"/>
  <c r="F2106" i="1"/>
  <c r="F2105" i="1"/>
  <c r="F2104" i="1"/>
  <c r="F2103" i="1"/>
  <c r="F2102" i="1"/>
  <c r="F2101" i="1"/>
  <c r="F2100" i="1"/>
  <c r="F2099" i="1"/>
  <c r="F2098" i="1"/>
  <c r="F2097" i="1"/>
  <c r="F2096" i="1"/>
  <c r="F2095" i="1"/>
  <c r="F2094" i="1"/>
  <c r="F2093" i="1"/>
  <c r="L14" i="1" s="1"/>
  <c r="F2092" i="1"/>
  <c r="F2091" i="1"/>
  <c r="F2090" i="1"/>
  <c r="F2089" i="1"/>
  <c r="F2088" i="1"/>
  <c r="F2087" i="1"/>
  <c r="F2086" i="1"/>
  <c r="F2085" i="1"/>
  <c r="F2084" i="1"/>
  <c r="F2083" i="1"/>
  <c r="F2082" i="1"/>
  <c r="F2081" i="1"/>
  <c r="F2080" i="1"/>
  <c r="F2079" i="1"/>
  <c r="F2078" i="1"/>
  <c r="F2077" i="1"/>
  <c r="F2076" i="1"/>
  <c r="F2075" i="1"/>
  <c r="F2074" i="1"/>
  <c r="F2073" i="1"/>
  <c r="F2072" i="1"/>
  <c r="F2071" i="1"/>
  <c r="F2070" i="1"/>
  <c r="F2069" i="1"/>
  <c r="F2068" i="1"/>
  <c r="F2067" i="1"/>
  <c r="F2066" i="1"/>
  <c r="F2065" i="1"/>
  <c r="F2064" i="1"/>
  <c r="F2063" i="1"/>
  <c r="F2062" i="1"/>
  <c r="F2061" i="1"/>
  <c r="F2060" i="1"/>
  <c r="F2059" i="1"/>
  <c r="F2058" i="1"/>
  <c r="F2057" i="1"/>
  <c r="F2056" i="1"/>
  <c r="F2055" i="1"/>
  <c r="F2054" i="1"/>
  <c r="F2053" i="1"/>
  <c r="F2052" i="1"/>
  <c r="F2051" i="1"/>
  <c r="F2050" i="1"/>
  <c r="F2049" i="1"/>
  <c r="F2048" i="1"/>
  <c r="F2047" i="1"/>
  <c r="F2046" i="1"/>
  <c r="F2045" i="1"/>
  <c r="F2044" i="1"/>
  <c r="F2043" i="1"/>
  <c r="F2042" i="1"/>
  <c r="F2041" i="1"/>
  <c r="F2040" i="1"/>
  <c r="F2039" i="1"/>
  <c r="F2038" i="1"/>
  <c r="F2037" i="1"/>
  <c r="F2036" i="1"/>
  <c r="F2035" i="1"/>
  <c r="F2034" i="1"/>
  <c r="F2033" i="1"/>
  <c r="F2032" i="1"/>
  <c r="F2031" i="1"/>
  <c r="F2030" i="1"/>
  <c r="F2029" i="1"/>
  <c r="F2028" i="1"/>
  <c r="F2027" i="1"/>
  <c r="F2026" i="1"/>
  <c r="F2025" i="1"/>
  <c r="F2024" i="1"/>
  <c r="F2023" i="1"/>
  <c r="F2022" i="1"/>
  <c r="F2021" i="1"/>
  <c r="F2020" i="1"/>
  <c r="F2019" i="1"/>
  <c r="F2018" i="1"/>
  <c r="F2017" i="1"/>
  <c r="F2016" i="1"/>
  <c r="F2015" i="1"/>
  <c r="F2014" i="1"/>
  <c r="F2013" i="1"/>
  <c r="F2012" i="1"/>
  <c r="F2011" i="1"/>
  <c r="F2010" i="1"/>
  <c r="F2009" i="1"/>
  <c r="F2008" i="1"/>
  <c r="F2007" i="1"/>
  <c r="F2006" i="1"/>
  <c r="F2005" i="1"/>
  <c r="F2004" i="1"/>
  <c r="F2003" i="1"/>
  <c r="F2002" i="1"/>
  <c r="F2001" i="1"/>
  <c r="F2000" i="1"/>
  <c r="F1999" i="1"/>
  <c r="F1998" i="1"/>
  <c r="F1997" i="1"/>
  <c r="F1996" i="1"/>
  <c r="F1995" i="1"/>
  <c r="F1994" i="1"/>
  <c r="F1993" i="1"/>
  <c r="F1992" i="1"/>
  <c r="F1991" i="1"/>
  <c r="F1990" i="1"/>
  <c r="F1989" i="1"/>
  <c r="F1988" i="1"/>
  <c r="F1987" i="1"/>
  <c r="F1986" i="1"/>
  <c r="F1985" i="1"/>
  <c r="F1984" i="1"/>
  <c r="F1983" i="1"/>
  <c r="F1982" i="1"/>
  <c r="F1981" i="1"/>
  <c r="F1980" i="1"/>
  <c r="F1979" i="1"/>
  <c r="F1978" i="1"/>
  <c r="F1977" i="1"/>
  <c r="F1976" i="1"/>
  <c r="F1975" i="1"/>
  <c r="F1974" i="1"/>
  <c r="F1973" i="1"/>
  <c r="F1972" i="1"/>
  <c r="F1971" i="1"/>
  <c r="F1970" i="1"/>
  <c r="F1969" i="1"/>
  <c r="F1968" i="1"/>
  <c r="F1967" i="1"/>
  <c r="F1966" i="1"/>
  <c r="F1965" i="1"/>
  <c r="F1964" i="1"/>
  <c r="F1963" i="1"/>
  <c r="F1962" i="1"/>
  <c r="F1961" i="1"/>
  <c r="F1960" i="1"/>
  <c r="F1959" i="1"/>
  <c r="F1958" i="1"/>
  <c r="F1957" i="1"/>
  <c r="F1956" i="1"/>
  <c r="F1955" i="1"/>
  <c r="F1954" i="1"/>
  <c r="F1953" i="1"/>
  <c r="F1952" i="1"/>
  <c r="F1951" i="1"/>
  <c r="F1950" i="1"/>
  <c r="F1949" i="1"/>
  <c r="F1948" i="1"/>
  <c r="F1947" i="1"/>
  <c r="F1946" i="1"/>
  <c r="F1945" i="1"/>
  <c r="F1944" i="1"/>
  <c r="F1943" i="1"/>
  <c r="F1942" i="1"/>
  <c r="F1941" i="1"/>
  <c r="F1940" i="1"/>
  <c r="F1939" i="1"/>
  <c r="F1938" i="1"/>
  <c r="F1937" i="1"/>
  <c r="F1936" i="1"/>
  <c r="F1935" i="1"/>
  <c r="F1934" i="1"/>
  <c r="F1933" i="1"/>
  <c r="F1932" i="1"/>
  <c r="F1931" i="1"/>
  <c r="F1930" i="1"/>
  <c r="F1929" i="1"/>
  <c r="F1928" i="1"/>
  <c r="F1927" i="1"/>
  <c r="F1926" i="1"/>
  <c r="F1925" i="1"/>
  <c r="F1924" i="1"/>
  <c r="F1923" i="1"/>
  <c r="F1922" i="1"/>
  <c r="F1921" i="1"/>
  <c r="F1920" i="1"/>
  <c r="F1919" i="1"/>
  <c r="F1918" i="1"/>
  <c r="F1917" i="1"/>
  <c r="F1916" i="1"/>
  <c r="F1915" i="1"/>
  <c r="F1914" i="1"/>
  <c r="F1913" i="1"/>
  <c r="F1912" i="1"/>
  <c r="F1911" i="1"/>
  <c r="F1910" i="1"/>
  <c r="F1909" i="1"/>
  <c r="F1908" i="1"/>
  <c r="F1907" i="1"/>
  <c r="F1906" i="1"/>
  <c r="F1905" i="1"/>
  <c r="F1904" i="1"/>
  <c r="F1903" i="1"/>
  <c r="F1902" i="1"/>
  <c r="F1901" i="1"/>
  <c r="F1900" i="1"/>
  <c r="F1899" i="1"/>
  <c r="F1898" i="1"/>
  <c r="F1897" i="1"/>
  <c r="F1896" i="1"/>
  <c r="F1895" i="1"/>
  <c r="F1894" i="1"/>
  <c r="F1893" i="1"/>
  <c r="F1892" i="1"/>
  <c r="F1891" i="1"/>
  <c r="F1890" i="1"/>
  <c r="F1889" i="1"/>
  <c r="F1888" i="1"/>
  <c r="F1887" i="1"/>
  <c r="F1886" i="1"/>
  <c r="F1885" i="1"/>
  <c r="F1884" i="1"/>
  <c r="F1883" i="1"/>
  <c r="F1882" i="1"/>
  <c r="F1881" i="1"/>
  <c r="F1880" i="1"/>
  <c r="F1879" i="1"/>
  <c r="F1878" i="1"/>
  <c r="F1877" i="1"/>
  <c r="F1876" i="1"/>
  <c r="F1875" i="1"/>
  <c r="F1874" i="1"/>
  <c r="F1873" i="1"/>
  <c r="F1872" i="1"/>
  <c r="F1871" i="1"/>
  <c r="F1870" i="1"/>
  <c r="F1869" i="1"/>
  <c r="F1868" i="1"/>
  <c r="F1867" i="1"/>
  <c r="F1866" i="1"/>
  <c r="F1865" i="1"/>
  <c r="F1864" i="1"/>
  <c r="F1863" i="1"/>
  <c r="F1862" i="1"/>
  <c r="F1861" i="1"/>
  <c r="F1860" i="1"/>
  <c r="F1859" i="1"/>
  <c r="F1858" i="1"/>
  <c r="F1857" i="1"/>
  <c r="F1856" i="1"/>
  <c r="F1855" i="1"/>
  <c r="F1854" i="1"/>
  <c r="F1853" i="1"/>
  <c r="F1852" i="1"/>
  <c r="F1851" i="1"/>
  <c r="F1850" i="1"/>
  <c r="F1849" i="1"/>
  <c r="F1848" i="1"/>
  <c r="F1847" i="1"/>
  <c r="F1846" i="1"/>
  <c r="F1845" i="1"/>
  <c r="F1844" i="1"/>
  <c r="F1843" i="1"/>
  <c r="F1842" i="1"/>
  <c r="F1841" i="1"/>
  <c r="F1840" i="1"/>
  <c r="F1839" i="1"/>
  <c r="F1838" i="1"/>
  <c r="F1837" i="1"/>
  <c r="F1836" i="1"/>
  <c r="F1835" i="1"/>
  <c r="F1834" i="1"/>
  <c r="F1833" i="1"/>
  <c r="F1832" i="1"/>
  <c r="F1831" i="1"/>
  <c r="F1830" i="1"/>
  <c r="F1829" i="1"/>
  <c r="F1828" i="1"/>
  <c r="F1827" i="1"/>
  <c r="F1826" i="1"/>
  <c r="F1825" i="1"/>
  <c r="F1824" i="1"/>
  <c r="F1823" i="1"/>
  <c r="F1822" i="1"/>
  <c r="F1821" i="1"/>
  <c r="F1820" i="1"/>
  <c r="F1819" i="1"/>
  <c r="F1818" i="1"/>
  <c r="F1817" i="1"/>
  <c r="F1816" i="1"/>
  <c r="F1815" i="1"/>
  <c r="F1814" i="1"/>
  <c r="F1813" i="1"/>
  <c r="F1812" i="1"/>
  <c r="F1811" i="1"/>
  <c r="F1810" i="1"/>
  <c r="F1809" i="1"/>
  <c r="F1808" i="1"/>
  <c r="F1807" i="1"/>
  <c r="F1806" i="1"/>
  <c r="F1805" i="1"/>
  <c r="F1804" i="1"/>
  <c r="F1803" i="1"/>
  <c r="F1802" i="1"/>
  <c r="F1801" i="1"/>
  <c r="F1800" i="1"/>
  <c r="F1799" i="1"/>
  <c r="F1798" i="1"/>
  <c r="F1797" i="1"/>
  <c r="F1796" i="1"/>
  <c r="F1795" i="1"/>
  <c r="F1794" i="1"/>
  <c r="F1793" i="1"/>
  <c r="F1792" i="1"/>
  <c r="F1791" i="1"/>
  <c r="F1790" i="1"/>
  <c r="F1789" i="1"/>
  <c r="F1788" i="1"/>
  <c r="F1787" i="1"/>
  <c r="F1786" i="1"/>
  <c r="F1785" i="1"/>
  <c r="F1784" i="1"/>
  <c r="F1783" i="1"/>
  <c r="F1782" i="1"/>
  <c r="F1781" i="1"/>
  <c r="F1780" i="1"/>
  <c r="F1779" i="1"/>
  <c r="F1778" i="1"/>
  <c r="F1777" i="1"/>
  <c r="F1776" i="1"/>
  <c r="F1775" i="1"/>
  <c r="F1774" i="1"/>
  <c r="F1773" i="1"/>
  <c r="F1772" i="1"/>
  <c r="F1771" i="1"/>
  <c r="F1770" i="1"/>
  <c r="F1769" i="1"/>
  <c r="F1768" i="1"/>
  <c r="F1767" i="1"/>
  <c r="F1766" i="1"/>
  <c r="F1765" i="1"/>
  <c r="F1764" i="1"/>
  <c r="F1763" i="1"/>
  <c r="F1762" i="1"/>
  <c r="F1761" i="1"/>
  <c r="F1760" i="1"/>
  <c r="F1759" i="1"/>
  <c r="F1758" i="1"/>
  <c r="F1757" i="1"/>
  <c r="F1756" i="1"/>
  <c r="F1755" i="1"/>
  <c r="F1754" i="1"/>
  <c r="F1753" i="1"/>
  <c r="F1752" i="1"/>
  <c r="F1751" i="1"/>
  <c r="F1750" i="1"/>
  <c r="F1749" i="1"/>
  <c r="F1748" i="1"/>
  <c r="F1747" i="1"/>
  <c r="F1746" i="1"/>
  <c r="F1745" i="1"/>
  <c r="F1744" i="1"/>
  <c r="F1743" i="1"/>
  <c r="F1742" i="1"/>
  <c r="F1741" i="1"/>
  <c r="F1740" i="1"/>
  <c r="F1739" i="1"/>
  <c r="F1738" i="1"/>
  <c r="F1737" i="1"/>
  <c r="F1736" i="1"/>
  <c r="F1735" i="1"/>
  <c r="F1734" i="1"/>
  <c r="F1733" i="1"/>
  <c r="F1732" i="1"/>
  <c r="F1731" i="1"/>
  <c r="F1730" i="1"/>
  <c r="F1729" i="1"/>
  <c r="F1728" i="1"/>
  <c r="F1727" i="1"/>
  <c r="F1726" i="1"/>
  <c r="F1725" i="1"/>
  <c r="F1724" i="1"/>
  <c r="F1723" i="1"/>
  <c r="F1722" i="1"/>
  <c r="F1721" i="1"/>
  <c r="F1720" i="1"/>
  <c r="F1719" i="1"/>
  <c r="F1718" i="1"/>
  <c r="F1717" i="1"/>
  <c r="F1716" i="1"/>
  <c r="F1715" i="1"/>
  <c r="F1714" i="1"/>
  <c r="F1713" i="1"/>
  <c r="F1712" i="1"/>
  <c r="F1711" i="1"/>
  <c r="F1710" i="1"/>
  <c r="F1709" i="1"/>
  <c r="F1708" i="1"/>
  <c r="F1707" i="1"/>
  <c r="F1706" i="1"/>
  <c r="F1705" i="1"/>
  <c r="F1704" i="1"/>
  <c r="F1703" i="1"/>
  <c r="F1702" i="1"/>
  <c r="F1701" i="1"/>
  <c r="F1700" i="1"/>
  <c r="F1699" i="1"/>
  <c r="F1698" i="1"/>
  <c r="F1697" i="1"/>
  <c r="F1696" i="1"/>
  <c r="F1695" i="1"/>
  <c r="F1694" i="1"/>
  <c r="F1693" i="1"/>
  <c r="F1692" i="1"/>
  <c r="F1691" i="1"/>
  <c r="F1690" i="1"/>
  <c r="F1689" i="1"/>
  <c r="F1688" i="1"/>
  <c r="F1687" i="1"/>
  <c r="F1686" i="1"/>
  <c r="F1685" i="1"/>
  <c r="F1684" i="1"/>
  <c r="F1683" i="1"/>
  <c r="F1682" i="1"/>
  <c r="F1681" i="1"/>
  <c r="F1680" i="1"/>
  <c r="F1679" i="1"/>
  <c r="F1678" i="1"/>
  <c r="F1677" i="1"/>
  <c r="F1676" i="1"/>
  <c r="F1675" i="1"/>
  <c r="F1674" i="1"/>
  <c r="F1673" i="1"/>
  <c r="F1672" i="1"/>
  <c r="F1671" i="1"/>
  <c r="F1670" i="1"/>
  <c r="F1669" i="1"/>
  <c r="F1668" i="1"/>
  <c r="F1667" i="1"/>
  <c r="F1666" i="1"/>
  <c r="F1665" i="1"/>
  <c r="F1664" i="1"/>
  <c r="F1663" i="1"/>
  <c r="F1662" i="1"/>
  <c r="F1661" i="1"/>
  <c r="F1660" i="1"/>
  <c r="F1659" i="1"/>
  <c r="F1658" i="1"/>
  <c r="F1657" i="1"/>
  <c r="F1656" i="1"/>
  <c r="F1655" i="1"/>
  <c r="F1654" i="1"/>
  <c r="F1653" i="1"/>
  <c r="F1652" i="1"/>
  <c r="F1651" i="1"/>
  <c r="F1650" i="1"/>
  <c r="F1649" i="1"/>
  <c r="F1648" i="1"/>
  <c r="F1647" i="1"/>
  <c r="F1646" i="1"/>
  <c r="F1645" i="1"/>
  <c r="F1644" i="1"/>
  <c r="F1643" i="1"/>
  <c r="F1642" i="1"/>
  <c r="F1641" i="1"/>
  <c r="F1640" i="1"/>
  <c r="F1639" i="1"/>
  <c r="F1638" i="1"/>
  <c r="F1637" i="1"/>
  <c r="F1636" i="1"/>
  <c r="F1635" i="1"/>
  <c r="F1634" i="1"/>
  <c r="F1633" i="1"/>
  <c r="F1632" i="1"/>
  <c r="F1631" i="1"/>
  <c r="F1630" i="1"/>
  <c r="F1629" i="1"/>
  <c r="F1628" i="1"/>
  <c r="F1627" i="1"/>
  <c r="F1626" i="1"/>
  <c r="F1625" i="1"/>
  <c r="F1624" i="1"/>
  <c r="F1623" i="1"/>
  <c r="F1622" i="1"/>
  <c r="F1621" i="1"/>
  <c r="F1620" i="1"/>
  <c r="F1619" i="1"/>
  <c r="F1618" i="1"/>
  <c r="F1617" i="1"/>
  <c r="F1616" i="1"/>
  <c r="F1615" i="1"/>
  <c r="F1614" i="1"/>
  <c r="F1613" i="1"/>
  <c r="F1612" i="1"/>
  <c r="F1611" i="1"/>
  <c r="F1610" i="1"/>
  <c r="F1609" i="1"/>
  <c r="F1608" i="1"/>
  <c r="F1607" i="1"/>
  <c r="F1606" i="1"/>
  <c r="F1605" i="1"/>
  <c r="F1604" i="1"/>
  <c r="F1603" i="1"/>
  <c r="F1602" i="1"/>
  <c r="F1601" i="1"/>
  <c r="F1600" i="1"/>
  <c r="F1599" i="1"/>
  <c r="F1598" i="1"/>
  <c r="F1597" i="1"/>
  <c r="F1596" i="1"/>
  <c r="F1595" i="1"/>
  <c r="F1594" i="1"/>
  <c r="F1593" i="1"/>
  <c r="F1592" i="1"/>
  <c r="F1591" i="1"/>
  <c r="F1590" i="1"/>
  <c r="F1589" i="1"/>
  <c r="F1588" i="1"/>
  <c r="F1587" i="1"/>
  <c r="F1586" i="1"/>
  <c r="F1585" i="1"/>
  <c r="F1584" i="1"/>
  <c r="F1583" i="1"/>
  <c r="F1582" i="1"/>
  <c r="F1581" i="1"/>
  <c r="F1580" i="1"/>
  <c r="F1579" i="1"/>
  <c r="F1578" i="1"/>
  <c r="F1577" i="1"/>
  <c r="F1576" i="1"/>
  <c r="F1575" i="1"/>
  <c r="F1574" i="1"/>
  <c r="F1573" i="1"/>
  <c r="F1572" i="1"/>
  <c r="F1571" i="1"/>
  <c r="F1570" i="1"/>
  <c r="F1569" i="1"/>
  <c r="F1568" i="1"/>
  <c r="F1567" i="1"/>
  <c r="F1566" i="1"/>
  <c r="F1565" i="1"/>
  <c r="F1564" i="1"/>
  <c r="F1563" i="1"/>
  <c r="F1562" i="1"/>
  <c r="F1561" i="1"/>
  <c r="F1560" i="1"/>
  <c r="F1559" i="1"/>
  <c r="F1558" i="1"/>
  <c r="F1557" i="1"/>
  <c r="F1556" i="1"/>
  <c r="F1555" i="1"/>
  <c r="F1554" i="1"/>
  <c r="F1553" i="1"/>
  <c r="F1552" i="1"/>
  <c r="F1551" i="1"/>
  <c r="F1550" i="1"/>
  <c r="F1549" i="1"/>
  <c r="F1548" i="1"/>
  <c r="F1547" i="1"/>
  <c r="F1546" i="1"/>
  <c r="F1545" i="1"/>
  <c r="F1544" i="1"/>
  <c r="F1543" i="1"/>
  <c r="F1542" i="1"/>
  <c r="F1541" i="1"/>
  <c r="F1540" i="1"/>
  <c r="F1539" i="1"/>
  <c r="F1538" i="1"/>
  <c r="F1537" i="1"/>
  <c r="F1536" i="1"/>
  <c r="F1535" i="1"/>
  <c r="F1534" i="1"/>
  <c r="F1533" i="1"/>
  <c r="F1532" i="1"/>
  <c r="F1531" i="1"/>
  <c r="F1530" i="1"/>
  <c r="F1529" i="1"/>
  <c r="F1528" i="1"/>
  <c r="F1527" i="1"/>
  <c r="F1526" i="1"/>
  <c r="F1525" i="1"/>
  <c r="F1524" i="1"/>
  <c r="F1523" i="1"/>
  <c r="F1522" i="1"/>
  <c r="F1521" i="1"/>
  <c r="F1520"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7" i="1"/>
  <c r="F1486" i="1"/>
  <c r="F1485" i="1"/>
  <c r="F1484" i="1"/>
  <c r="F1483" i="1"/>
  <c r="F1482" i="1"/>
  <c r="F1481"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9"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5" i="1"/>
  <c r="F624" i="1"/>
  <c r="F623" i="1"/>
  <c r="F622" i="1"/>
  <c r="F621" i="1"/>
  <c r="F620" i="1"/>
  <c r="F619" i="1"/>
  <c r="F618" i="1"/>
  <c r="F617" i="1"/>
  <c r="F616" i="1"/>
  <c r="F615" i="1"/>
  <c r="F614" i="1"/>
  <c r="F613" i="1"/>
  <c r="F612" i="1"/>
  <c r="F611" i="1"/>
  <c r="F610" i="1"/>
  <c r="F609" i="1"/>
  <c r="F608" i="1"/>
  <c r="F607" i="1"/>
  <c r="F606" i="1"/>
  <c r="F605" i="1"/>
  <c r="F604" i="1"/>
  <c r="F603" i="1"/>
  <c r="F602" i="1"/>
  <c r="F601" i="1"/>
  <c r="F600" i="1"/>
  <c r="F599" i="1"/>
  <c r="F598" i="1"/>
  <c r="F597"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70" i="1"/>
  <c r="F569" i="1"/>
  <c r="F568" i="1"/>
  <c r="F567" i="1"/>
  <c r="F566" i="1"/>
  <c r="F565" i="1"/>
  <c r="F564" i="1"/>
  <c r="F563" i="1"/>
  <c r="F562" i="1"/>
  <c r="F561" i="1"/>
  <c r="F560" i="1"/>
  <c r="F559" i="1"/>
  <c r="F558" i="1"/>
  <c r="F557" i="1"/>
  <c r="F556" i="1"/>
  <c r="F555" i="1"/>
  <c r="F554" i="1"/>
  <c r="F553" i="1"/>
  <c r="F552" i="1"/>
  <c r="F551" i="1"/>
  <c r="F550" i="1"/>
  <c r="F549" i="1"/>
  <c r="F548" i="1"/>
  <c r="F547" i="1"/>
  <c r="F546" i="1"/>
  <c r="F545" i="1"/>
  <c r="F544" i="1"/>
  <c r="F543" i="1"/>
  <c r="F542" i="1"/>
  <c r="F541" i="1"/>
  <c r="F540" i="1"/>
  <c r="F539" i="1"/>
  <c r="F538" i="1"/>
  <c r="F537" i="1"/>
  <c r="F536" i="1"/>
  <c r="F535" i="1"/>
  <c r="F534" i="1"/>
  <c r="F533" i="1"/>
  <c r="F532" i="1"/>
  <c r="F531" i="1"/>
  <c r="F530" i="1"/>
  <c r="F529" i="1"/>
  <c r="F528" i="1"/>
  <c r="F527" i="1"/>
  <c r="F526" i="1"/>
  <c r="F525" i="1"/>
  <c r="F524" i="1"/>
  <c r="F523" i="1"/>
  <c r="F522" i="1"/>
  <c r="F521" i="1"/>
  <c r="F520" i="1"/>
  <c r="F519" i="1"/>
  <c r="F518" i="1"/>
  <c r="F517" i="1"/>
  <c r="F516" i="1"/>
  <c r="F515" i="1"/>
  <c r="F514" i="1"/>
  <c r="F513" i="1"/>
  <c r="F512" i="1"/>
  <c r="F511" i="1"/>
  <c r="F510" i="1"/>
  <c r="F509" i="1"/>
  <c r="F508" i="1"/>
  <c r="F507" i="1"/>
  <c r="F506" i="1"/>
  <c r="F505" i="1"/>
  <c r="F504" i="1"/>
  <c r="F503" i="1"/>
  <c r="F502" i="1"/>
  <c r="F501" i="1"/>
  <c r="F500" i="1"/>
  <c r="F499" i="1"/>
  <c r="F498" i="1"/>
  <c r="F497" i="1"/>
  <c r="F496" i="1"/>
  <c r="F495" i="1"/>
  <c r="F494" i="1"/>
  <c r="F493" i="1"/>
  <c r="F492" i="1"/>
  <c r="F491" i="1"/>
  <c r="F490" i="1"/>
  <c r="F489" i="1"/>
  <c r="F488" i="1"/>
  <c r="F487" i="1"/>
  <c r="F486" i="1"/>
  <c r="F485" i="1"/>
  <c r="F484" i="1"/>
  <c r="F483" i="1"/>
  <c r="F482" i="1"/>
  <c r="F481" i="1"/>
  <c r="F480" i="1"/>
  <c r="F479" i="1"/>
  <c r="F478" i="1"/>
  <c r="F477" i="1"/>
  <c r="F476" i="1"/>
  <c r="F475" i="1"/>
  <c r="F474" i="1"/>
  <c r="F473" i="1"/>
  <c r="F472" i="1"/>
  <c r="F471" i="1"/>
  <c r="F470" i="1"/>
  <c r="F469" i="1"/>
  <c r="F468" i="1"/>
  <c r="F467" i="1"/>
  <c r="F466" i="1"/>
  <c r="F465" i="1"/>
  <c r="F464" i="1"/>
  <c r="F463" i="1"/>
  <c r="F462" i="1"/>
  <c r="F461" i="1"/>
  <c r="F460" i="1"/>
  <c r="F459" i="1"/>
  <c r="F458" i="1"/>
  <c r="F457" i="1"/>
  <c r="F456" i="1"/>
  <c r="F455" i="1"/>
  <c r="F454" i="1"/>
  <c r="F453" i="1"/>
  <c r="F452" i="1"/>
  <c r="F451" i="1"/>
  <c r="F450" i="1"/>
  <c r="F449" i="1"/>
  <c r="F448" i="1"/>
  <c r="F447" i="1"/>
  <c r="F446" i="1"/>
  <c r="F445" i="1"/>
  <c r="F444" i="1"/>
  <c r="F443"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K21" i="1"/>
  <c r="F21" i="1"/>
  <c r="K20" i="1"/>
  <c r="F20" i="1"/>
  <c r="F19" i="1"/>
  <c r="F18" i="1"/>
  <c r="F17" i="1"/>
  <c r="F16" i="1"/>
  <c r="F15" i="1"/>
  <c r="F14" i="1"/>
  <c r="F13" i="1"/>
  <c r="F12" i="1"/>
  <c r="F11" i="1"/>
  <c r="F10" i="1"/>
  <c r="F9" i="1"/>
  <c r="F8" i="1"/>
  <c r="F7" i="1"/>
  <c r="F6" i="1"/>
  <c r="F5" i="1"/>
  <c r="F4" i="1"/>
  <c r="F3" i="1"/>
  <c r="L13" i="1" s="1"/>
  <c r="F2" i="1"/>
  <c r="K13" i="1" l="1"/>
  <c r="K16" i="1" s="1"/>
  <c r="K14" i="1"/>
  <c r="K17" i="1" s="1"/>
  <c r="L16" i="1" l="1"/>
  <c r="L17" i="1"/>
</calcChain>
</file>

<file path=xl/sharedStrings.xml><?xml version="1.0" encoding="utf-8"?>
<sst xmlns="http://schemas.openxmlformats.org/spreadsheetml/2006/main" count="13554" uniqueCount="4108">
  <si>
    <t>Species</t>
  </si>
  <si>
    <t>Comparison</t>
  </si>
  <si>
    <t>Gene ID</t>
  </si>
  <si>
    <t>Star Island lpv</t>
  </si>
  <si>
    <t>MacArthur North lpv</t>
  </si>
  <si>
    <t>Relationship</t>
  </si>
  <si>
    <t>Gene Annotation</t>
  </si>
  <si>
    <t>COUNTA of Gene ID</t>
  </si>
  <si>
    <t>Orbicella faveolata</t>
  </si>
  <si>
    <t>Urban vs Emerald Reef</t>
  </si>
  <si>
    <t>Ofaveolata000014</t>
  </si>
  <si>
    <t>NA</t>
  </si>
  <si>
    <t>Ofaveolata000049</t>
  </si>
  <si>
    <t>Urban vs Rainbow Reef</t>
  </si>
  <si>
    <t>Ofaveolata000062</t>
  </si>
  <si>
    <t>cell septum assembly</t>
  </si>
  <si>
    <t>Orbicella faveolata Total</t>
  </si>
  <si>
    <t>Ofaveolata000164</t>
  </si>
  <si>
    <t>Siderastrea siderea</t>
  </si>
  <si>
    <t>Ofaveolata000236</t>
  </si>
  <si>
    <t>Ofaveolata000275</t>
  </si>
  <si>
    <t>Siderastrea siderea Total</t>
  </si>
  <si>
    <t>Ofaveolata000276</t>
  </si>
  <si>
    <t>MafB19-like deaminase</t>
  </si>
  <si>
    <t>Grand Total</t>
  </si>
  <si>
    <t>Ofaveolata000339</t>
  </si>
  <si>
    <t>positive regulation of bone development</t>
  </si>
  <si>
    <t>Ofaveolata000351</t>
  </si>
  <si>
    <t>Ofaveolata000390</t>
  </si>
  <si>
    <t>Ofaveolata000461</t>
  </si>
  <si>
    <t>Direct</t>
  </si>
  <si>
    <t>Inverse</t>
  </si>
  <si>
    <t>Ofaveolata000526</t>
  </si>
  <si>
    <t>Ofaveolata000539</t>
  </si>
  <si>
    <t>Ofaveolata000556</t>
  </si>
  <si>
    <t>G-protein coupled receptor activity</t>
  </si>
  <si>
    <t>Ofaveolata000560</t>
  </si>
  <si>
    <t>Ofaveolata000579</t>
  </si>
  <si>
    <t>tetratricopeptide repeat protein 14</t>
  </si>
  <si>
    <t>Ofaveolata000715</t>
  </si>
  <si>
    <t>Ofaveolata000728</t>
  </si>
  <si>
    <t>translation regulator activity</t>
  </si>
  <si>
    <t>Unique DEGs</t>
  </si>
  <si>
    <t>Ofaveolata000830</t>
  </si>
  <si>
    <t>Ofaveolata000836</t>
  </si>
  <si>
    <t>assembly factor 2</t>
  </si>
  <si>
    <t>Ofaveolata000855</t>
  </si>
  <si>
    <t>E3 ubiquitin-protein ligase</t>
  </si>
  <si>
    <t>Ofaveolata000877</t>
  </si>
  <si>
    <t>homeobox</t>
  </si>
  <si>
    <t>Ofaveolata000882</t>
  </si>
  <si>
    <t>cortical actin cytoskeleton organization</t>
  </si>
  <si>
    <t>Ofaveolata000918</t>
  </si>
  <si>
    <t>Solute carrier organic anion transporter family, member</t>
  </si>
  <si>
    <t>Ofaveolata001125</t>
  </si>
  <si>
    <t>Ofaveolata001142</t>
  </si>
  <si>
    <t>7 transmembrane receptor (rhodopsin family)</t>
  </si>
  <si>
    <t>Ofaveolata001244</t>
  </si>
  <si>
    <t>fibroblast growth factor-activated receptor activity</t>
  </si>
  <si>
    <t>Ofaveolata001258</t>
  </si>
  <si>
    <t>homophilic cell adhesion via plasma membrane adhesion molecules</t>
  </si>
  <si>
    <t>Ofaveolata001445</t>
  </si>
  <si>
    <t>protein transport</t>
  </si>
  <si>
    <t>Ofaveolata001684</t>
  </si>
  <si>
    <t>Ofaveolata001761</t>
  </si>
  <si>
    <t>acidic dipeptidase</t>
  </si>
  <si>
    <t>Ofaveolata001784</t>
  </si>
  <si>
    <t>non-haem dioxygenase in morphine synthesis N-terminal</t>
  </si>
  <si>
    <t>Ofaveolata001906</t>
  </si>
  <si>
    <t>dCMP deaminase activity. It is involved in the biological process described with pyrimidine nucleotide metabolic process</t>
  </si>
  <si>
    <t>Ofaveolata001924</t>
  </si>
  <si>
    <t>Ofaveolata002015</t>
  </si>
  <si>
    <t>arachidonic acid secretion</t>
  </si>
  <si>
    <t>Ofaveolata002169</t>
  </si>
  <si>
    <t>myosin regulatory light chain interacting protein</t>
  </si>
  <si>
    <t>Ofaveolata002367</t>
  </si>
  <si>
    <t>calcium ion-regulated exocytosis of neurotransmitter</t>
  </si>
  <si>
    <t>Ofaveolata002465</t>
  </si>
  <si>
    <t>member RAS oncogene family</t>
  </si>
  <si>
    <t>Ofaveolata002516</t>
  </si>
  <si>
    <t>Catalyzes the three sequential steps of the methylation pathway of phosphatidylcholine biosynthesis, the SAM-dependent methylation of phosphatidylethanolamine (PE) to phosphatidylmonomethylethanolamine (PMME), PMME to phosphatidyldimethylethanolamine (PDME), and PDME to phosphatidylcholine (PC)</t>
  </si>
  <si>
    <t>Ofaveolata002540</t>
  </si>
  <si>
    <t>Ofaveolata002566</t>
  </si>
  <si>
    <t>store-operated calcium channel activity</t>
  </si>
  <si>
    <t>Ofaveolata002578</t>
  </si>
  <si>
    <t>Ofaveolata002609</t>
  </si>
  <si>
    <t>Ofaveolata002685</t>
  </si>
  <si>
    <t>Ofaveolata002686</t>
  </si>
  <si>
    <t>Ofaveolata002688</t>
  </si>
  <si>
    <t>Ofaveolata002694</t>
  </si>
  <si>
    <t>Ofaveolata002788</t>
  </si>
  <si>
    <t>Ofaveolata002830</t>
  </si>
  <si>
    <t>Folate receptor</t>
  </si>
  <si>
    <t>Ofaveolata002833</t>
  </si>
  <si>
    <t>Sulfide quinone</t>
  </si>
  <si>
    <t>Ofaveolata002861</t>
  </si>
  <si>
    <t>Ofaveolata002949</t>
  </si>
  <si>
    <t>Enoyl-(Acyl carrier protein) reductase</t>
  </si>
  <si>
    <t>Ofaveolata003072</t>
  </si>
  <si>
    <t>Ofaveolata003089</t>
  </si>
  <si>
    <t>cell cycle</t>
  </si>
  <si>
    <t>Ofaveolata003133</t>
  </si>
  <si>
    <t>ephrin receptor activity</t>
  </si>
  <si>
    <t>Ofaveolata003204</t>
  </si>
  <si>
    <t>Ofaveolata003208</t>
  </si>
  <si>
    <t>Ofaveolata003209</t>
  </si>
  <si>
    <t>zinc ion binding</t>
  </si>
  <si>
    <t>Ofaveolata003273</t>
  </si>
  <si>
    <t>Ofaveolata003282</t>
  </si>
  <si>
    <t>Ofaveolata003364</t>
  </si>
  <si>
    <t>Ofaveolata003365</t>
  </si>
  <si>
    <t>cytochrome P450</t>
  </si>
  <si>
    <t>Ofaveolata003500</t>
  </si>
  <si>
    <t>amine oxidase</t>
  </si>
  <si>
    <t>Ofaveolata003511</t>
  </si>
  <si>
    <t>Ofaveolata003551</t>
  </si>
  <si>
    <t>Ofaveolata003558</t>
  </si>
  <si>
    <t>Ofaveolata003565</t>
  </si>
  <si>
    <t>3 iron, 4 sulfur cluster binding</t>
  </si>
  <si>
    <t>Ofaveolata003605</t>
  </si>
  <si>
    <t>Ofaveolata003626</t>
  </si>
  <si>
    <t>Ubiquitin carboxyl-terminal hydrolase</t>
  </si>
  <si>
    <t>Ofaveolata003675</t>
  </si>
  <si>
    <t>Ofaveolata003682</t>
  </si>
  <si>
    <t>Ofaveolata003751</t>
  </si>
  <si>
    <t>Tachylectin</t>
  </si>
  <si>
    <t>Ofaveolata003761</t>
  </si>
  <si>
    <t>methylenetetrahydrofolate reductase (NAD(P)H) activity</t>
  </si>
  <si>
    <t>Ofaveolata003804</t>
  </si>
  <si>
    <t>Ofaveolata003864</t>
  </si>
  <si>
    <t>Ofaveolata003898</t>
  </si>
  <si>
    <t>Ofaveolata003910</t>
  </si>
  <si>
    <t>Ofaveolata003915</t>
  </si>
  <si>
    <t>FG-GAP repeat</t>
  </si>
  <si>
    <t>Ofaveolata003916</t>
  </si>
  <si>
    <t>protein import into peroxisome matrix</t>
  </si>
  <si>
    <t>Ofaveolata003918</t>
  </si>
  <si>
    <t>polysaccharide catabolic process</t>
  </si>
  <si>
    <t>Ofaveolata003927</t>
  </si>
  <si>
    <t>ubiquitin-dependent ERAD pathway</t>
  </si>
  <si>
    <t>Ofaveolata003951</t>
  </si>
  <si>
    <t>Ofaveolata004001</t>
  </si>
  <si>
    <t>Ofaveolata004071</t>
  </si>
  <si>
    <t>Ofaveolata004091</t>
  </si>
  <si>
    <t>myosin light chain kinase activity</t>
  </si>
  <si>
    <t>Ofaveolata004098</t>
  </si>
  <si>
    <t>erythroblast transformation specific domain</t>
  </si>
  <si>
    <t>Ofaveolata004174</t>
  </si>
  <si>
    <t>Ofaveolata004305</t>
  </si>
  <si>
    <t>ABC-2 type transporter</t>
  </si>
  <si>
    <t>Ofaveolata004379</t>
  </si>
  <si>
    <t>Olfactomedin-like 2A</t>
  </si>
  <si>
    <t>Ofaveolata004422</t>
  </si>
  <si>
    <t>Ofaveolata004466</t>
  </si>
  <si>
    <t>Leukocyte cysteine proteinase inhibitor 1-like</t>
  </si>
  <si>
    <t>Ofaveolata004483</t>
  </si>
  <si>
    <t>RNA splicing</t>
  </si>
  <si>
    <t>Ofaveolata004497</t>
  </si>
  <si>
    <t>mRNA methylation</t>
  </si>
  <si>
    <t>Ofaveolata004517</t>
  </si>
  <si>
    <t>Ofaveolata004521</t>
  </si>
  <si>
    <t>Ofaveolata004522</t>
  </si>
  <si>
    <t>Ofaveolata004539</t>
  </si>
  <si>
    <t>telomeric repeat-containing RNA binding</t>
  </si>
  <si>
    <t>Ofaveolata004555</t>
  </si>
  <si>
    <t>Ofaveolata004574</t>
  </si>
  <si>
    <t>Ofaveolata004632</t>
  </si>
  <si>
    <t>Atrial natriuretic peptide receptor</t>
  </si>
  <si>
    <t>Ofaveolata004705</t>
  </si>
  <si>
    <t>Ofaveolata004759</t>
  </si>
  <si>
    <t>Ofaveolata004774</t>
  </si>
  <si>
    <t>Ofaveolata004811</t>
  </si>
  <si>
    <t>Ofaveolata004818</t>
  </si>
  <si>
    <t>Ofaveolata004832</t>
  </si>
  <si>
    <t>Ofaveolata004859</t>
  </si>
  <si>
    <t>Ofaveolata004870</t>
  </si>
  <si>
    <t>Ofaveolata004958</t>
  </si>
  <si>
    <t>protein xylosyltransferase activity</t>
  </si>
  <si>
    <t>Ofaveolata004983</t>
  </si>
  <si>
    <t>Ofaveolata005006</t>
  </si>
  <si>
    <t>fibroblast growth factor binding</t>
  </si>
  <si>
    <t>Ofaveolata005127</t>
  </si>
  <si>
    <t>metalloendopeptidase activity</t>
  </si>
  <si>
    <t>Ofaveolata005179</t>
  </si>
  <si>
    <t>Neurotransmitter-gated ion-channel ligand binding domain</t>
  </si>
  <si>
    <t>Ofaveolata005234</t>
  </si>
  <si>
    <t>small ribosomal subunit rRNA binding</t>
  </si>
  <si>
    <t>Ofaveolata005325</t>
  </si>
  <si>
    <t>sequestering of actin monomers</t>
  </si>
  <si>
    <t>Ofaveolata005554</t>
  </si>
  <si>
    <t>Ofaveolata005637</t>
  </si>
  <si>
    <t>acyl-L-homoserine-lactone lactonohydrolase activity</t>
  </si>
  <si>
    <t>Ofaveolata005644</t>
  </si>
  <si>
    <t>Ofaveolata005794</t>
  </si>
  <si>
    <t>protein homooligomerization</t>
  </si>
  <si>
    <t>Ofaveolata005888</t>
  </si>
  <si>
    <t>denticleless E3 ubiquitin protein ligase homolog (Drosophila)</t>
  </si>
  <si>
    <t>Ofaveolata005963</t>
  </si>
  <si>
    <t>Zinc-dependent metalloprotease</t>
  </si>
  <si>
    <t>Ofaveolata006009</t>
  </si>
  <si>
    <t>regulation of mitotic cell cycle</t>
  </si>
  <si>
    <t>Ofaveolata006010</t>
  </si>
  <si>
    <t>Catalyzes the hydrolysis of N-formyl-L-kynurenine to L- kynurenine, the second step in the kynurenine pathway of tryptophan degradation. Kynurenine may be further oxidized to nicotinic acid, NAD(H) and NADP(H). Required for elimination of toxic metabolites</t>
  </si>
  <si>
    <t>Ofaveolata006036</t>
  </si>
  <si>
    <t>Ofaveolata006080</t>
  </si>
  <si>
    <t>TNF receptor-associated factor BIRC3 binding domain</t>
  </si>
  <si>
    <t>Ofaveolata006094</t>
  </si>
  <si>
    <t>phosphatidylinositol-3-phosphate binding</t>
  </si>
  <si>
    <t>Ofaveolata006101</t>
  </si>
  <si>
    <t>Ofaveolata006118</t>
  </si>
  <si>
    <t>UDP-sugar diphosphatase activity</t>
  </si>
  <si>
    <t>Ofaveolata006126</t>
  </si>
  <si>
    <t>Ofaveolata006157</t>
  </si>
  <si>
    <t>Ofaveolata006193</t>
  </si>
  <si>
    <t>Ofaveolata006215</t>
  </si>
  <si>
    <t>Ofaveolata006236</t>
  </si>
  <si>
    <t>Ofaveolata006314</t>
  </si>
  <si>
    <t>polycystic kidney disease protein 1-like</t>
  </si>
  <si>
    <t>Ofaveolata006376</t>
  </si>
  <si>
    <t>Ofaveolata006385</t>
  </si>
  <si>
    <t>Ofaveolata006433</t>
  </si>
  <si>
    <t>Ofaveolata006440</t>
  </si>
  <si>
    <t>Ofaveolata006629</t>
  </si>
  <si>
    <t>NAD/NADP octopine/nopaline dehydrogenase, alpha-helical domain</t>
  </si>
  <si>
    <t>Ofaveolata006864</t>
  </si>
  <si>
    <t>Ofaveolata006878</t>
  </si>
  <si>
    <t>Ofaveolata006892</t>
  </si>
  <si>
    <t>Ofaveolata007058</t>
  </si>
  <si>
    <t>Ofaveolata007085</t>
  </si>
  <si>
    <t>Ofaveolata007089</t>
  </si>
  <si>
    <t>D-glutamate cyclase activity</t>
  </si>
  <si>
    <t>Ofaveolata007117</t>
  </si>
  <si>
    <t>kinetochore-associated protein 1</t>
  </si>
  <si>
    <t>Ofaveolata007289</t>
  </si>
  <si>
    <t>Ofaveolata007369</t>
  </si>
  <si>
    <t>Ofaveolata007406</t>
  </si>
  <si>
    <t>Ofaveolata007437</t>
  </si>
  <si>
    <t>acetyl-CoA metabolic process</t>
  </si>
  <si>
    <t>Ofaveolata007471</t>
  </si>
  <si>
    <t>structural constituent of eye lens</t>
  </si>
  <si>
    <t>Ofaveolata007472</t>
  </si>
  <si>
    <t>serine threonine</t>
  </si>
  <si>
    <t>Ofaveolata007504</t>
  </si>
  <si>
    <t>Thrombospondin type 1 repeats</t>
  </si>
  <si>
    <t>Ofaveolata007580</t>
  </si>
  <si>
    <t>BTB/POZ domain</t>
  </si>
  <si>
    <t>Ofaveolata007632</t>
  </si>
  <si>
    <t>Ofaveolata007703</t>
  </si>
  <si>
    <t>coreceptor activity involved in Wnt signaling pathway, planar cell polarity pathway</t>
  </si>
  <si>
    <t>Ofaveolata007726</t>
  </si>
  <si>
    <t>Ofaveolata007733</t>
  </si>
  <si>
    <t>Ofaveolata007735</t>
  </si>
  <si>
    <t>Testis-expressed sequence 30 protein</t>
  </si>
  <si>
    <t>Ofaveolata007736</t>
  </si>
  <si>
    <t>Ofaveolata007809</t>
  </si>
  <si>
    <t>Dispatched homolog 1</t>
  </si>
  <si>
    <t>Ofaveolata007823</t>
  </si>
  <si>
    <t>toxin transport</t>
  </si>
  <si>
    <t>Ofaveolata007882</t>
  </si>
  <si>
    <t>Claspin isoform</t>
  </si>
  <si>
    <t>Ofaveolata007900</t>
  </si>
  <si>
    <t>L-2-hydroxyglutarate dehydrogenase</t>
  </si>
  <si>
    <t>Ofaveolata008057</t>
  </si>
  <si>
    <t>positive regulation of inhibitory postsynaptic potential</t>
  </si>
  <si>
    <t>Ofaveolata008168</t>
  </si>
  <si>
    <t>Ofaveolata008214</t>
  </si>
  <si>
    <t>Ofaveolata008240</t>
  </si>
  <si>
    <t>protein-DNA loading ATPase activity</t>
  </si>
  <si>
    <t>Ofaveolata008243</t>
  </si>
  <si>
    <t>Neuronal pentraxin 2b</t>
  </si>
  <si>
    <t>Ofaveolata008273</t>
  </si>
  <si>
    <t>Carboxylesterase family</t>
  </si>
  <si>
    <t>Ofaveolata008303</t>
  </si>
  <si>
    <t>regulation of MAPK export from nucleus</t>
  </si>
  <si>
    <t>Ofaveolata008306</t>
  </si>
  <si>
    <t>Ofaveolata008311</t>
  </si>
  <si>
    <t>calcium ion binding</t>
  </si>
  <si>
    <t>Ofaveolata008505</t>
  </si>
  <si>
    <t>Poly (ADP-ribose) polymerase</t>
  </si>
  <si>
    <t>Ofaveolata008507</t>
  </si>
  <si>
    <t>Ofaveolata008573</t>
  </si>
  <si>
    <t>Zinc-finger (CX5CX6HX5H) motif</t>
  </si>
  <si>
    <t>Ofaveolata008625</t>
  </si>
  <si>
    <t>dyslexia-associated protein</t>
  </si>
  <si>
    <t>Ofaveolata008630</t>
  </si>
  <si>
    <t>LicD family</t>
  </si>
  <si>
    <t>Ofaveolata008648</t>
  </si>
  <si>
    <t>Ofaveolata008666</t>
  </si>
  <si>
    <t>Ofaveolata008732</t>
  </si>
  <si>
    <t>Ofaveolata008922</t>
  </si>
  <si>
    <t>Ofaveolata008925</t>
  </si>
  <si>
    <t>Ofaveolata008980</t>
  </si>
  <si>
    <t>positive regulation of interleukin-13 biosynthetic process</t>
  </si>
  <si>
    <t>Ofaveolata009089</t>
  </si>
  <si>
    <t>Ofaveolata009131</t>
  </si>
  <si>
    <t>Ofaveolata009424</t>
  </si>
  <si>
    <t>Ofaveolata009557</t>
  </si>
  <si>
    <t>Ofaveolata009601</t>
  </si>
  <si>
    <t>Ofaveolata009609</t>
  </si>
  <si>
    <t>RNA binding motif protein</t>
  </si>
  <si>
    <t>Ofaveolata009671</t>
  </si>
  <si>
    <t>Ofaveolata009704</t>
  </si>
  <si>
    <t>anaerobic respiration</t>
  </si>
  <si>
    <t>Ofaveolata009742</t>
  </si>
  <si>
    <t>Ofaveolata009751</t>
  </si>
  <si>
    <t>intracellular protein transport</t>
  </si>
  <si>
    <t>Ofaveolata009759</t>
  </si>
  <si>
    <t>nicotinate nucleotide biosynthetic process</t>
  </si>
  <si>
    <t>Ofaveolata009785</t>
  </si>
  <si>
    <t>NADP-retinol dehydrogenase activity</t>
  </si>
  <si>
    <t>Ofaveolata009795</t>
  </si>
  <si>
    <t>Ofaveolata009975</t>
  </si>
  <si>
    <t>Ofaveolata010034</t>
  </si>
  <si>
    <t>Ofaveolata010068</t>
  </si>
  <si>
    <t>tachykinin receptor activity</t>
  </si>
  <si>
    <t>Ofaveolata010074</t>
  </si>
  <si>
    <t>lipid transport</t>
  </si>
  <si>
    <t>Ofaveolata010088</t>
  </si>
  <si>
    <t>process utilizing autophagic mechanism</t>
  </si>
  <si>
    <t>Ofaveolata010224</t>
  </si>
  <si>
    <t>Ofaveolata010246</t>
  </si>
  <si>
    <t>DNA-directed RNA polymerase III subunit</t>
  </si>
  <si>
    <t>Ofaveolata010265</t>
  </si>
  <si>
    <t>ATPase activity</t>
  </si>
  <si>
    <t>Ofaveolata010383</t>
  </si>
  <si>
    <t>6-phosphofructo-2-kinase activity</t>
  </si>
  <si>
    <t>Ofaveolata010399</t>
  </si>
  <si>
    <t>organic anion transmembrane transporter activity</t>
  </si>
  <si>
    <t>Ofaveolata010474</t>
  </si>
  <si>
    <t>Ofaveolata010559</t>
  </si>
  <si>
    <t>Ofaveolata010622</t>
  </si>
  <si>
    <t>Leucine-rich repeat protein</t>
  </si>
  <si>
    <t>Ofaveolata010661</t>
  </si>
  <si>
    <t>Ofaveolata010678</t>
  </si>
  <si>
    <t>Solute carrier family 39 (zinc transporter), member 14</t>
  </si>
  <si>
    <t>Ofaveolata010679</t>
  </si>
  <si>
    <t>ZIP Zinc transporter</t>
  </si>
  <si>
    <t>Ofaveolata010685</t>
  </si>
  <si>
    <t>Ofaveolata010751</t>
  </si>
  <si>
    <t>Ofaveolata010805</t>
  </si>
  <si>
    <t>Ofaveolata010838</t>
  </si>
  <si>
    <t>cell-matrix adhesion</t>
  </si>
  <si>
    <t>Ofaveolata010856</t>
  </si>
  <si>
    <t>RNA polymerase</t>
  </si>
  <si>
    <t>Ofaveolata010866</t>
  </si>
  <si>
    <t>Ofaveolata010902</t>
  </si>
  <si>
    <t>Ofaveolata010913</t>
  </si>
  <si>
    <t>Valosin containing protein (p97) p47 complex interacting protein 1</t>
  </si>
  <si>
    <t>Ofaveolata010925</t>
  </si>
  <si>
    <t>Ofaveolata011135</t>
  </si>
  <si>
    <t>Ofaveolata011256</t>
  </si>
  <si>
    <t>phosphatidylserine binding</t>
  </si>
  <si>
    <t>Ofaveolata011272</t>
  </si>
  <si>
    <t>Ofaveolata011371</t>
  </si>
  <si>
    <t>Ofaveolata011372</t>
  </si>
  <si>
    <t>Ofaveolata011377</t>
  </si>
  <si>
    <t>heterogeneous nuclear ribonucleoprotein</t>
  </si>
  <si>
    <t>Ofaveolata011382</t>
  </si>
  <si>
    <t>positive regulation of DNA-binding transcription factor activity</t>
  </si>
  <si>
    <t>Ofaveolata011407</t>
  </si>
  <si>
    <t>N-acetyl-beta-glucosaminyl-glycoprotein 4-beta-N-acetylgalactosaminyltransferase activity</t>
  </si>
  <si>
    <t>Ofaveolata011415</t>
  </si>
  <si>
    <t>Ofaveolata011417</t>
  </si>
  <si>
    <t>Ofaveolata011443</t>
  </si>
  <si>
    <t>Transcriptional regulator, SIX1, N-terminal SD domain</t>
  </si>
  <si>
    <t>Ofaveolata011468</t>
  </si>
  <si>
    <t>Ofaveolata011478</t>
  </si>
  <si>
    <t>Ofaveolata011557</t>
  </si>
  <si>
    <t>Ofaveolata011609</t>
  </si>
  <si>
    <t>Ofaveolata011639</t>
  </si>
  <si>
    <t>Ofaveolata011648</t>
  </si>
  <si>
    <t>Persulfide dioxygenase ETHE1</t>
  </si>
  <si>
    <t>Ofaveolata011736</t>
  </si>
  <si>
    <t>Ofaveolata011737</t>
  </si>
  <si>
    <t>THAP domain containing</t>
  </si>
  <si>
    <t>Ofaveolata011822</t>
  </si>
  <si>
    <t>Ofaveolata011945</t>
  </si>
  <si>
    <t>Ofaveolata012133</t>
  </si>
  <si>
    <t>Ofaveolata012179</t>
  </si>
  <si>
    <t>Ofaveolata012253</t>
  </si>
  <si>
    <t>Ofaveolata012289</t>
  </si>
  <si>
    <t>dipeptidyl-peptidase activity</t>
  </si>
  <si>
    <t>Ofaveolata012297</t>
  </si>
  <si>
    <t>Ofaveolata012310</t>
  </si>
  <si>
    <t>U6 snRNA 3'-end processing</t>
  </si>
  <si>
    <t>Ofaveolata012311</t>
  </si>
  <si>
    <t>Ofaveolata012351</t>
  </si>
  <si>
    <t>Ofaveolata012389</t>
  </si>
  <si>
    <t>Ofaveolata012401</t>
  </si>
  <si>
    <t>Ofaveolata012490</t>
  </si>
  <si>
    <t>Ofaveolata012498</t>
  </si>
  <si>
    <t>Ofaveolata012651</t>
  </si>
  <si>
    <t>Ofaveolata012652</t>
  </si>
  <si>
    <t>Ofaveolata012658</t>
  </si>
  <si>
    <t>SUMO conjugating enzyme activity</t>
  </si>
  <si>
    <t>Ofaveolata012670</t>
  </si>
  <si>
    <t>Ofaveolata012682</t>
  </si>
  <si>
    <t>Ofaveolata012800</t>
  </si>
  <si>
    <t>Ofaveolata012823</t>
  </si>
  <si>
    <t>SCY1-like protein 2</t>
  </si>
  <si>
    <t>Ofaveolata012847</t>
  </si>
  <si>
    <t>sequence-specific DNA binding</t>
  </si>
  <si>
    <t>Ofaveolata012851</t>
  </si>
  <si>
    <t>Ofaveolata012864</t>
  </si>
  <si>
    <t>Ofaveolata012950</t>
  </si>
  <si>
    <t>cationic amino acid transporter</t>
  </si>
  <si>
    <t>Ofaveolata012975</t>
  </si>
  <si>
    <t>Ofaveolata013004</t>
  </si>
  <si>
    <t>Rieske-like [2Fe-2S] domain</t>
  </si>
  <si>
    <t>Ofaveolata013028</t>
  </si>
  <si>
    <t>Ofaveolata013096</t>
  </si>
  <si>
    <t>vesicle-mediated transport</t>
  </si>
  <si>
    <t>Ofaveolata013116</t>
  </si>
  <si>
    <t>sulfuric ester hydrolase activity</t>
  </si>
  <si>
    <t>Ofaveolata013158</t>
  </si>
  <si>
    <t>cAMP-dependent protein kinase regulator activity</t>
  </si>
  <si>
    <t>Ofaveolata013242</t>
  </si>
  <si>
    <t>Ofaveolata013273</t>
  </si>
  <si>
    <t>ethanolamine kinase activity</t>
  </si>
  <si>
    <t>Ofaveolata013317</t>
  </si>
  <si>
    <t>Ofaveolata013427</t>
  </si>
  <si>
    <t>Metalloendopeptidase activity. It is involved in the biological process described with proteolysis</t>
  </si>
  <si>
    <t>Ofaveolata013458</t>
  </si>
  <si>
    <t>thyroid hormone transmembrane transporter activity</t>
  </si>
  <si>
    <t>Ofaveolata013470</t>
  </si>
  <si>
    <t>Ofaveolata013569</t>
  </si>
  <si>
    <t>complement activation, classical pathway</t>
  </si>
  <si>
    <t>Ofaveolata013610</t>
  </si>
  <si>
    <t>Ofaveolata013996</t>
  </si>
  <si>
    <t>Asparagine-linked glycosylation 1 homolog (yeast, beta-1,4-mannosyltransferase)</t>
  </si>
  <si>
    <t>Ofaveolata014082</t>
  </si>
  <si>
    <t>Ofaveolata014124</t>
  </si>
  <si>
    <t>DBH-like monooxygenase protein 1</t>
  </si>
  <si>
    <t>Ofaveolata014228</t>
  </si>
  <si>
    <t>Ofaveolata014240</t>
  </si>
  <si>
    <t>Ofaveolata014318</t>
  </si>
  <si>
    <t>Ofaveolata014336</t>
  </si>
  <si>
    <t>rRNA binding</t>
  </si>
  <si>
    <t>Ofaveolata014340</t>
  </si>
  <si>
    <t>Ofaveolata014381</t>
  </si>
  <si>
    <t>Ofaveolata014511</t>
  </si>
  <si>
    <t>Ofaveolata014657</t>
  </si>
  <si>
    <t>Retinoschisin</t>
  </si>
  <si>
    <t>Ofaveolata014826</t>
  </si>
  <si>
    <t>DNA topoisomerase type I activity</t>
  </si>
  <si>
    <t>Ofaveolata014903</t>
  </si>
  <si>
    <t>Ofaveolata014934</t>
  </si>
  <si>
    <t>Ofaveolata014950</t>
  </si>
  <si>
    <t>Ofaveolata014961</t>
  </si>
  <si>
    <t>Erythrocyte membrane protein band 4.1 like</t>
  </si>
  <si>
    <t>Ofaveolata015107</t>
  </si>
  <si>
    <t>Component of the transcription regulatory histone acetylation (HAT) complex SAGA, a multiprotein complex that activates transcription by remodeling chromatin and mediating histone acetylation and deubiquitination. Within the SAGA complex, participates in a subcomplex that specifically deubiquitinates</t>
  </si>
  <si>
    <t>Ofaveolata015273</t>
  </si>
  <si>
    <t>potassium voltage-gated channel, subfamily H</t>
  </si>
  <si>
    <t>Ofaveolata015311</t>
  </si>
  <si>
    <t>amyloid-beta metabolic process</t>
  </si>
  <si>
    <t>Ofaveolata015386</t>
  </si>
  <si>
    <t>BIR domain binding</t>
  </si>
  <si>
    <t>Ofaveolata015576</t>
  </si>
  <si>
    <t>Ofaveolata015669</t>
  </si>
  <si>
    <t>Ofaveolata016004</t>
  </si>
  <si>
    <t>sodium-dependent L-ascorbate transmembrane transporter activity</t>
  </si>
  <si>
    <t>Ofaveolata016005</t>
  </si>
  <si>
    <t>Ofaveolata016011</t>
  </si>
  <si>
    <t>Ofaveolata016018</t>
  </si>
  <si>
    <t>Universal stress protein family</t>
  </si>
  <si>
    <t>Ofaveolata016232</t>
  </si>
  <si>
    <t>development of secondary male sexual characteristics</t>
  </si>
  <si>
    <t>Ofaveolata016276</t>
  </si>
  <si>
    <t>Ofaveolata016297</t>
  </si>
  <si>
    <t>Ofaveolata016365</t>
  </si>
  <si>
    <t>Ofaveolata016366</t>
  </si>
  <si>
    <t>Ofaveolata016430</t>
  </si>
  <si>
    <t>Ofaveolata016488</t>
  </si>
  <si>
    <t>Methyltransferase domain</t>
  </si>
  <si>
    <t>Ofaveolata016489</t>
  </si>
  <si>
    <t>Ofaveolata016568</t>
  </si>
  <si>
    <t>Ofaveolata016671</t>
  </si>
  <si>
    <t>NADH dehydrogenase ubiquinone 1 alpha subcomplex subunit 4</t>
  </si>
  <si>
    <t>Ofaveolata016708</t>
  </si>
  <si>
    <t>plasmacytoid dendritic cell antigen processing and presentation</t>
  </si>
  <si>
    <t>Ofaveolata017123</t>
  </si>
  <si>
    <t>Ofaveolata017231</t>
  </si>
  <si>
    <t>Ofaveolata017262</t>
  </si>
  <si>
    <t>Ofaveolata017330</t>
  </si>
  <si>
    <t>DNA replication initiation</t>
  </si>
  <si>
    <t>Ofaveolata017413</t>
  </si>
  <si>
    <t>four-way junction helicase activity</t>
  </si>
  <si>
    <t>Ofaveolata017416</t>
  </si>
  <si>
    <t>alpha-(1-&gt;3)-fucosyltransferase activity</t>
  </si>
  <si>
    <t>Ofaveolata017447</t>
  </si>
  <si>
    <t>regulator of chromosome condensation (RCC1) and BTB (POZ) domain containing protein</t>
  </si>
  <si>
    <t>Ofaveolata017458</t>
  </si>
  <si>
    <t>Ofaveolata017480</t>
  </si>
  <si>
    <t>Ofaveolata017573</t>
  </si>
  <si>
    <t>Ofaveolata017583</t>
  </si>
  <si>
    <t>Ofaveolata017642</t>
  </si>
  <si>
    <t>mRNA-containing ribonucleoprotein complex export from nucleus</t>
  </si>
  <si>
    <t>Ofaveolata017643</t>
  </si>
  <si>
    <t>WD40 repeats</t>
  </si>
  <si>
    <t>Ofaveolata017647</t>
  </si>
  <si>
    <t>Rhomboid domain containing 1</t>
  </si>
  <si>
    <t>Ofaveolata017689</t>
  </si>
  <si>
    <t>Ofaveolata017732</t>
  </si>
  <si>
    <t>Ofaveolata017736</t>
  </si>
  <si>
    <t>Ofaveolata017750</t>
  </si>
  <si>
    <t>Ofaveolata017763</t>
  </si>
  <si>
    <t>Ofaveolata017766</t>
  </si>
  <si>
    <t>Ofaveolata017773</t>
  </si>
  <si>
    <t>Ofaveolata017812</t>
  </si>
  <si>
    <t>nucleic acid-templated transcription</t>
  </si>
  <si>
    <t>Ofaveolata017873</t>
  </si>
  <si>
    <t>Ofaveolata017889</t>
  </si>
  <si>
    <t>SAM dependent carboxyl methyltransferase</t>
  </si>
  <si>
    <t>Ofaveolata017953</t>
  </si>
  <si>
    <t>Ofaveolata017981</t>
  </si>
  <si>
    <t>Potassium channel tetramerization domain containing 7</t>
  </si>
  <si>
    <t>Ofaveolata017995</t>
  </si>
  <si>
    <t>Ofaveolata018028</t>
  </si>
  <si>
    <t>Ofaveolata018066</t>
  </si>
  <si>
    <t>Ofaveolata018127</t>
  </si>
  <si>
    <t>Ofaveolata018240</t>
  </si>
  <si>
    <t>Ofaveolata018279</t>
  </si>
  <si>
    <t>CybS, succinate dehydrogenase cytochrome B small subunit</t>
  </si>
  <si>
    <t>Ofaveolata018307</t>
  </si>
  <si>
    <t>Ofaveolata018368</t>
  </si>
  <si>
    <t>NADPH:quinone reductase activity</t>
  </si>
  <si>
    <t>Ofaveolata018415</t>
  </si>
  <si>
    <t>Olfactomedin 1</t>
  </si>
  <si>
    <t>Ofaveolata018480</t>
  </si>
  <si>
    <t>Ofaveolata018519</t>
  </si>
  <si>
    <t>Ofaveolata018586</t>
  </si>
  <si>
    <t>Ofaveolata018602</t>
  </si>
  <si>
    <t>Ofaveolata018619</t>
  </si>
  <si>
    <t>Ofaveolata018628</t>
  </si>
  <si>
    <t>Ofaveolata018679</t>
  </si>
  <si>
    <t>Ofaveolata018727</t>
  </si>
  <si>
    <t>Ofaveolata018748</t>
  </si>
  <si>
    <t>Hydrolase activity. It is involved in the biological process described with metabolic process</t>
  </si>
  <si>
    <t>Ofaveolata018828</t>
  </si>
  <si>
    <t>Ofaveolata018831</t>
  </si>
  <si>
    <t>telomere formation via telomerase</t>
  </si>
  <si>
    <t>Ofaveolata018989</t>
  </si>
  <si>
    <t>Belongs to the DHHC palmitoyltransferase family</t>
  </si>
  <si>
    <t>Ofaveolata019063</t>
  </si>
  <si>
    <t>Ofaveolata019126</t>
  </si>
  <si>
    <t>Belongs to the UDP-glycosyltransferase family</t>
  </si>
  <si>
    <t>Ofaveolata019214</t>
  </si>
  <si>
    <t>Ofaveolata019245</t>
  </si>
  <si>
    <t>Ofaveolata019249</t>
  </si>
  <si>
    <t>Ofaveolata019317</t>
  </si>
  <si>
    <t>Ofaveolata019335</t>
  </si>
  <si>
    <t>Ofaveolata019428</t>
  </si>
  <si>
    <t>Ofaveolata019616</t>
  </si>
  <si>
    <t>Ribosomal RNA processing 8, methyltransferase, homolog (yeast)</t>
  </si>
  <si>
    <t>Ofaveolata019846</t>
  </si>
  <si>
    <t>Ofaveolata019850</t>
  </si>
  <si>
    <t>Ofaveolata019852</t>
  </si>
  <si>
    <t>Ofaveolata019863</t>
  </si>
  <si>
    <t>Ofaveolata019864</t>
  </si>
  <si>
    <t>Ofaveolata019918</t>
  </si>
  <si>
    <t>Rho guanyl-nucleotide exchange factor activity</t>
  </si>
  <si>
    <t>Ofaveolata019995</t>
  </si>
  <si>
    <t>GTPase activator activity</t>
  </si>
  <si>
    <t>Ofaveolata020229</t>
  </si>
  <si>
    <t>Ofaveolata020679</t>
  </si>
  <si>
    <t>Ofaveolata020795</t>
  </si>
  <si>
    <t>Ofaveolata020861</t>
  </si>
  <si>
    <t>Ofaveolata020869</t>
  </si>
  <si>
    <t>Ofaveolata020872</t>
  </si>
  <si>
    <t>Ofaveolata020991</t>
  </si>
  <si>
    <t>Glutamate/Leucine/Phenylalanine/Valine dehydrogenase</t>
  </si>
  <si>
    <t>Ofaveolata021033</t>
  </si>
  <si>
    <t>Ofaveolata021148</t>
  </si>
  <si>
    <t>Ofaveolata021157</t>
  </si>
  <si>
    <t>Ofaveolata021227</t>
  </si>
  <si>
    <t>Ofaveolata021270</t>
  </si>
  <si>
    <t>Ofaveolata021328</t>
  </si>
  <si>
    <t>Belongs to the CD36 family</t>
  </si>
  <si>
    <t>Ofaveolata021347</t>
  </si>
  <si>
    <t>Ofaveolata021379</t>
  </si>
  <si>
    <t>protein kinase activity</t>
  </si>
  <si>
    <t>Ofaveolata021402</t>
  </si>
  <si>
    <t>urate homeostasis</t>
  </si>
  <si>
    <t>Ofaveolata021411</t>
  </si>
  <si>
    <t>Ofaveolata021412</t>
  </si>
  <si>
    <t>Epidermal growth factor-like domain.</t>
  </si>
  <si>
    <t>Ofaveolata021416</t>
  </si>
  <si>
    <t>Ofaveolata021476</t>
  </si>
  <si>
    <t>Ofaveolata021516</t>
  </si>
  <si>
    <t>glucuronosyltransferase activity</t>
  </si>
  <si>
    <t>Ofaveolata021570</t>
  </si>
  <si>
    <t>Ofaveolata021680</t>
  </si>
  <si>
    <t>Ofaveolata021813</t>
  </si>
  <si>
    <t>Ofaveolata021825</t>
  </si>
  <si>
    <t>COMM domain-containing protein</t>
  </si>
  <si>
    <t>Ofaveolata021897</t>
  </si>
  <si>
    <t>Responsible for the deiodination of T4 (3,5,3',5'- tetraiodothyronine)</t>
  </si>
  <si>
    <t>Ofaveolata021924</t>
  </si>
  <si>
    <t>Kinesin family</t>
  </si>
  <si>
    <t>Ofaveolata021926</t>
  </si>
  <si>
    <t>Ofaveolata021928</t>
  </si>
  <si>
    <t>Ofaveolata022104</t>
  </si>
  <si>
    <t>factor receptor</t>
  </si>
  <si>
    <t>Ofaveolata022109</t>
  </si>
  <si>
    <t>Ofaveolata022113</t>
  </si>
  <si>
    <t>Ofaveolata022115</t>
  </si>
  <si>
    <t>Ofaveolata022127</t>
  </si>
  <si>
    <t>Ofaveolata022129</t>
  </si>
  <si>
    <t>Ofaveolata022131</t>
  </si>
  <si>
    <t>Ofaveolata022213</t>
  </si>
  <si>
    <t>Belongs to the glycosyl hydrolase 18 family</t>
  </si>
  <si>
    <t>Ofaveolata022239</t>
  </si>
  <si>
    <t>Ofaveolata022246</t>
  </si>
  <si>
    <t>Ofaveolata022268</t>
  </si>
  <si>
    <t>Ofaveolata022290</t>
  </si>
  <si>
    <t>apoptotic process</t>
  </si>
  <si>
    <t>Ofaveolata022300</t>
  </si>
  <si>
    <t>CRAL/TRIO domain</t>
  </si>
  <si>
    <t>Ofaveolata022362</t>
  </si>
  <si>
    <t>Ofaveolata022419</t>
  </si>
  <si>
    <t>Ofaveolata022475</t>
  </si>
  <si>
    <t>Ofaveolata022550</t>
  </si>
  <si>
    <t>Ofaveolata022625</t>
  </si>
  <si>
    <t>Ofaveolata022626</t>
  </si>
  <si>
    <t>Ofaveolata022669</t>
  </si>
  <si>
    <t>intraflagellar transport</t>
  </si>
  <si>
    <t>Ofaveolata022761</t>
  </si>
  <si>
    <t>Ofaveolata022992</t>
  </si>
  <si>
    <t>Ofaveolata023025</t>
  </si>
  <si>
    <t>Ofaveolata023144</t>
  </si>
  <si>
    <t>Ubiquitin homologues</t>
  </si>
  <si>
    <t>Ofaveolata023188</t>
  </si>
  <si>
    <t>Ofaveolata023203</t>
  </si>
  <si>
    <t>ribosomal protein S23</t>
  </si>
  <si>
    <t>Ofaveolata023221</t>
  </si>
  <si>
    <t>Transfers N-acetylgalactosamine (GalNAc) from UDP-GalNAc to N-acetylglucosamine-beta-benzyl with a beta-1,4-linkage to form N,N'-diacetyllactosediamine, GalNAc-beta-1,4-GlcNAc structures in N-linked glycans and probably O-linked glycans</t>
  </si>
  <si>
    <t>Ofaveolata023329</t>
  </si>
  <si>
    <t>glutathione hydrolase activity</t>
  </si>
  <si>
    <t>Ofaveolata023330</t>
  </si>
  <si>
    <t>Ofaveolata023335</t>
  </si>
  <si>
    <t>Ofaveolata023357</t>
  </si>
  <si>
    <t>Ofaveolata023433</t>
  </si>
  <si>
    <t>Ofaveolata023493</t>
  </si>
  <si>
    <t>Ofaveolata023503</t>
  </si>
  <si>
    <t>Ofaveolata023596</t>
  </si>
  <si>
    <t>Ofaveolata023677</t>
  </si>
  <si>
    <t>Ofaveolata023785</t>
  </si>
  <si>
    <t>Carbonic anhydrase</t>
  </si>
  <si>
    <t>Ofaveolata023787</t>
  </si>
  <si>
    <t>cytosine C-5 DNA demethylase activity</t>
  </si>
  <si>
    <t>Ofaveolata023872</t>
  </si>
  <si>
    <t>Ofaveolata023978</t>
  </si>
  <si>
    <t>FAD dependent oxidoreductase</t>
  </si>
  <si>
    <t>Ofaveolata024042</t>
  </si>
  <si>
    <t>Ofaveolata024078</t>
  </si>
  <si>
    <t>RNA-directed 5'-3' RNA polymerase activity</t>
  </si>
  <si>
    <t>Ofaveolata024125</t>
  </si>
  <si>
    <t>Ofaveolata024130</t>
  </si>
  <si>
    <t>Eukaryotic translation initiation factor 4 gamma</t>
  </si>
  <si>
    <t>Ofaveolata024155</t>
  </si>
  <si>
    <t>Ofaveolata024161</t>
  </si>
  <si>
    <t>Phospholipase/Carboxylesterase</t>
  </si>
  <si>
    <t>Ofaveolata024167</t>
  </si>
  <si>
    <t>Ofaveolata024315</t>
  </si>
  <si>
    <t>positive regulation of DNA damage response, signal transduction by p53 class mediator</t>
  </si>
  <si>
    <t>Ofaveolata024386</t>
  </si>
  <si>
    <t>DNA primase is the polymerase that synthesizes small RNA primers for the Okazaki fragments made during discontinuous DNA replication</t>
  </si>
  <si>
    <t>Ofaveolata024396</t>
  </si>
  <si>
    <t>Tubulin is the major constituent of microtubules. It binds two moles of GTP, one at an exchangeable site on the beta chain and one at a non-exchangeable site on the alpha chain</t>
  </si>
  <si>
    <t>Ofaveolata024404</t>
  </si>
  <si>
    <t>negative regulation of chemokine (C-C motif) ligand 5 production</t>
  </si>
  <si>
    <t>Ofaveolata024435</t>
  </si>
  <si>
    <t>Ofaveolata024504</t>
  </si>
  <si>
    <t>Ofaveolata024570</t>
  </si>
  <si>
    <t>PX domain</t>
  </si>
  <si>
    <t>Ofaveolata024588</t>
  </si>
  <si>
    <t>Ofaveolata024611</t>
  </si>
  <si>
    <t>Ofaveolata024634</t>
  </si>
  <si>
    <t>Ofaveolata024656</t>
  </si>
  <si>
    <t>Sel1-like repeats.</t>
  </si>
  <si>
    <t>Ofaveolata024680</t>
  </si>
  <si>
    <t>phosphoenolpyruvate carboxykinase activity</t>
  </si>
  <si>
    <t>Ofaveolata024684</t>
  </si>
  <si>
    <t>adenylate cyclase-activating G-protein coupled receptor signaling pathway</t>
  </si>
  <si>
    <t>Ofaveolata024843</t>
  </si>
  <si>
    <t>Ofaveolata024964</t>
  </si>
  <si>
    <t>cysteine-type endopeptidase activity</t>
  </si>
  <si>
    <t>Ofaveolata025017</t>
  </si>
  <si>
    <t>saccharopine dehydrogenase (NAD+, L-lysine-forming) activity</t>
  </si>
  <si>
    <t>Ofaveolata025070</t>
  </si>
  <si>
    <t>positive regulation of NLRP3 inflammasome complex assembly</t>
  </si>
  <si>
    <t>Ofaveolata025135</t>
  </si>
  <si>
    <t>Collagen triple helix</t>
  </si>
  <si>
    <t>Ofaveolata025171</t>
  </si>
  <si>
    <t>steroid hormone receptor activity</t>
  </si>
  <si>
    <t>Ofaveolata025206</t>
  </si>
  <si>
    <t>Ofaveolata025212</t>
  </si>
  <si>
    <t>Galactosyltransferase</t>
  </si>
  <si>
    <t>Ofaveolata025237</t>
  </si>
  <si>
    <t>Ofaveolata025255</t>
  </si>
  <si>
    <t>odorant binding</t>
  </si>
  <si>
    <t>Ofaveolata025268</t>
  </si>
  <si>
    <t>Ofaveolata025296</t>
  </si>
  <si>
    <t>Belongs to the short-chain dehydrogenases reductases (SDR) family</t>
  </si>
  <si>
    <t>Ofaveolata025298</t>
  </si>
  <si>
    <t>Ankyrin repeats (3 copies)</t>
  </si>
  <si>
    <t>Ofaveolata025309</t>
  </si>
  <si>
    <t>Ofaveolata025330</t>
  </si>
  <si>
    <t>Ofaveolata025431</t>
  </si>
  <si>
    <t>semaphorin receptor binding</t>
  </si>
  <si>
    <t>Ofaveolata025522</t>
  </si>
  <si>
    <t>Protein tyrosine kinase</t>
  </si>
  <si>
    <t>Ofaveolata025686</t>
  </si>
  <si>
    <t>Transmembrane amino acid transporter protein</t>
  </si>
  <si>
    <t>Ofaveolata025727</t>
  </si>
  <si>
    <t>carbohydrate binding</t>
  </si>
  <si>
    <t>Ofaveolata025738</t>
  </si>
  <si>
    <t>intracellular chloride channel activity</t>
  </si>
  <si>
    <t>Ofaveolata025743</t>
  </si>
  <si>
    <t>Ofaveolata025791</t>
  </si>
  <si>
    <t>Ofaveolata025854</t>
  </si>
  <si>
    <t>Ofaveolata026027</t>
  </si>
  <si>
    <t>GYF domain</t>
  </si>
  <si>
    <t>Ofaveolata026038</t>
  </si>
  <si>
    <t>Ofaveolata026087</t>
  </si>
  <si>
    <t>Ofaveolata026102</t>
  </si>
  <si>
    <t>Ofaveolata026133</t>
  </si>
  <si>
    <t>methyltransferase</t>
  </si>
  <si>
    <t>Ofaveolata026138</t>
  </si>
  <si>
    <t>Ofaveolata026149</t>
  </si>
  <si>
    <t>Cleavage and polyadenylation</t>
  </si>
  <si>
    <t>Ofaveolata026401</t>
  </si>
  <si>
    <t>V-maf avian musculoaponeurotic fibrosarcoma oncogene homolog</t>
  </si>
  <si>
    <t>Ofaveolata026434</t>
  </si>
  <si>
    <t>Ofaveolata026525</t>
  </si>
  <si>
    <t>Kelch motif</t>
  </si>
  <si>
    <t>Ofaveolata026685</t>
  </si>
  <si>
    <t>Ofaveolata026686</t>
  </si>
  <si>
    <t>gamma-glutamylcyclotransferase activity</t>
  </si>
  <si>
    <t>Ofaveolata026771</t>
  </si>
  <si>
    <t>Ofaveolata026848</t>
  </si>
  <si>
    <t>Ofaveolata026857</t>
  </si>
  <si>
    <t>Ofaveolata026919</t>
  </si>
  <si>
    <t>chloride channel activity</t>
  </si>
  <si>
    <t>Ofaveolata026977</t>
  </si>
  <si>
    <t>Ofaveolata027037</t>
  </si>
  <si>
    <t>Ofaveolata027038</t>
  </si>
  <si>
    <t>Caspase domain</t>
  </si>
  <si>
    <t>Ofaveolata027102</t>
  </si>
  <si>
    <t>Ofaveolata027116</t>
  </si>
  <si>
    <t>protein tyrosine kinase collagen receptor activity</t>
  </si>
  <si>
    <t>Ofaveolata027125</t>
  </si>
  <si>
    <t>Ofaveolata027149</t>
  </si>
  <si>
    <t>Ofaveolata027211</t>
  </si>
  <si>
    <t>phosphoglucomutase activity</t>
  </si>
  <si>
    <t>Ofaveolata027226</t>
  </si>
  <si>
    <t>asparagine synthase (glutamine-hydrolyzing) activity</t>
  </si>
  <si>
    <t>Ofaveolata027251</t>
  </si>
  <si>
    <t>Polysaccharide deacetylase</t>
  </si>
  <si>
    <t>Ofaveolata027264</t>
  </si>
  <si>
    <t>Ofaveolata027265</t>
  </si>
  <si>
    <t>Ofaveolata027354</t>
  </si>
  <si>
    <t>Ofaveolata027358</t>
  </si>
  <si>
    <t>Ofaveolata027391</t>
  </si>
  <si>
    <t>Hydroxysteroid dehydrogenase-like protein</t>
  </si>
  <si>
    <t>Ofaveolata027439</t>
  </si>
  <si>
    <t>Ofaveolata027451</t>
  </si>
  <si>
    <t>negative regulation of protein localization to nucleolus</t>
  </si>
  <si>
    <t>Ofaveolata027478</t>
  </si>
  <si>
    <t>Ofaveolata027517</t>
  </si>
  <si>
    <t>Ankyrin repeat and SOCS box</t>
  </si>
  <si>
    <t>Ofaveolata027548</t>
  </si>
  <si>
    <t>Ofaveolata027573</t>
  </si>
  <si>
    <t>Threonine dehydratase</t>
  </si>
  <si>
    <t>Ofaveolata027709</t>
  </si>
  <si>
    <t>spindle assembly</t>
  </si>
  <si>
    <t>Ofaveolata027711</t>
  </si>
  <si>
    <t>Ofaveolata027716</t>
  </si>
  <si>
    <t>Ofaveolata027834</t>
  </si>
  <si>
    <t>inhibin, beta A</t>
  </si>
  <si>
    <t>Ofaveolata027842</t>
  </si>
  <si>
    <t>Ofaveolata027844</t>
  </si>
  <si>
    <t>axoneme assembly</t>
  </si>
  <si>
    <t>Ofaveolata027867</t>
  </si>
  <si>
    <t>Protein of unknown function (DUF3808)</t>
  </si>
  <si>
    <t>Ofaveolata027878</t>
  </si>
  <si>
    <t>Ofaveolata027931</t>
  </si>
  <si>
    <t>Ofaveolata027984</t>
  </si>
  <si>
    <t>Pyruvate formate lyase-like</t>
  </si>
  <si>
    <t>Ofaveolata028038</t>
  </si>
  <si>
    <t>Ofaveolata028042</t>
  </si>
  <si>
    <t>Ofaveolata028074</t>
  </si>
  <si>
    <t>Ofaveolata028103</t>
  </si>
  <si>
    <t>Ofaveolata028133</t>
  </si>
  <si>
    <t>Ofaveolata028243</t>
  </si>
  <si>
    <t>helicase activity</t>
  </si>
  <si>
    <t>Ofaveolata028262</t>
  </si>
  <si>
    <t>GRAM domain containing 1B</t>
  </si>
  <si>
    <t>Ofaveolata028280</t>
  </si>
  <si>
    <t>tRNA export from nucleus</t>
  </si>
  <si>
    <t>Ofaveolata028391</t>
  </si>
  <si>
    <t>nephronophthisis 1 (juvenile)</t>
  </si>
  <si>
    <t>Ofaveolata028430</t>
  </si>
  <si>
    <t>Ofaveolata028490</t>
  </si>
  <si>
    <t>Ofaveolata028555</t>
  </si>
  <si>
    <t>Ofaveolata028871</t>
  </si>
  <si>
    <t>heart development</t>
  </si>
  <si>
    <t>Ofaveolata029007</t>
  </si>
  <si>
    <t>DENN domain-containing protein</t>
  </si>
  <si>
    <t>Ofaveolata029048</t>
  </si>
  <si>
    <t>Ofaveolata029189</t>
  </si>
  <si>
    <t>betaine-homocysteine S-methyltransferase activity</t>
  </si>
  <si>
    <t>Ofaveolata029192</t>
  </si>
  <si>
    <t>MAC/Perforin domain</t>
  </si>
  <si>
    <t>Ofaveolata029242</t>
  </si>
  <si>
    <t>Ofaveolata029294</t>
  </si>
  <si>
    <t>Belongs to the oxygen-dependent FAD-linked oxidoreductase family</t>
  </si>
  <si>
    <t>Ofaveolata029380</t>
  </si>
  <si>
    <t>Ofaveolata029465</t>
  </si>
  <si>
    <t>Ofaveolata029502</t>
  </si>
  <si>
    <t>Ofaveolata029504</t>
  </si>
  <si>
    <t>Ofaveolata029545</t>
  </si>
  <si>
    <t>Ofaveolata029562</t>
  </si>
  <si>
    <t>Ofaveolata029612</t>
  </si>
  <si>
    <t>Ofaveolata029622</t>
  </si>
  <si>
    <t>Enoyl Coenzyme A hydratase domain containing 1</t>
  </si>
  <si>
    <t>Ofaveolata029633</t>
  </si>
  <si>
    <t>Flavin-binding monooxygenase-like</t>
  </si>
  <si>
    <t>Ofaveolata029695</t>
  </si>
  <si>
    <t>Ribosomal protein S16</t>
  </si>
  <si>
    <t>Ofaveolata029700</t>
  </si>
  <si>
    <t>serotonin receptor activity</t>
  </si>
  <si>
    <t>Ofaveolata029768</t>
  </si>
  <si>
    <t>Ofaveolata029802</t>
  </si>
  <si>
    <t>Ofaveolata029851</t>
  </si>
  <si>
    <t>Lim homeobox</t>
  </si>
  <si>
    <t>Ofaveolata029868</t>
  </si>
  <si>
    <t>SCP / Tpx-1 / Ag5 / PR-1 / Sc7 family of extracellular domains.</t>
  </si>
  <si>
    <t>Ofaveolata029965</t>
  </si>
  <si>
    <t>Ofaveolata029995</t>
  </si>
  <si>
    <t>ankyrin repeat</t>
  </si>
  <si>
    <t>Ofaveolata030146</t>
  </si>
  <si>
    <t>Ofaveolata030208</t>
  </si>
  <si>
    <t>Ofaveolata030214</t>
  </si>
  <si>
    <t>Tnf receptor-associated factor 2</t>
  </si>
  <si>
    <t>Ofaveolata030237</t>
  </si>
  <si>
    <t>xylosyltransferase activity</t>
  </si>
  <si>
    <t>Ofaveolata030250</t>
  </si>
  <si>
    <t>negative regulation of non-canonical Wnt signaling pathway</t>
  </si>
  <si>
    <t>Ofaveolata030284</t>
  </si>
  <si>
    <t>regulation of transcription by RNA polymerase II</t>
  </si>
  <si>
    <t>Ofaveolata030294</t>
  </si>
  <si>
    <t>Ofaveolata030316</t>
  </si>
  <si>
    <t>Ofaveolata030350</t>
  </si>
  <si>
    <t>TBC1 domain family member</t>
  </si>
  <si>
    <t>Ofaveolata030368</t>
  </si>
  <si>
    <t>queuine tRNA-ribosyltransferase activity</t>
  </si>
  <si>
    <t>Ofaveolata030379</t>
  </si>
  <si>
    <t>Ofaveolata030398</t>
  </si>
  <si>
    <t>Ofaveolata030445</t>
  </si>
  <si>
    <t>histone H3-S10 phosphorylation involved in chromosome condensation</t>
  </si>
  <si>
    <t>Ofaveolata030493</t>
  </si>
  <si>
    <t>Formyl transferase, C-terminal domain</t>
  </si>
  <si>
    <t>Ofaveolata030532</t>
  </si>
  <si>
    <t>Zona pellucida-like domain</t>
  </si>
  <si>
    <t>Ofaveolata030584</t>
  </si>
  <si>
    <t>DNA repair protein</t>
  </si>
  <si>
    <t>Ofaveolata030646</t>
  </si>
  <si>
    <t>Ofaveolata030656</t>
  </si>
  <si>
    <t>Crystallin, zeta (quinone reductase)</t>
  </si>
  <si>
    <t>Ofaveolata030677</t>
  </si>
  <si>
    <t>proximal promoter DNA-binding transcription activator activity, RNA polymerase II-specific</t>
  </si>
  <si>
    <t>Ofaveolata030686</t>
  </si>
  <si>
    <t>Ofaveolata030702</t>
  </si>
  <si>
    <t>neurotransmitter:sodium symporter activity</t>
  </si>
  <si>
    <t>Ofaveolata030807</t>
  </si>
  <si>
    <t>phospholipase domain containing 6</t>
  </si>
  <si>
    <t>Ofaveolata030943</t>
  </si>
  <si>
    <t>Ofaveolata031066</t>
  </si>
  <si>
    <t>rRNA base methylation</t>
  </si>
  <si>
    <t>Ofaveolata031080</t>
  </si>
  <si>
    <t>Ofaveolata031110</t>
  </si>
  <si>
    <t>amidohydrolase domain containing 1</t>
  </si>
  <si>
    <t>Ofaveolata031129</t>
  </si>
  <si>
    <t>Ofaveolata031334</t>
  </si>
  <si>
    <t>Common central domain of tyrosinase</t>
  </si>
  <si>
    <t>Ofaveolata031444</t>
  </si>
  <si>
    <t>Ofaveolata031457</t>
  </si>
  <si>
    <t>Ofaveolata031462</t>
  </si>
  <si>
    <t>Solute carrier family 35 (UDP-galactose transporter), member A2</t>
  </si>
  <si>
    <t>Ofaveolata031467</t>
  </si>
  <si>
    <t>Ofaveolata031505</t>
  </si>
  <si>
    <t>Ofaveolata031524</t>
  </si>
  <si>
    <t>Ofaveolata031663</t>
  </si>
  <si>
    <t>Ofaveolata031733</t>
  </si>
  <si>
    <t>Ofaveolata031790</t>
  </si>
  <si>
    <t>Ofaveolata031804</t>
  </si>
  <si>
    <t>Leukotriene A-4 hydrolase</t>
  </si>
  <si>
    <t>Ofaveolata031835</t>
  </si>
  <si>
    <t>Sortilin</t>
  </si>
  <si>
    <t>Ofaveolata031923</t>
  </si>
  <si>
    <t>metanephric glomerular basement membrane development</t>
  </si>
  <si>
    <t>Ofaveolata031958</t>
  </si>
  <si>
    <t>Ofaveolata031959</t>
  </si>
  <si>
    <t>Ofaveolata031960</t>
  </si>
  <si>
    <t>Ofaveolata031981</t>
  </si>
  <si>
    <t>galactose-3-O-sulfotransferase 1</t>
  </si>
  <si>
    <t>Ofaveolata032005</t>
  </si>
  <si>
    <t>nuclear-transcribed mRNA catabolic process, nonsense-mediated decay</t>
  </si>
  <si>
    <t>Ofaveolata032013</t>
  </si>
  <si>
    <t>Ofaveolata032021</t>
  </si>
  <si>
    <t>bone morphogenetic protein</t>
  </si>
  <si>
    <t>Ofaveolata032044</t>
  </si>
  <si>
    <t>Ofaveolata032061</t>
  </si>
  <si>
    <t>Ofaveolata032087</t>
  </si>
  <si>
    <t>Ofaveolata032091</t>
  </si>
  <si>
    <t>Ofaveolata032103</t>
  </si>
  <si>
    <t>Ofaveolata032105</t>
  </si>
  <si>
    <t>Heat shock 70 kDa protein 12A-like</t>
  </si>
  <si>
    <t>Ofaveolata032148</t>
  </si>
  <si>
    <t>Ofaveolata032234</t>
  </si>
  <si>
    <t>Ofaveolata032272</t>
  </si>
  <si>
    <t>Threonine synthase N terminus</t>
  </si>
  <si>
    <t>Ofaveolata032302</t>
  </si>
  <si>
    <t>Ofaveolata032315</t>
  </si>
  <si>
    <t>Von Willebrand factor A</t>
  </si>
  <si>
    <t>Ofaveolata032330</t>
  </si>
  <si>
    <t>Ofaveolata032360</t>
  </si>
  <si>
    <t>Ataxin-1 and HBP1 module (AXH)</t>
  </si>
  <si>
    <t>Ofaveolata032433</t>
  </si>
  <si>
    <t>Ofaveolata032490</t>
  </si>
  <si>
    <t>Ofaveolata032618</t>
  </si>
  <si>
    <t>Ofaveolata032619</t>
  </si>
  <si>
    <t>Ofaveolata032629</t>
  </si>
  <si>
    <t>Ofaveolata032719</t>
  </si>
  <si>
    <t>Rap protein signal transduction</t>
  </si>
  <si>
    <t>Ofaveolata032836</t>
  </si>
  <si>
    <t>Ofaveolata032893</t>
  </si>
  <si>
    <t>Ofaveolata032996</t>
  </si>
  <si>
    <t>Ofaveolata033081</t>
  </si>
  <si>
    <t>Ofaveolata033223</t>
  </si>
  <si>
    <t>suppressor of cytokine signaling</t>
  </si>
  <si>
    <t>Ofaveolata033267</t>
  </si>
  <si>
    <t>Ofaveolata033376</t>
  </si>
  <si>
    <t>Ofaveolata033404</t>
  </si>
  <si>
    <t>beta-tubulin binding</t>
  </si>
  <si>
    <t>Ofaveolata033414</t>
  </si>
  <si>
    <t>Iron/manganese superoxide dismutases, C-terminal domain</t>
  </si>
  <si>
    <t>Ofaveolata033445</t>
  </si>
  <si>
    <t>catalytic activity. It is involved in the biological process described with metabolic process</t>
  </si>
  <si>
    <t>Ofaveolata033492</t>
  </si>
  <si>
    <t>fibroblast growth factor receptor binding</t>
  </si>
  <si>
    <t>Ofaveolata033543</t>
  </si>
  <si>
    <t>Ofaveolata033584</t>
  </si>
  <si>
    <t>Ofaveolata033590</t>
  </si>
  <si>
    <t>DNA primase activity</t>
  </si>
  <si>
    <t>Ofaveolata033700</t>
  </si>
  <si>
    <t>Collagen triple helix repeat containing 1</t>
  </si>
  <si>
    <t>Ofaveolata033704</t>
  </si>
  <si>
    <t>Ofaveolata033708</t>
  </si>
  <si>
    <t>Proteasome activator complex subunit 4</t>
  </si>
  <si>
    <t>Ofaveolata033710</t>
  </si>
  <si>
    <t>proteasomal ubiquitin-independent protein catabolic process</t>
  </si>
  <si>
    <t>Ofaveolata033711</t>
  </si>
  <si>
    <t>p21(CDKN1A)-activated kinase 7</t>
  </si>
  <si>
    <t>Ofaveolata033713</t>
  </si>
  <si>
    <t>Ofaveolata033714</t>
  </si>
  <si>
    <t>Ofaveolata033717</t>
  </si>
  <si>
    <t>Ofaveolata033823</t>
  </si>
  <si>
    <t>metalloaminopeptidase activity</t>
  </si>
  <si>
    <t>Ofaveolata033895</t>
  </si>
  <si>
    <t>Ofaveolata033921</t>
  </si>
  <si>
    <t>Ofaveolata033934</t>
  </si>
  <si>
    <t>Ofaveolata033949</t>
  </si>
  <si>
    <t>Ofaveolata033957</t>
  </si>
  <si>
    <t>Ofaveolata034141</t>
  </si>
  <si>
    <t>NFX1-type zinc finger-containing protein</t>
  </si>
  <si>
    <t>Ofaveolata034150</t>
  </si>
  <si>
    <t>Broad-Complex, Tramtrack and Bric a brac</t>
  </si>
  <si>
    <t>Ofaveolata034192</t>
  </si>
  <si>
    <t>oxygen carrier activity</t>
  </si>
  <si>
    <t>Ofaveolata034195</t>
  </si>
  <si>
    <t>Ofaveolata034209</t>
  </si>
  <si>
    <t>Ofaveolata034305</t>
  </si>
  <si>
    <t>Ofaveolata034345</t>
  </si>
  <si>
    <t>Ofaveolata034462</t>
  </si>
  <si>
    <t>Ofaveolata034571</t>
  </si>
  <si>
    <t>Ofaveolata034622</t>
  </si>
  <si>
    <t>Ofaveolata034700</t>
  </si>
  <si>
    <t>Ofaveolata034846</t>
  </si>
  <si>
    <t>Ofaveolata034868</t>
  </si>
  <si>
    <t>Ofaveolata034882</t>
  </si>
  <si>
    <t>Ofaveolata034890</t>
  </si>
  <si>
    <t>Ofaveolata034915</t>
  </si>
  <si>
    <t>Ribonuclease H protein</t>
  </si>
  <si>
    <t>Ofaveolata034956</t>
  </si>
  <si>
    <t>Ofaveolata034961</t>
  </si>
  <si>
    <t>carbamoyl-phosphate synthase (glutamine-hydrolyzing) activity</t>
  </si>
  <si>
    <t>Ofaveolata034991</t>
  </si>
  <si>
    <t>Ofaveolata034994</t>
  </si>
  <si>
    <t>Ofaveolata034996</t>
  </si>
  <si>
    <t>Ofaveolata035012</t>
  </si>
  <si>
    <t>Ofaveolata035015</t>
  </si>
  <si>
    <t>Ofaveolata035074</t>
  </si>
  <si>
    <t>Ofaveolata035075</t>
  </si>
  <si>
    <t>Ofaveolata035076</t>
  </si>
  <si>
    <t>Ofaveolata035181</t>
  </si>
  <si>
    <t>Ofaveolata035182</t>
  </si>
  <si>
    <t>Ofaveolata035201</t>
  </si>
  <si>
    <t>Ofaveolata035242</t>
  </si>
  <si>
    <t>Ofaveolata035338</t>
  </si>
  <si>
    <t>Ofaveolata035380</t>
  </si>
  <si>
    <t>Ofaveolata035382</t>
  </si>
  <si>
    <t>Ofaveolata035421</t>
  </si>
  <si>
    <t>heterochromatin maintenance</t>
  </si>
  <si>
    <t>Ofaveolata035463</t>
  </si>
  <si>
    <t>Ofaveolata035507</t>
  </si>
  <si>
    <t>Ofaveolata035510</t>
  </si>
  <si>
    <t>Ofaveolata035558</t>
  </si>
  <si>
    <t>monooxygenase activity</t>
  </si>
  <si>
    <t>Ofaveolata035589</t>
  </si>
  <si>
    <t>BTB POZ domain-containing protein</t>
  </si>
  <si>
    <t>Ofaveolata035591</t>
  </si>
  <si>
    <t>Ofaveolata035608</t>
  </si>
  <si>
    <t>Ofaveolata035629</t>
  </si>
  <si>
    <t>osmolarity-sensing cation channel activity</t>
  </si>
  <si>
    <t>Ofaveolata035679</t>
  </si>
  <si>
    <t>Ofaveolata035693</t>
  </si>
  <si>
    <t>Ofaveolata035744</t>
  </si>
  <si>
    <t>Domain of unknown function (DUF4419)</t>
  </si>
  <si>
    <t>Ofaveolata035843</t>
  </si>
  <si>
    <t>transcription regulator activity</t>
  </si>
  <si>
    <t>Ofaveolata035872</t>
  </si>
  <si>
    <t>Ofaveolata035920</t>
  </si>
  <si>
    <t>Ofaveolata035923</t>
  </si>
  <si>
    <t>Ofaveolata036006</t>
  </si>
  <si>
    <t>Ofaveolata036018</t>
  </si>
  <si>
    <t>Ofaveolata036068</t>
  </si>
  <si>
    <t>pogo transposable element with KRAB domain</t>
  </si>
  <si>
    <t>Ofaveolata036107</t>
  </si>
  <si>
    <t>Ofaveolata036167</t>
  </si>
  <si>
    <t>Ofaveolata036170</t>
  </si>
  <si>
    <t>Ofaveolata036196</t>
  </si>
  <si>
    <t>Ofaveolata036239</t>
  </si>
  <si>
    <t>Ofaveolata036247</t>
  </si>
  <si>
    <t>Amidohydrolase family</t>
  </si>
  <si>
    <t>Ofaveolata036268</t>
  </si>
  <si>
    <t>Ofaveolata036324</t>
  </si>
  <si>
    <t>Ofaveolata036368</t>
  </si>
  <si>
    <t>Ofaveolata036381</t>
  </si>
  <si>
    <t>Ofaveolata036385</t>
  </si>
  <si>
    <t>Ofaveolata036405</t>
  </si>
  <si>
    <t>Ofaveolata036453</t>
  </si>
  <si>
    <t>Ofaveolata036474</t>
  </si>
  <si>
    <t>Ofaveolata036491</t>
  </si>
  <si>
    <t>Ofaveolata036508</t>
  </si>
  <si>
    <t>Ammonium transporter</t>
  </si>
  <si>
    <t>Ofaveolata036547</t>
  </si>
  <si>
    <t>Ofaveolata036563</t>
  </si>
  <si>
    <t>Ofaveolata036573</t>
  </si>
  <si>
    <t>Ofaveolata000022</t>
  </si>
  <si>
    <t>Ofaveolata000048</t>
  </si>
  <si>
    <t>Myosin, light chain 9b, regulatory</t>
  </si>
  <si>
    <t>Ofaveolata000063</t>
  </si>
  <si>
    <t>Ofaveolata000077</t>
  </si>
  <si>
    <t>transmembrane transport</t>
  </si>
  <si>
    <t>Ofaveolata000089</t>
  </si>
  <si>
    <t>Ofaveolata000091</t>
  </si>
  <si>
    <t>Ofaveolata000147</t>
  </si>
  <si>
    <t>Major Vault Protein repeat</t>
  </si>
  <si>
    <t>Ofaveolata000175</t>
  </si>
  <si>
    <t>Hematopoietically-expressed homeobox protein</t>
  </si>
  <si>
    <t>Ofaveolata000187</t>
  </si>
  <si>
    <t>guanine nucleotide-binding protein</t>
  </si>
  <si>
    <t>Ofaveolata000233</t>
  </si>
  <si>
    <t>Ofaveolata000240</t>
  </si>
  <si>
    <t>Ofaveolata000259</t>
  </si>
  <si>
    <t>Ofaveolata000263</t>
  </si>
  <si>
    <t>GTP binding. It is involved in the biological process described with</t>
  </si>
  <si>
    <t>Ofaveolata000300</t>
  </si>
  <si>
    <t>oxidoreductase activity</t>
  </si>
  <si>
    <t>Ofaveolata000332</t>
  </si>
  <si>
    <t>Ion channel</t>
  </si>
  <si>
    <t>Ofaveolata000356</t>
  </si>
  <si>
    <t>Ofaveolata000448</t>
  </si>
  <si>
    <t>Ofaveolata000487</t>
  </si>
  <si>
    <t>endosomal transport</t>
  </si>
  <si>
    <t>Ofaveolata000513</t>
  </si>
  <si>
    <t>Ofaveolata000519</t>
  </si>
  <si>
    <t>Ofaveolata000524</t>
  </si>
  <si>
    <t>Ofaveolata000552</t>
  </si>
  <si>
    <t>negative regulation of serine-type peptidase activity</t>
  </si>
  <si>
    <t>Ofaveolata000589</t>
  </si>
  <si>
    <t>acylpyruvate hydrolase activity</t>
  </si>
  <si>
    <t>Ofaveolata000666</t>
  </si>
  <si>
    <t>allantoicase activity</t>
  </si>
  <si>
    <t>Ofaveolata000720</t>
  </si>
  <si>
    <t>alpha1-adrenergic receptor activity</t>
  </si>
  <si>
    <t>Ofaveolata000769</t>
  </si>
  <si>
    <t>Thrombospondin-type laminin G domain and EAR</t>
  </si>
  <si>
    <t>Ofaveolata000801</t>
  </si>
  <si>
    <t>Ofaveolata000813</t>
  </si>
  <si>
    <t>actin binding</t>
  </si>
  <si>
    <t>Ofaveolata000822</t>
  </si>
  <si>
    <t>Putative DNA-binding domain</t>
  </si>
  <si>
    <t>Ofaveolata000826</t>
  </si>
  <si>
    <t>Ofaveolata000858</t>
  </si>
  <si>
    <t>Ofaveolata000890</t>
  </si>
  <si>
    <t>Ofaveolata000900</t>
  </si>
  <si>
    <t>peptidyl-lysine oxidation</t>
  </si>
  <si>
    <t>Ofaveolata000938</t>
  </si>
  <si>
    <t>Ofaveolata000948</t>
  </si>
  <si>
    <t>Ofaveolata001007</t>
  </si>
  <si>
    <t>Ofaveolata001022</t>
  </si>
  <si>
    <t>manganese ion binding</t>
  </si>
  <si>
    <t>Ofaveolata001030</t>
  </si>
  <si>
    <t>Ofaveolata001050</t>
  </si>
  <si>
    <t>Phytanoyl-CoA dioxygenase (PhyH)</t>
  </si>
  <si>
    <t>Ofaveolata001053</t>
  </si>
  <si>
    <t>Regulatory subunit of the condensin complex, a complex required for conversion of interphase chromatin into mitotic-like condense chromosomes</t>
  </si>
  <si>
    <t>Ofaveolata001056</t>
  </si>
  <si>
    <t>Ofaveolata001153</t>
  </si>
  <si>
    <t>Belongs to the glycosyltransferase 43 family</t>
  </si>
  <si>
    <t>Ofaveolata001169</t>
  </si>
  <si>
    <t>plasma membrane repair</t>
  </si>
  <si>
    <t>Ofaveolata001181</t>
  </si>
  <si>
    <t>SWI SNF-related matrix-associated actin-dependent regulator of chromatin subfamily E member</t>
  </si>
  <si>
    <t>Ofaveolata001199</t>
  </si>
  <si>
    <t>protein polyubiquitination</t>
  </si>
  <si>
    <t>Ofaveolata001243</t>
  </si>
  <si>
    <t>Ofaveolata001246</t>
  </si>
  <si>
    <t>Ofaveolata001267</t>
  </si>
  <si>
    <t>Phosphatidylethanolamine-binding protein</t>
  </si>
  <si>
    <t>Ofaveolata001294</t>
  </si>
  <si>
    <t>ubiquitin-protein transferase activity</t>
  </si>
  <si>
    <t>Ofaveolata001328</t>
  </si>
  <si>
    <t>Ofaveolata001337</t>
  </si>
  <si>
    <t>spermatogenesis</t>
  </si>
  <si>
    <t>Ofaveolata001372</t>
  </si>
  <si>
    <t>Ion transport protein</t>
  </si>
  <si>
    <t>Ofaveolata001409</t>
  </si>
  <si>
    <t>Ofaveolata001418</t>
  </si>
  <si>
    <t>nuclear export signal receptor activity</t>
  </si>
  <si>
    <t>Ofaveolata001423</t>
  </si>
  <si>
    <t>Ofaveolata001427</t>
  </si>
  <si>
    <t>leucine-rich repeat serine threonine-protein kinase</t>
  </si>
  <si>
    <t>Ofaveolata001487</t>
  </si>
  <si>
    <t>establishment of synaptic vesicle localization</t>
  </si>
  <si>
    <t>Ofaveolata001554</t>
  </si>
  <si>
    <t>extracellular matrix constituent secretion</t>
  </si>
  <si>
    <t>Ofaveolata001596</t>
  </si>
  <si>
    <t>Ofaveolata001597</t>
  </si>
  <si>
    <t>Ofaveolata001610</t>
  </si>
  <si>
    <t>Ofaveolata001681</t>
  </si>
  <si>
    <t>vitellogenesis</t>
  </si>
  <si>
    <t>Ofaveolata001834</t>
  </si>
  <si>
    <t>Ofaveolata001846</t>
  </si>
  <si>
    <t>Ofaveolata001861</t>
  </si>
  <si>
    <t>PRELI domain-containing protein 2</t>
  </si>
  <si>
    <t>Ofaveolata001931</t>
  </si>
  <si>
    <t>Occurs in almost all aerobically respiring organisms and serves to protect cells from the toxic effects of hydrogen peroxide</t>
  </si>
  <si>
    <t>Ofaveolata001962</t>
  </si>
  <si>
    <t>Ofaveolata002157</t>
  </si>
  <si>
    <t>Ofaveolata002182</t>
  </si>
  <si>
    <t>Ofaveolata002209</t>
  </si>
  <si>
    <t>WD repeat-containing protein</t>
  </si>
  <si>
    <t>Ofaveolata002210</t>
  </si>
  <si>
    <t>potassium voltage-gated channel</t>
  </si>
  <si>
    <t>Ofaveolata002215</t>
  </si>
  <si>
    <t>Ofaveolata002250</t>
  </si>
  <si>
    <t>Ofaveolata002275</t>
  </si>
  <si>
    <t>Ofaveolata002278</t>
  </si>
  <si>
    <t>Ofaveolata002328</t>
  </si>
  <si>
    <t>Ofaveolata002366</t>
  </si>
  <si>
    <t>Ofaveolata002376</t>
  </si>
  <si>
    <t>Ofaveolata002380</t>
  </si>
  <si>
    <t>Ofaveolata002399</t>
  </si>
  <si>
    <t>acid phosphatase activity</t>
  </si>
  <si>
    <t>Ofaveolata002477</t>
  </si>
  <si>
    <t>Belongs to the peptidase S1 family</t>
  </si>
  <si>
    <t>Ofaveolata002490</t>
  </si>
  <si>
    <t>cell-substrate adherens junction assembly</t>
  </si>
  <si>
    <t>Ofaveolata002514</t>
  </si>
  <si>
    <t>Ofaveolata002563</t>
  </si>
  <si>
    <t>Ofaveolata002565</t>
  </si>
  <si>
    <t>Ofaveolata002602</t>
  </si>
  <si>
    <t>Ofaveolata002634</t>
  </si>
  <si>
    <t>actin filament binding</t>
  </si>
  <si>
    <t>Ofaveolata002643</t>
  </si>
  <si>
    <t>Ral GTPase binding</t>
  </si>
  <si>
    <t>Ofaveolata002680</t>
  </si>
  <si>
    <t>Ofaveolata002692</t>
  </si>
  <si>
    <t>Ofaveolata002792</t>
  </si>
  <si>
    <t>Ofaveolata002797</t>
  </si>
  <si>
    <t>riboflavin biosynthetic process</t>
  </si>
  <si>
    <t>Ofaveolata002819</t>
  </si>
  <si>
    <t>Ofaveolata002825</t>
  </si>
  <si>
    <t>Ofaveolata002875</t>
  </si>
  <si>
    <t>Ofaveolata002908</t>
  </si>
  <si>
    <t>Von Willebrand factor A domain-containing protein 7-like</t>
  </si>
  <si>
    <t>Ofaveolata002922</t>
  </si>
  <si>
    <t>Ofaveolata002925</t>
  </si>
  <si>
    <t>Ofaveolata003030</t>
  </si>
  <si>
    <t>mothers against decapentaplegic homolog</t>
  </si>
  <si>
    <t>Ofaveolata003035</t>
  </si>
  <si>
    <t>Cupin superfamily protein</t>
  </si>
  <si>
    <t>Ofaveolata003036</t>
  </si>
  <si>
    <t>Aldo/keto reductase family</t>
  </si>
  <si>
    <t>Ofaveolata003063</t>
  </si>
  <si>
    <t>pyruvate kinase activity</t>
  </si>
  <si>
    <t>Ofaveolata003078</t>
  </si>
  <si>
    <t>Ofaveolata003111</t>
  </si>
  <si>
    <t>Cytoplasmic polyadenylation element binding protein</t>
  </si>
  <si>
    <t>Ofaveolata003159</t>
  </si>
  <si>
    <t>Ofaveolata003178</t>
  </si>
  <si>
    <t>neurexin family protein binding</t>
  </si>
  <si>
    <t>Ofaveolata003215</t>
  </si>
  <si>
    <t>Ofaveolata003258</t>
  </si>
  <si>
    <t>Ofaveolata003333</t>
  </si>
  <si>
    <t>Ofaveolata003336</t>
  </si>
  <si>
    <t>Ofaveolata003349</t>
  </si>
  <si>
    <t>Ofaveolata003362</t>
  </si>
  <si>
    <t>Ofaveolata003433</t>
  </si>
  <si>
    <t>Cytochrome P450, family 21, subfamily A, polypeptide 2</t>
  </si>
  <si>
    <t>Ofaveolata003468</t>
  </si>
  <si>
    <t>Urease alpha-subunit, N-terminal domain</t>
  </si>
  <si>
    <t>Ofaveolata003471</t>
  </si>
  <si>
    <t>Prolyl 4-hydroxylase alpha subunit homologues.</t>
  </si>
  <si>
    <t>Ofaveolata003488</t>
  </si>
  <si>
    <t>Ofaveolata003501</t>
  </si>
  <si>
    <t>chromosome passenger complex localization to kinetochore</t>
  </si>
  <si>
    <t>Ofaveolata003504</t>
  </si>
  <si>
    <t>Ofaveolata003510</t>
  </si>
  <si>
    <t>Ofaveolata003512</t>
  </si>
  <si>
    <t>Ofaveolata003539</t>
  </si>
  <si>
    <t>Ofaveolata003567</t>
  </si>
  <si>
    <t>Ofaveolata003577</t>
  </si>
  <si>
    <t>Ofaveolata003624</t>
  </si>
  <si>
    <t>Ofaveolata003643</t>
  </si>
  <si>
    <t>Ofaveolata003683</t>
  </si>
  <si>
    <t>Ofaveolata003700</t>
  </si>
  <si>
    <t>Ofaveolata003712</t>
  </si>
  <si>
    <t>c-SKI Smad4 binding domain</t>
  </si>
  <si>
    <t>Ofaveolata003753</t>
  </si>
  <si>
    <t>Ofaveolata003857</t>
  </si>
  <si>
    <t>Ofaveolata003863</t>
  </si>
  <si>
    <t>Ofaveolata003874</t>
  </si>
  <si>
    <t>Belongs to the protein kinase superfamily. Tyr protein kinase family</t>
  </si>
  <si>
    <t>Ofaveolata003903</t>
  </si>
  <si>
    <t>Calcium-binding protein</t>
  </si>
  <si>
    <t>Ofaveolata003932</t>
  </si>
  <si>
    <t>Tissue factor pathway inhibitor</t>
  </si>
  <si>
    <t>Ofaveolata003961</t>
  </si>
  <si>
    <t>Ofaveolata003976</t>
  </si>
  <si>
    <t>Ofaveolata004002</t>
  </si>
  <si>
    <t>protein serine/threonine kinase activity</t>
  </si>
  <si>
    <t>Ofaveolata004067</t>
  </si>
  <si>
    <t>Ofaveolata004135</t>
  </si>
  <si>
    <t>Ofaveolata004231</t>
  </si>
  <si>
    <t>Ofaveolata004247</t>
  </si>
  <si>
    <t>Ofaveolata004324</t>
  </si>
  <si>
    <t>deoxyribonuclease inhibitor activity</t>
  </si>
  <si>
    <t>Ofaveolata004327</t>
  </si>
  <si>
    <t>peroxidase activity</t>
  </si>
  <si>
    <t>Ofaveolata004375</t>
  </si>
  <si>
    <t>Olfactomedin-like</t>
  </si>
  <si>
    <t>Ofaveolata004377</t>
  </si>
  <si>
    <t>Ofaveolata004389</t>
  </si>
  <si>
    <t>Ofaveolata004482</t>
  </si>
  <si>
    <t>acetyl-CoA C-acetyltransferase activity</t>
  </si>
  <si>
    <t>Ofaveolata004510</t>
  </si>
  <si>
    <t>Ofaveolata004528</t>
  </si>
  <si>
    <t>Ofaveolata004537</t>
  </si>
  <si>
    <t>Ofaveolata004559</t>
  </si>
  <si>
    <t>Ofaveolata004639</t>
  </si>
  <si>
    <t>Brefeldin A-inhibited guanine nucleotide-exchange protein</t>
  </si>
  <si>
    <t>Ofaveolata004649</t>
  </si>
  <si>
    <t>Ofaveolata004711</t>
  </si>
  <si>
    <t>Ofaveolata004758</t>
  </si>
  <si>
    <t>Ofaveolata004786</t>
  </si>
  <si>
    <t>Ofaveolata004826</t>
  </si>
  <si>
    <t>Ofaveolata004872</t>
  </si>
  <si>
    <t>Ofaveolata004887</t>
  </si>
  <si>
    <t>polymerase family, member 12</t>
  </si>
  <si>
    <t>Ofaveolata004912</t>
  </si>
  <si>
    <t>Ofaveolata004925</t>
  </si>
  <si>
    <t>cerebellar Purkinje cell layer maturation</t>
  </si>
  <si>
    <t>Ofaveolata004954</t>
  </si>
  <si>
    <t>zymogen granule exocytosis</t>
  </si>
  <si>
    <t>Ofaveolata004980</t>
  </si>
  <si>
    <t>Ofaveolata005000</t>
  </si>
  <si>
    <t>serine-pyruvate transaminase activity</t>
  </si>
  <si>
    <t>Ofaveolata005027</t>
  </si>
  <si>
    <t>Ofaveolata005074</t>
  </si>
  <si>
    <t>EF-hand domain pair</t>
  </si>
  <si>
    <t>Ofaveolata005170</t>
  </si>
  <si>
    <t>Ofaveolata005218</t>
  </si>
  <si>
    <t>Ofaveolata005254</t>
  </si>
  <si>
    <t>ornithine carbamoyltransferase activity</t>
  </si>
  <si>
    <t>Ofaveolata005322</t>
  </si>
  <si>
    <t>Ofaveolata005339</t>
  </si>
  <si>
    <t>poly(A) RNA polymerase</t>
  </si>
  <si>
    <t>Ofaveolata005409</t>
  </si>
  <si>
    <t>May play a role in anchoring the cytoskeleton to the plasma membrane</t>
  </si>
  <si>
    <t>Ofaveolata005417</t>
  </si>
  <si>
    <t>cytoplasmic sequestering of CFTR protein</t>
  </si>
  <si>
    <t>Ofaveolata005419</t>
  </si>
  <si>
    <t>molting cycle, collagen and cuticulin-based cuticle</t>
  </si>
  <si>
    <t>Ofaveolata005425</t>
  </si>
  <si>
    <t>3-hydroxyacyl-[acyl-carrier-protein] dehydratase activity</t>
  </si>
  <si>
    <t>Ofaveolata005426</t>
  </si>
  <si>
    <t>Ofaveolata005429</t>
  </si>
  <si>
    <t>Ofaveolata005470</t>
  </si>
  <si>
    <t>Ofaveolata005477</t>
  </si>
  <si>
    <t>Ofaveolata005490</t>
  </si>
  <si>
    <t>Ofaveolata005492</t>
  </si>
  <si>
    <t>negative regulation of meiotic chromosome separation</t>
  </si>
  <si>
    <t>Ofaveolata005508</t>
  </si>
  <si>
    <t>leucine binding</t>
  </si>
  <si>
    <t>Ofaveolata005520</t>
  </si>
  <si>
    <t>Inhibitor of Bruton</t>
  </si>
  <si>
    <t>Ofaveolata005560</t>
  </si>
  <si>
    <t>protein depalmitoleylation</t>
  </si>
  <si>
    <t>Ofaveolata005606</t>
  </si>
  <si>
    <t>Ofaveolata005663</t>
  </si>
  <si>
    <t>Ofaveolata005669</t>
  </si>
  <si>
    <t>tRNA threonylcarbamoyladenosine modification</t>
  </si>
  <si>
    <t>Ofaveolata005735</t>
  </si>
  <si>
    <t>Ofaveolata005750</t>
  </si>
  <si>
    <t>Ofaveolata005791</t>
  </si>
  <si>
    <t>Kinesin-like protein KIF16B</t>
  </si>
  <si>
    <t>Ofaveolata005880</t>
  </si>
  <si>
    <t>Ofaveolata005934</t>
  </si>
  <si>
    <t>Ofaveolata005951</t>
  </si>
  <si>
    <t>Ofaveolata006018</t>
  </si>
  <si>
    <t>Ofaveolata006054</t>
  </si>
  <si>
    <t>Belongs to the Ca(2 ) cation antiporter (CaCA) (TC 2.A.19) family</t>
  </si>
  <si>
    <t>Ofaveolata006066</t>
  </si>
  <si>
    <t>Toll signaling pathway</t>
  </si>
  <si>
    <t>Ofaveolata006095</t>
  </si>
  <si>
    <t>Solute carrier family 46, member 3</t>
  </si>
  <si>
    <t>Ofaveolata006104</t>
  </si>
  <si>
    <t>regulation of epidermal growth factor receptor signaling pathway</t>
  </si>
  <si>
    <t>Ofaveolata006122</t>
  </si>
  <si>
    <t>thioesterase binding</t>
  </si>
  <si>
    <t>Ofaveolata006123</t>
  </si>
  <si>
    <t>Ofaveolata006199</t>
  </si>
  <si>
    <t>Ofaveolata006213</t>
  </si>
  <si>
    <t>CRT-like, chloroquine-resistance transporter-like</t>
  </si>
  <si>
    <t>Ofaveolata006216</t>
  </si>
  <si>
    <t>Ofaveolata006257</t>
  </si>
  <si>
    <t>Ofaveolata006299</t>
  </si>
  <si>
    <t>Ofaveolata006312</t>
  </si>
  <si>
    <t>Ofaveolata006325</t>
  </si>
  <si>
    <t>maltose alpha-glucosidase activity</t>
  </si>
  <si>
    <t>Ofaveolata006362</t>
  </si>
  <si>
    <t>Ofaveolata006430</t>
  </si>
  <si>
    <t>calmodulin</t>
  </si>
  <si>
    <t>Ofaveolata006494</t>
  </si>
  <si>
    <t>Iron zinc purple acid phosphatase-like protein</t>
  </si>
  <si>
    <t>Ofaveolata006587</t>
  </si>
  <si>
    <t>Acid sphingomyelinase-like phosphodiesterase 3b</t>
  </si>
  <si>
    <t>Ofaveolata006635</t>
  </si>
  <si>
    <t>Ofaveolata006642</t>
  </si>
  <si>
    <t>Ofaveolata006719</t>
  </si>
  <si>
    <t>tRNA methylation</t>
  </si>
  <si>
    <t>Ofaveolata006745</t>
  </si>
  <si>
    <t>Ofaveolata006786</t>
  </si>
  <si>
    <t>regulation of cardiac muscle myoblast proliferation</t>
  </si>
  <si>
    <t>Ofaveolata006793</t>
  </si>
  <si>
    <t>Glycerophosphoryl diester phosphodiesterase family</t>
  </si>
  <si>
    <t>Ofaveolata006809</t>
  </si>
  <si>
    <t>phosphatidylinositol-3,5-bisphosphate 3-phosphatase activity</t>
  </si>
  <si>
    <t>Ofaveolata006941</t>
  </si>
  <si>
    <t>spinal cord motor neuron differentiation</t>
  </si>
  <si>
    <t>Ofaveolata006982</t>
  </si>
  <si>
    <t>Ofaveolata007042</t>
  </si>
  <si>
    <t>Ofaveolata007046</t>
  </si>
  <si>
    <t>Ofaveolata007093</t>
  </si>
  <si>
    <t>Ofaveolata007100</t>
  </si>
  <si>
    <t>CS domain</t>
  </si>
  <si>
    <t>Ofaveolata007135</t>
  </si>
  <si>
    <t>ATPase activity, coupled to transmembrane movement of substances</t>
  </si>
  <si>
    <t>Ofaveolata007154</t>
  </si>
  <si>
    <t>Ofaveolata007174</t>
  </si>
  <si>
    <t>Ofaveolata007226</t>
  </si>
  <si>
    <t>sexual reproduction</t>
  </si>
  <si>
    <t>Ofaveolata007233</t>
  </si>
  <si>
    <t>dimethylaminohydrolase 1</t>
  </si>
  <si>
    <t>Ofaveolata007280</t>
  </si>
  <si>
    <t>protein deneddylation</t>
  </si>
  <si>
    <t>Ofaveolata007291</t>
  </si>
  <si>
    <t>Ofaveolata007392</t>
  </si>
  <si>
    <t>Ofaveolata007410</t>
  </si>
  <si>
    <t>Ofaveolata007421</t>
  </si>
  <si>
    <t>fumarate hydratase activity</t>
  </si>
  <si>
    <t>Ofaveolata007422</t>
  </si>
  <si>
    <t>bicarbonate binding</t>
  </si>
  <si>
    <t>Ofaveolata007442</t>
  </si>
  <si>
    <t>Ofaveolata007447</t>
  </si>
  <si>
    <t>Ofaveolata007467</t>
  </si>
  <si>
    <t>Belongs to the TRAFAC class myosin-kinesin ATPase superfamily. Kinesin family</t>
  </si>
  <si>
    <t>Ofaveolata007501</t>
  </si>
  <si>
    <t>calmodulin-dependent protein kinase activity</t>
  </si>
  <si>
    <t>Ofaveolata007542</t>
  </si>
  <si>
    <t>Belongs to the peptidase M10A family</t>
  </si>
  <si>
    <t>Ofaveolata007545</t>
  </si>
  <si>
    <t>tyrosinase</t>
  </si>
  <si>
    <t>Ofaveolata007592</t>
  </si>
  <si>
    <t>Thiolase, C-terminal domain</t>
  </si>
  <si>
    <t>Ofaveolata007711</t>
  </si>
  <si>
    <t>Multiple coagulation factor deficiency</t>
  </si>
  <si>
    <t>Ofaveolata007749</t>
  </si>
  <si>
    <t>Ofaveolata007784</t>
  </si>
  <si>
    <t>Ofaveolata007827</t>
  </si>
  <si>
    <t>Ofaveolata007855</t>
  </si>
  <si>
    <t>Lipocalin-like domain</t>
  </si>
  <si>
    <t>Ofaveolata007923</t>
  </si>
  <si>
    <t>Ofaveolata007931</t>
  </si>
  <si>
    <t>Ofaveolata007933</t>
  </si>
  <si>
    <t>Ofaveolata007940</t>
  </si>
  <si>
    <t>Globin</t>
  </si>
  <si>
    <t>Ofaveolata007945</t>
  </si>
  <si>
    <t>Ofaveolata007953</t>
  </si>
  <si>
    <t>L-rhamnose mutarotase</t>
  </si>
  <si>
    <t>Ofaveolata007954</t>
  </si>
  <si>
    <t>protein monoubiquitination</t>
  </si>
  <si>
    <t>Ofaveolata008013</t>
  </si>
  <si>
    <t>adrenal chromaffin cell differentiation</t>
  </si>
  <si>
    <t>Ofaveolata008044</t>
  </si>
  <si>
    <t>Ofaveolata008102</t>
  </si>
  <si>
    <t>Ofaveolata008150</t>
  </si>
  <si>
    <t>Domain first found in C1r, C1s, uEGF, and bone morphogenetic protein.</t>
  </si>
  <si>
    <t>Ofaveolata008202</t>
  </si>
  <si>
    <t>Catalyzes the phosphorylation of D-fructose 6-phosphate to fructose 1,6-bisphosphate by ATP, the first committing step of glycolysis</t>
  </si>
  <si>
    <t>Ofaveolata008208</t>
  </si>
  <si>
    <t>Ofaveolata008211</t>
  </si>
  <si>
    <t>melatonin receptor activity</t>
  </si>
  <si>
    <t>Ofaveolata008226</t>
  </si>
  <si>
    <t>Ofaveolata008256</t>
  </si>
  <si>
    <t>Ofaveolata008369</t>
  </si>
  <si>
    <t>Ofaveolata008372</t>
  </si>
  <si>
    <t>Ofaveolata008408</t>
  </si>
  <si>
    <t>adenylate cyclase-inhibiting G-protein coupled glutamate receptor signaling pathway</t>
  </si>
  <si>
    <t>Ofaveolata008447</t>
  </si>
  <si>
    <t>Zona pellucida (ZP) domain</t>
  </si>
  <si>
    <t>Ofaveolata008458</t>
  </si>
  <si>
    <t>Ofaveolata008498</t>
  </si>
  <si>
    <t>Ofaveolata008501</t>
  </si>
  <si>
    <t>positive regulation of interleukin-4-mediated signaling pathway</t>
  </si>
  <si>
    <t>Ofaveolata008509</t>
  </si>
  <si>
    <t>elongation of very long chain fatty acids protein</t>
  </si>
  <si>
    <t>Ofaveolata008564</t>
  </si>
  <si>
    <t>Ofaveolata008570</t>
  </si>
  <si>
    <t>guanine/thymine mispair binding</t>
  </si>
  <si>
    <t>Ofaveolata008601</t>
  </si>
  <si>
    <t>Sodium:neurotransmitter symporter family</t>
  </si>
  <si>
    <t>Ofaveolata008662</t>
  </si>
  <si>
    <t>Ofaveolata008665</t>
  </si>
  <si>
    <t>Ofaveolata008682</t>
  </si>
  <si>
    <t>Ofaveolata008705</t>
  </si>
  <si>
    <t>Ofaveolata008749</t>
  </si>
  <si>
    <t>Ofaveolata008787</t>
  </si>
  <si>
    <t>Ofaveolata008825</t>
  </si>
  <si>
    <t>Hydroxyacyl-coenzyme A dehydrogenase</t>
  </si>
  <si>
    <t>Ofaveolata009008</t>
  </si>
  <si>
    <t>Ofaveolata009031</t>
  </si>
  <si>
    <t>endoplasmic reticulum-plasma membrane tethering</t>
  </si>
  <si>
    <t>Ofaveolata009073</t>
  </si>
  <si>
    <t>Ofaveolata009101</t>
  </si>
  <si>
    <t>Ofaveolata009148</t>
  </si>
  <si>
    <t>Ofaveolata009256</t>
  </si>
  <si>
    <t>Ofaveolata009303</t>
  </si>
  <si>
    <t>Ofaveolata009321</t>
  </si>
  <si>
    <t>Ofaveolata009325</t>
  </si>
  <si>
    <t>Zgc 136858</t>
  </si>
  <si>
    <t>Ofaveolata009335</t>
  </si>
  <si>
    <t>Ofaveolata009377</t>
  </si>
  <si>
    <t>Ofaveolata009517</t>
  </si>
  <si>
    <t>Ofaveolata009622</t>
  </si>
  <si>
    <t>androgen catabolic process</t>
  </si>
  <si>
    <t>Ofaveolata009647</t>
  </si>
  <si>
    <t>Ofaveolata009663</t>
  </si>
  <si>
    <t>Ofaveolata009699</t>
  </si>
  <si>
    <t>Required for RNA-mediated gene silencing (RNAi) by the RNA-induced silencing complex (RISC). The 'minimal RISC' appears to include ago2 bound to a short guide RNA such as a microRNA (miRNA) or short interfering RNA (siRNA). These guide RNAs direct RISC to complementary mRNAs that are targets for RISC-mediated gene silencing. The precise mechanism of gene silencing depends on the degree of complementarity between the miRNA or siRNA and its target. Binding of RISC to a perfectly complementary mRNA generally results in silencing due to endonucleolytic cleavage of the mRNA specifically by ago2. Binding of RISC to a partially complementary mRNA results in silencing through inhibition of translation, and this is independent of endonuclease activity. The inhibition of translational initiation leads to the accumulation of the affected mRNA in cytoplasmic processing bodies (P-bodies), where mRNA degradation may subsequently occur</t>
  </si>
  <si>
    <t>Ofaveolata009755</t>
  </si>
  <si>
    <t>Ofaveolata009833</t>
  </si>
  <si>
    <t>Glutathione S-transferase, C-terminal domain</t>
  </si>
  <si>
    <t>Ofaveolata009856</t>
  </si>
  <si>
    <t>protein serine/threonine phosphatase activity</t>
  </si>
  <si>
    <t>Ofaveolata009872</t>
  </si>
  <si>
    <t>Belongs to the fatty acid desaturase type 1 family</t>
  </si>
  <si>
    <t>Ofaveolata009915</t>
  </si>
  <si>
    <t>Ofaveolata009917</t>
  </si>
  <si>
    <t>transitional stage B cell differentiation</t>
  </si>
  <si>
    <t>Ofaveolata009957</t>
  </si>
  <si>
    <t>phenazine biosynthesis-like</t>
  </si>
  <si>
    <t>Ofaveolata009973</t>
  </si>
  <si>
    <t>Ofaveolata010087</t>
  </si>
  <si>
    <t>Ofaveolata010097</t>
  </si>
  <si>
    <t>superoxide dismutase copper chaperone activity</t>
  </si>
  <si>
    <t>Ofaveolata010112</t>
  </si>
  <si>
    <t>frizzled binding</t>
  </si>
  <si>
    <t>Ofaveolata010127</t>
  </si>
  <si>
    <t>Ofaveolata010131</t>
  </si>
  <si>
    <t>Ofaveolata010163</t>
  </si>
  <si>
    <t>sodium:inorganic phosphate symporter activity</t>
  </si>
  <si>
    <t>Ofaveolata010173</t>
  </si>
  <si>
    <t>Ofaveolata010174</t>
  </si>
  <si>
    <t>Ofaveolata010280</t>
  </si>
  <si>
    <t>Ofaveolata010341</t>
  </si>
  <si>
    <t>chitinase activity</t>
  </si>
  <si>
    <t>Ofaveolata010344</t>
  </si>
  <si>
    <t>RNA (guanine-N7)-methylation</t>
  </si>
  <si>
    <t>Ofaveolata010372</t>
  </si>
  <si>
    <t>Ofaveolata010373</t>
  </si>
  <si>
    <t>Ofaveolata010453</t>
  </si>
  <si>
    <t>Ofaveolata010460</t>
  </si>
  <si>
    <t>cyclic nucleotide-gated ion channel activity</t>
  </si>
  <si>
    <t>Ofaveolata010493</t>
  </si>
  <si>
    <t>negative regulation of heat generation</t>
  </si>
  <si>
    <t>Ofaveolata010499</t>
  </si>
  <si>
    <t>Ofaveolata010513</t>
  </si>
  <si>
    <t>alpha-1,6-mannosylglycoprotein 6-beta-N-acetylglucosaminyltransferase activity</t>
  </si>
  <si>
    <t>Ofaveolata010551</t>
  </si>
  <si>
    <t>Ofaveolata010557</t>
  </si>
  <si>
    <t>Ofaveolata010576</t>
  </si>
  <si>
    <t>Ofaveolata010588</t>
  </si>
  <si>
    <t>Ofaveolata010589</t>
  </si>
  <si>
    <t>axonogenesis involved in innervation</t>
  </si>
  <si>
    <t>Ofaveolata010602</t>
  </si>
  <si>
    <t>Ofaveolata010630</t>
  </si>
  <si>
    <t>Ofaveolata010766</t>
  </si>
  <si>
    <t>Thyroglobulin type I repeats.</t>
  </si>
  <si>
    <t>Ofaveolata010877</t>
  </si>
  <si>
    <t>Ofaveolata010911</t>
  </si>
  <si>
    <t>Ofaveolata010955</t>
  </si>
  <si>
    <t>ionotropic glutamate receptor activity</t>
  </si>
  <si>
    <t>Ofaveolata010956</t>
  </si>
  <si>
    <t>Rab GDP-dissociation inhibitor activity</t>
  </si>
  <si>
    <t>Ofaveolata010967</t>
  </si>
  <si>
    <t>ATP-dependent microtubule motor activity</t>
  </si>
  <si>
    <t>Ofaveolata011001</t>
  </si>
  <si>
    <t>Ofaveolata011052</t>
  </si>
  <si>
    <t>Ofaveolata011070</t>
  </si>
  <si>
    <t>Ofaveolata011112</t>
  </si>
  <si>
    <t>histidine transport</t>
  </si>
  <si>
    <t>Ofaveolata011122</t>
  </si>
  <si>
    <t>Ofaveolata011139</t>
  </si>
  <si>
    <t>Ofaveolata011169</t>
  </si>
  <si>
    <t>Ofaveolata011210</t>
  </si>
  <si>
    <t>Frizzled</t>
  </si>
  <si>
    <t>Ofaveolata011218</t>
  </si>
  <si>
    <t>Ofaveolata011220</t>
  </si>
  <si>
    <t>It is involved in the biological process described with</t>
  </si>
  <si>
    <t>Ofaveolata011222</t>
  </si>
  <si>
    <t>MDM2/MDM4 family protein binding</t>
  </si>
  <si>
    <t>Ofaveolata011227</t>
  </si>
  <si>
    <t>Ofaveolata011357</t>
  </si>
  <si>
    <t>Coagulation factor 5/8 C-terminal domain, discoidin domain</t>
  </si>
  <si>
    <t>Ofaveolata011358</t>
  </si>
  <si>
    <t>Ofaveolata011455</t>
  </si>
  <si>
    <t>Low density lipoprotein receptor-related protein associated protein 1</t>
  </si>
  <si>
    <t>Ofaveolata011480</t>
  </si>
  <si>
    <t>Ofaveolata011527</t>
  </si>
  <si>
    <t>mitogen-activated protein kinase kinase kinase 19</t>
  </si>
  <si>
    <t>Ofaveolata011534</t>
  </si>
  <si>
    <t>Ofaveolata011537</t>
  </si>
  <si>
    <t>Ofaveolata011550</t>
  </si>
  <si>
    <t>Calcium release activated channel regulator</t>
  </si>
  <si>
    <t>Ofaveolata011562</t>
  </si>
  <si>
    <t>Ofaveolata011708</t>
  </si>
  <si>
    <t>protein linear deubiquitination</t>
  </si>
  <si>
    <t>Ofaveolata011853</t>
  </si>
  <si>
    <t>Ofaveolata011952</t>
  </si>
  <si>
    <t>Ofaveolata012036</t>
  </si>
  <si>
    <t>Ofaveolata012071</t>
  </si>
  <si>
    <t>Ofaveolata012158</t>
  </si>
  <si>
    <t>Ofaveolata012393</t>
  </si>
  <si>
    <t>Ofaveolata012451</t>
  </si>
  <si>
    <t>Ofaveolata012524</t>
  </si>
  <si>
    <t>Transferase activity, transferring acyl groups other than amino-acyl groups</t>
  </si>
  <si>
    <t>Ofaveolata012649</t>
  </si>
  <si>
    <t>Ofaveolata012657</t>
  </si>
  <si>
    <t>Endoplasmic reticulum-Golgi intermediate compartment protein</t>
  </si>
  <si>
    <t>Ofaveolata012743</t>
  </si>
  <si>
    <t>Ofaveolata012752</t>
  </si>
  <si>
    <t>Ofaveolata012774</t>
  </si>
  <si>
    <t>Ofaveolata012816</t>
  </si>
  <si>
    <t>cysteine and glycine-rich protein</t>
  </si>
  <si>
    <t>Ofaveolata012832</t>
  </si>
  <si>
    <t>Mab-21</t>
  </si>
  <si>
    <t>Ofaveolata012928</t>
  </si>
  <si>
    <t>CD151 molecule (Raph blood group)</t>
  </si>
  <si>
    <t>Ofaveolata012954</t>
  </si>
  <si>
    <t>cell surface receptor signaling pathway</t>
  </si>
  <si>
    <t>Ofaveolata012976</t>
  </si>
  <si>
    <t>phosphatidylinositol binding</t>
  </si>
  <si>
    <t>Ofaveolata013001</t>
  </si>
  <si>
    <t>Ofaveolata013014</t>
  </si>
  <si>
    <t>Ofaveolata013026</t>
  </si>
  <si>
    <t>Ofaveolata013056</t>
  </si>
  <si>
    <t>Astacin (Peptidase family M12A)</t>
  </si>
  <si>
    <t>Ofaveolata013062</t>
  </si>
  <si>
    <t>Ofaveolata013087</t>
  </si>
  <si>
    <t>Ofaveolata013088</t>
  </si>
  <si>
    <t>Ofaveolata013102</t>
  </si>
  <si>
    <t>Ofaveolata013104</t>
  </si>
  <si>
    <t>GNS1/SUR4 family</t>
  </si>
  <si>
    <t>Ofaveolata013118</t>
  </si>
  <si>
    <t>Ofaveolata013196</t>
  </si>
  <si>
    <t>Toll-like receptor</t>
  </si>
  <si>
    <t>Ofaveolata013240</t>
  </si>
  <si>
    <t>Ofaveolata013258</t>
  </si>
  <si>
    <t>Ofaveolata013259</t>
  </si>
  <si>
    <t>Trefoil factor 3</t>
  </si>
  <si>
    <t>Ofaveolata013305</t>
  </si>
  <si>
    <t>Putative cyclase</t>
  </si>
  <si>
    <t>Ofaveolata013334</t>
  </si>
  <si>
    <t>electron-transferring-flavoprotein dehydrogenase activity</t>
  </si>
  <si>
    <t>Ofaveolata013367</t>
  </si>
  <si>
    <t>Ofaveolata013386</t>
  </si>
  <si>
    <t>Ofaveolata013388</t>
  </si>
  <si>
    <t>Ofaveolata013410</t>
  </si>
  <si>
    <t>Ofaveolata013459</t>
  </si>
  <si>
    <t>actin filament severing</t>
  </si>
  <si>
    <t>Ofaveolata013482</t>
  </si>
  <si>
    <t>Belongs to the adenylyl cyclase class-4 guanylyl cyclase family</t>
  </si>
  <si>
    <t>Ofaveolata013490</t>
  </si>
  <si>
    <t>Ofaveolata013513</t>
  </si>
  <si>
    <t>Ofaveolata013518</t>
  </si>
  <si>
    <t>Neuronal PAS</t>
  </si>
  <si>
    <t>Ofaveolata013526</t>
  </si>
  <si>
    <t>positive regulation of mediator complex assembly</t>
  </si>
  <si>
    <t>Ofaveolata013530</t>
  </si>
  <si>
    <t>Hexosaminidase (glycosyl hydrolase family 20, catalytic domain) containing</t>
  </si>
  <si>
    <t>Ofaveolata013538</t>
  </si>
  <si>
    <t>Ofaveolata013767</t>
  </si>
  <si>
    <t>glycosylceramidase activity</t>
  </si>
  <si>
    <t>Ofaveolata013798</t>
  </si>
  <si>
    <t>Ofaveolata013926</t>
  </si>
  <si>
    <t>Ofaveolata013951</t>
  </si>
  <si>
    <t>ATP binding</t>
  </si>
  <si>
    <t>Ofaveolata013972</t>
  </si>
  <si>
    <t>cell adhesion</t>
  </si>
  <si>
    <t>Ofaveolata014092</t>
  </si>
  <si>
    <t>aryl hydrocarbon receptor activity</t>
  </si>
  <si>
    <t>Ofaveolata014093</t>
  </si>
  <si>
    <t>Ofaveolata014259</t>
  </si>
  <si>
    <t>ADP-ribosylarginine hydrolase activity</t>
  </si>
  <si>
    <t>Ofaveolata014262</t>
  </si>
  <si>
    <t>Ofaveolata014271</t>
  </si>
  <si>
    <t>BEST Arabidopsis thaliana protein match is P-loop containing nucleoside triphosphate hydrolases superfamily protein (TAIR</t>
  </si>
  <si>
    <t>Ofaveolata014299</t>
  </si>
  <si>
    <t>PLAC8 family</t>
  </si>
  <si>
    <t>Ofaveolata014317</t>
  </si>
  <si>
    <t>belongs to the actin family</t>
  </si>
  <si>
    <t>Ofaveolata014323</t>
  </si>
  <si>
    <t>Ofaveolata014337</t>
  </si>
  <si>
    <t>Ofaveolata014341</t>
  </si>
  <si>
    <t>GMP binding</t>
  </si>
  <si>
    <t>Ofaveolata014345</t>
  </si>
  <si>
    <t>iron-sulfur cluster assembly</t>
  </si>
  <si>
    <t>Ofaveolata014416</t>
  </si>
  <si>
    <t>Ofaveolata014442</t>
  </si>
  <si>
    <t>ubiquinone biosynthetic process</t>
  </si>
  <si>
    <t>Ofaveolata014493</t>
  </si>
  <si>
    <t>Belongs to the TRAFAC class myosin-kinesin ATPase superfamily. Myosin family</t>
  </si>
  <si>
    <t>Ofaveolata014507</t>
  </si>
  <si>
    <t>coiled-coil</t>
  </si>
  <si>
    <t>Ofaveolata014585</t>
  </si>
  <si>
    <t>Ofaveolata014612</t>
  </si>
  <si>
    <t>Ofaveolata014629</t>
  </si>
  <si>
    <t>Ofaveolata014649</t>
  </si>
  <si>
    <t>Ofaveolata014728</t>
  </si>
  <si>
    <t>Ofaveolata014746</t>
  </si>
  <si>
    <t>Ofaveolata014778</t>
  </si>
  <si>
    <t>Ofaveolata014850</t>
  </si>
  <si>
    <t>Ofaveolata014852</t>
  </si>
  <si>
    <t>IPT/TIG domain</t>
  </si>
  <si>
    <t>Ofaveolata014858</t>
  </si>
  <si>
    <t>Dermatopontin</t>
  </si>
  <si>
    <t>Ofaveolata014884</t>
  </si>
  <si>
    <t>renal vesicle induction</t>
  </si>
  <si>
    <t>Ofaveolata014896</t>
  </si>
  <si>
    <t>Ofaveolata014901</t>
  </si>
  <si>
    <t>Ofaveolata014921</t>
  </si>
  <si>
    <t>Ubiquitin specific protease 1</t>
  </si>
  <si>
    <t>Ofaveolata014963</t>
  </si>
  <si>
    <t>Ofaveolata014972</t>
  </si>
  <si>
    <t>15-hydroxyprostaglandin dehydrogenase (NADP+) activity</t>
  </si>
  <si>
    <t>Ofaveolata014996</t>
  </si>
  <si>
    <t>Coiled-coil domain containing 89</t>
  </si>
  <si>
    <t>Ofaveolata014998</t>
  </si>
  <si>
    <t>Ofaveolata015021</t>
  </si>
  <si>
    <t>Ofaveolata015050</t>
  </si>
  <si>
    <t>structural constituent of cuticle</t>
  </si>
  <si>
    <t>Ofaveolata015057</t>
  </si>
  <si>
    <t>Fibrillar collagens C-terminal domain</t>
  </si>
  <si>
    <t>Ofaveolata015061</t>
  </si>
  <si>
    <t>negative regulation of cell proliferation involved in heart valve morphogenesis</t>
  </si>
  <si>
    <t>Ofaveolata015074</t>
  </si>
  <si>
    <t>Ofaveolata015084</t>
  </si>
  <si>
    <t>Ofaveolata015086</t>
  </si>
  <si>
    <t>Ofaveolata015101</t>
  </si>
  <si>
    <t>Ofaveolata015120</t>
  </si>
  <si>
    <t>Nuclear factor erythroid</t>
  </si>
  <si>
    <t>Ofaveolata015131</t>
  </si>
  <si>
    <t>Ofaveolata015148</t>
  </si>
  <si>
    <t>Ofaveolata015179</t>
  </si>
  <si>
    <t>Ofaveolata015272</t>
  </si>
  <si>
    <t>CW-type Zinc Finger</t>
  </si>
  <si>
    <t>Ofaveolata015297</t>
  </si>
  <si>
    <t>Ofaveolata015359</t>
  </si>
  <si>
    <t>Ofaveolata015365</t>
  </si>
  <si>
    <t>Ofaveolata015401</t>
  </si>
  <si>
    <t>Ofaveolata015403</t>
  </si>
  <si>
    <t>Ofaveolata015416</t>
  </si>
  <si>
    <t>Ofaveolata015454</t>
  </si>
  <si>
    <t>Ofaveolata015485</t>
  </si>
  <si>
    <t>negative regulation of inclusion body assembly</t>
  </si>
  <si>
    <t>Ofaveolata015532</t>
  </si>
  <si>
    <t>Ofaveolata015558</t>
  </si>
  <si>
    <t>3-hydroxyisobutyrate dehydrogenase activity</t>
  </si>
  <si>
    <t>Ofaveolata015588</t>
  </si>
  <si>
    <t>Ofaveolata015617</t>
  </si>
  <si>
    <t>Ofaveolata015635</t>
  </si>
  <si>
    <t>PMS1 postmeiotic segregation increased 1 (S. cerevisiae)</t>
  </si>
  <si>
    <t>Ofaveolata015636</t>
  </si>
  <si>
    <t>Ankyrin repeat and zinc finger</t>
  </si>
  <si>
    <t>Ofaveolata015638</t>
  </si>
  <si>
    <t>beta-galactosidase activity</t>
  </si>
  <si>
    <t>Ofaveolata015639</t>
  </si>
  <si>
    <t>Ofaveolata015668</t>
  </si>
  <si>
    <t>gamma-aminobutyric acid:sodium symporter activity</t>
  </si>
  <si>
    <t>Ofaveolata015698</t>
  </si>
  <si>
    <t>Ofaveolata015708</t>
  </si>
  <si>
    <t>Ofaveolata015716</t>
  </si>
  <si>
    <t>Ofaveolata015719</t>
  </si>
  <si>
    <t>FAM124 family</t>
  </si>
  <si>
    <t>Ofaveolata015720</t>
  </si>
  <si>
    <t>creatine kinase activity</t>
  </si>
  <si>
    <t>Ofaveolata015742</t>
  </si>
  <si>
    <t>Ofaveolata015754</t>
  </si>
  <si>
    <t>Ofaveolata015759</t>
  </si>
  <si>
    <t>inner cell mass cell proliferation</t>
  </si>
  <si>
    <t>Ofaveolata015769</t>
  </si>
  <si>
    <t>Ofaveolata015777</t>
  </si>
  <si>
    <t>Ofaveolata015800</t>
  </si>
  <si>
    <t>Ofaveolata015818</t>
  </si>
  <si>
    <t>helix loop helix domain</t>
  </si>
  <si>
    <t>Ofaveolata015820</t>
  </si>
  <si>
    <t>Ofaveolata015857</t>
  </si>
  <si>
    <t>Ofaveolata015858</t>
  </si>
  <si>
    <t>Ofaveolata015905</t>
  </si>
  <si>
    <t>Ofaveolata016002</t>
  </si>
  <si>
    <t>Ofaveolata016009</t>
  </si>
  <si>
    <t>Ofaveolata016020</t>
  </si>
  <si>
    <t>Ofaveolata016123</t>
  </si>
  <si>
    <t>Ofaveolata016127</t>
  </si>
  <si>
    <t>Ofaveolata016136</t>
  </si>
  <si>
    <t>Ofaveolata016248</t>
  </si>
  <si>
    <t>Ventral anterior homeobox 2</t>
  </si>
  <si>
    <t>Ofaveolata016270</t>
  </si>
  <si>
    <t>Ofaveolata016403</t>
  </si>
  <si>
    <t>Ofaveolata016426</t>
  </si>
  <si>
    <t>Ofaveolata016446</t>
  </si>
  <si>
    <t>Ofaveolata016485</t>
  </si>
  <si>
    <t>Ofaveolata016495</t>
  </si>
  <si>
    <t>Ofaveolata016500</t>
  </si>
  <si>
    <t>Domain of unknown function (DUF4062)</t>
  </si>
  <si>
    <t>Ofaveolata016513</t>
  </si>
  <si>
    <t>Ofaveolata016520</t>
  </si>
  <si>
    <t>proteasome assembly</t>
  </si>
  <si>
    <t>Ofaveolata016535</t>
  </si>
  <si>
    <t>RNA secondary structure unwinding</t>
  </si>
  <si>
    <t>Ofaveolata016544</t>
  </si>
  <si>
    <t>SH3 domain-binding protein 5-like</t>
  </si>
  <si>
    <t>Ofaveolata016556</t>
  </si>
  <si>
    <t>Ofaveolata016570</t>
  </si>
  <si>
    <t>Ofaveolata016598</t>
  </si>
  <si>
    <t>Ofaveolata016655</t>
  </si>
  <si>
    <t>structural constituent of cytoskeleton</t>
  </si>
  <si>
    <t>Ofaveolata016670</t>
  </si>
  <si>
    <t>proton transmembrane transport</t>
  </si>
  <si>
    <t>Ofaveolata016772</t>
  </si>
  <si>
    <t>Ofaveolata016792</t>
  </si>
  <si>
    <t>endocytosis</t>
  </si>
  <si>
    <t>Ofaveolata016794</t>
  </si>
  <si>
    <t>Involved in the biogenesis of the 60S ribosomal subunit</t>
  </si>
  <si>
    <t>Ofaveolata016805</t>
  </si>
  <si>
    <t>3'-5' exonuclease activity</t>
  </si>
  <si>
    <t>Ofaveolata016813</t>
  </si>
  <si>
    <t>Allows the formation of correctly charged Gln-tRNA(Gln) through the transamidation of misacylated Glu-tRNA(Gln) in the mitochondria. The reaction takes place in the presence of glutamine and ATP through an activated gamma-phospho-Glu- tRNA(Gln)</t>
  </si>
  <si>
    <t>Ofaveolata016816</t>
  </si>
  <si>
    <t>Ofaveolata016834</t>
  </si>
  <si>
    <t>Ofaveolata016843</t>
  </si>
  <si>
    <t>Ofaveolata016864</t>
  </si>
  <si>
    <t>Alternative oxidase</t>
  </si>
  <si>
    <t>Ofaveolata016942</t>
  </si>
  <si>
    <t>Ofaveolata016958</t>
  </si>
  <si>
    <t>Ofaveolata017006</t>
  </si>
  <si>
    <t>Ofaveolata017015</t>
  </si>
  <si>
    <t>microtubule motor activity</t>
  </si>
  <si>
    <t>Ofaveolata017017</t>
  </si>
  <si>
    <t>Ofaveolata017061</t>
  </si>
  <si>
    <t>guanylate cyclase activity</t>
  </si>
  <si>
    <t>Ofaveolata017107</t>
  </si>
  <si>
    <t>Ofaveolata017117</t>
  </si>
  <si>
    <t>Ofaveolata017129</t>
  </si>
  <si>
    <t>Ofaveolata017131</t>
  </si>
  <si>
    <t>Ofaveolata017155</t>
  </si>
  <si>
    <t>TBC1 domain family, member 5</t>
  </si>
  <si>
    <t>Ofaveolata017157</t>
  </si>
  <si>
    <t>integrin</t>
  </si>
  <si>
    <t>Ofaveolata017170</t>
  </si>
  <si>
    <t>Ofaveolata017215</t>
  </si>
  <si>
    <t>CUB and zona pellucida-like domain-containing protein</t>
  </si>
  <si>
    <t>Ofaveolata017222</t>
  </si>
  <si>
    <t>Ofaveolata017246</t>
  </si>
  <si>
    <t>Ofaveolata017261</t>
  </si>
  <si>
    <t>Ofaveolata017291</t>
  </si>
  <si>
    <t>Acyl-CoA synthetase long-chain family member</t>
  </si>
  <si>
    <t>Ofaveolata017317</t>
  </si>
  <si>
    <t>Ofaveolata017324</t>
  </si>
  <si>
    <t>Ofaveolata017393</t>
  </si>
  <si>
    <t>Ofaveolata017394</t>
  </si>
  <si>
    <t>Ofaveolata017453</t>
  </si>
  <si>
    <t>phospholipid scrambling</t>
  </si>
  <si>
    <t>Ofaveolata017468</t>
  </si>
  <si>
    <t>Argininosuccinate</t>
  </si>
  <si>
    <t>Ofaveolata017563</t>
  </si>
  <si>
    <t>Ofaveolata017565</t>
  </si>
  <si>
    <t>cAMP-dependent protein kinase activity</t>
  </si>
  <si>
    <t>Ofaveolata017571</t>
  </si>
  <si>
    <t>Ofaveolata017575</t>
  </si>
  <si>
    <t>Belongs to the sterol desaturase family</t>
  </si>
  <si>
    <t>Ofaveolata017578</t>
  </si>
  <si>
    <t>Ofaveolata017585</t>
  </si>
  <si>
    <t>Ofaveolata017606</t>
  </si>
  <si>
    <t>ACT domain</t>
  </si>
  <si>
    <t>Ofaveolata017608</t>
  </si>
  <si>
    <t>Ofaveolata017699</t>
  </si>
  <si>
    <t>Ofaveolata017719</t>
  </si>
  <si>
    <t>Ofaveolata017730</t>
  </si>
  <si>
    <t>Ofaveolata017753</t>
  </si>
  <si>
    <t>Ofaveolata017767</t>
  </si>
  <si>
    <t>Ofaveolata017769</t>
  </si>
  <si>
    <t>Ofaveolata017776</t>
  </si>
  <si>
    <t>Ofaveolata017778</t>
  </si>
  <si>
    <t>Ofaveolata017791</t>
  </si>
  <si>
    <t>Cytochrome P450, family 46, subfamily A, polypeptide</t>
  </si>
  <si>
    <t>Ofaveolata017799</t>
  </si>
  <si>
    <t>Ofaveolata017819</t>
  </si>
  <si>
    <t>snRNA processing</t>
  </si>
  <si>
    <t>Ofaveolata017861</t>
  </si>
  <si>
    <t>Dedicator of cytokinesis</t>
  </si>
  <si>
    <t>Ofaveolata017883</t>
  </si>
  <si>
    <t>Ofaveolata017891</t>
  </si>
  <si>
    <t>Ofaveolata017923</t>
  </si>
  <si>
    <t>Basic leucine zipper nuclear factor 1</t>
  </si>
  <si>
    <t>Ofaveolata017942</t>
  </si>
  <si>
    <t>Ofaveolata017944</t>
  </si>
  <si>
    <t>uridine-diphosphatase activity</t>
  </si>
  <si>
    <t>Ofaveolata017991</t>
  </si>
  <si>
    <t>Pyridoxal-phosphate dependent enzyme</t>
  </si>
  <si>
    <t>Ofaveolata018007</t>
  </si>
  <si>
    <t>Ofaveolata018010</t>
  </si>
  <si>
    <t>Ofaveolata018046</t>
  </si>
  <si>
    <t>sodium potassium-transporting ATPase subunit</t>
  </si>
  <si>
    <t>Ofaveolata018063</t>
  </si>
  <si>
    <t>Ofaveolata018107</t>
  </si>
  <si>
    <t>Ofaveolata018113</t>
  </si>
  <si>
    <t>Ofaveolata018178</t>
  </si>
  <si>
    <t>Ofaveolata018179</t>
  </si>
  <si>
    <t>Ofaveolata018189</t>
  </si>
  <si>
    <t>Ofaveolata018221</t>
  </si>
  <si>
    <t>Ofaveolata018324</t>
  </si>
  <si>
    <t>Ofaveolata018343</t>
  </si>
  <si>
    <t>Gamma-aminobutyric acid (GABA) B receptor, 2</t>
  </si>
  <si>
    <t>Ofaveolata018369</t>
  </si>
  <si>
    <t>Ofaveolata018431</t>
  </si>
  <si>
    <t>Ofaveolata018505</t>
  </si>
  <si>
    <t>Ofaveolata018523</t>
  </si>
  <si>
    <t>Ofaveolata018558</t>
  </si>
  <si>
    <t>Ofaveolata018567</t>
  </si>
  <si>
    <t>Ofaveolata018750</t>
  </si>
  <si>
    <t>Catalyzes the transfer of endogenously produced octanoic acid from octanoyl-acyl-carrier-protein onto the lipoyl domains of lipoate-dependent enzymes. Lipoyl-ACP can also act as a substrate although octanoyl-ACP is likely to be the physiological substrate</t>
  </si>
  <si>
    <t>Ofaveolata018771</t>
  </si>
  <si>
    <t>Ofaveolata018782</t>
  </si>
  <si>
    <t>TMEM192 family</t>
  </si>
  <si>
    <t>Ofaveolata018842</t>
  </si>
  <si>
    <t>Ofaveolata018848</t>
  </si>
  <si>
    <t>activation of NF-kappaB-inducing kinase activity</t>
  </si>
  <si>
    <t>Ofaveolata018861</t>
  </si>
  <si>
    <t>Ofaveolata018880</t>
  </si>
  <si>
    <t>L-glutamate import across plasma membrane</t>
  </si>
  <si>
    <t>Ofaveolata018920</t>
  </si>
  <si>
    <t>Ofaveolata018936</t>
  </si>
  <si>
    <t>Ofaveolata018942</t>
  </si>
  <si>
    <t>Ofaveolata018945</t>
  </si>
  <si>
    <t>Ofaveolata018953</t>
  </si>
  <si>
    <t>Ofaveolata019022</t>
  </si>
  <si>
    <t>omega-amidase activity</t>
  </si>
  <si>
    <t>Ofaveolata019038</t>
  </si>
  <si>
    <t>Ofaveolata019080</t>
  </si>
  <si>
    <t>peptidyl-dipeptidase activity</t>
  </si>
  <si>
    <t>Ofaveolata019097</t>
  </si>
  <si>
    <t>heme binding</t>
  </si>
  <si>
    <t>Ofaveolata019124</t>
  </si>
  <si>
    <t>Ofaveolata019130</t>
  </si>
  <si>
    <t>Ofaveolata019143</t>
  </si>
  <si>
    <t>ligand-gated sodium channel activity</t>
  </si>
  <si>
    <t>Ofaveolata019153</t>
  </si>
  <si>
    <t>Ofaveolata019155</t>
  </si>
  <si>
    <t>Ofaveolata019221</t>
  </si>
  <si>
    <t>Ofaveolata019294</t>
  </si>
  <si>
    <t>Ofaveolata019333</t>
  </si>
  <si>
    <t>Ofaveolata019357</t>
  </si>
  <si>
    <t>L-ornithine transmembrane transport</t>
  </si>
  <si>
    <t>Ofaveolata019383</t>
  </si>
  <si>
    <t>Ofaveolata019396</t>
  </si>
  <si>
    <t>Ofaveolata019397</t>
  </si>
  <si>
    <t>calcium-dependent cysteine-type endopeptidase activity</t>
  </si>
  <si>
    <t>Ofaveolata019432</t>
  </si>
  <si>
    <t>Ofaveolata019649</t>
  </si>
  <si>
    <t>Deleted in malignant brain tumors 1</t>
  </si>
  <si>
    <t>Ofaveolata019652</t>
  </si>
  <si>
    <t>Ofaveolata019806</t>
  </si>
  <si>
    <t>Ofaveolata019824</t>
  </si>
  <si>
    <t>Ofaveolata019865</t>
  </si>
  <si>
    <t>Ofaveolata019887</t>
  </si>
  <si>
    <t>Cephalosporin hydroxylase</t>
  </si>
  <si>
    <t>Ofaveolata019890</t>
  </si>
  <si>
    <t>Ofaveolata019928</t>
  </si>
  <si>
    <t>Ofaveolata019956</t>
  </si>
  <si>
    <t>galactosyltransferase activity</t>
  </si>
  <si>
    <t>Ofaveolata019965</t>
  </si>
  <si>
    <t>Ofaveolata019991</t>
  </si>
  <si>
    <t>negative regulation of phosphatase activity</t>
  </si>
  <si>
    <t>Ofaveolata020048</t>
  </si>
  <si>
    <t>endodermal-mesodermal cell signaling</t>
  </si>
  <si>
    <t>Ofaveolata020186</t>
  </si>
  <si>
    <t>Ofaveolata020687</t>
  </si>
  <si>
    <t>Ofaveolata020833</t>
  </si>
  <si>
    <t>Ofaveolata020859</t>
  </si>
  <si>
    <t>Ofaveolata020887</t>
  </si>
  <si>
    <t>Ofaveolata020891</t>
  </si>
  <si>
    <t>Ofaveolata020920</t>
  </si>
  <si>
    <t>Ofaveolata020941</t>
  </si>
  <si>
    <t>Procollagen C-endopeptidase enhancer 2</t>
  </si>
  <si>
    <t>Ofaveolata020961</t>
  </si>
  <si>
    <t>Ofaveolata020999</t>
  </si>
  <si>
    <t>regulation of cardiac muscle cell myoblast differentiation</t>
  </si>
  <si>
    <t>Ofaveolata021016</t>
  </si>
  <si>
    <t>trans-synaptic signaling by soluble gas, modulating synaptic transmission</t>
  </si>
  <si>
    <t>Ofaveolata021027</t>
  </si>
  <si>
    <t>Ofaveolata021048</t>
  </si>
  <si>
    <t>Belongs to the class-I aminoacyl-tRNA synthetase family</t>
  </si>
  <si>
    <t>Ofaveolata021090</t>
  </si>
  <si>
    <t>Ofaveolata021094</t>
  </si>
  <si>
    <t>Ofaveolata021120</t>
  </si>
  <si>
    <t>3',5'-cyclic-GMP phosphodiesterase activity</t>
  </si>
  <si>
    <t>Ofaveolata021123</t>
  </si>
  <si>
    <t>cilium assembly</t>
  </si>
  <si>
    <t>Ofaveolata021281</t>
  </si>
  <si>
    <t>Ofaveolata021306</t>
  </si>
  <si>
    <t>Ofaveolata021308</t>
  </si>
  <si>
    <t>Ofaveolata021343</t>
  </si>
  <si>
    <t>Ofaveolata021432</t>
  </si>
  <si>
    <t>regulation of cellular response to hypoxia</t>
  </si>
  <si>
    <t>Ofaveolata021473</t>
  </si>
  <si>
    <t>Ofaveolata021629</t>
  </si>
  <si>
    <t>Ofaveolata021783</t>
  </si>
  <si>
    <t>Ofaveolata021875</t>
  </si>
  <si>
    <t>Ofaveolata021927</t>
  </si>
  <si>
    <t>Ofaveolata021929</t>
  </si>
  <si>
    <t>Ofaveolata021947</t>
  </si>
  <si>
    <t>May act as a scaffolding protein within caveolar membranes. Interacts directly with G-protein alpha subunits and can functionally regulate their activity</t>
  </si>
  <si>
    <t>Ofaveolata021971</t>
  </si>
  <si>
    <t>Ofaveolata021979</t>
  </si>
  <si>
    <t>Ofaveolata021986</t>
  </si>
  <si>
    <t>Ofaveolata021988</t>
  </si>
  <si>
    <t>Ofaveolata021989</t>
  </si>
  <si>
    <t>Ofaveolata021995</t>
  </si>
  <si>
    <t>Ofaveolata021996</t>
  </si>
  <si>
    <t>Ofaveolata021998</t>
  </si>
  <si>
    <t>tumor necrosis factor-activated receptor activity</t>
  </si>
  <si>
    <t>Ofaveolata022050</t>
  </si>
  <si>
    <t>serine threonine-protein kinase</t>
  </si>
  <si>
    <t>Ofaveolata022051</t>
  </si>
  <si>
    <t>Neuronal migration protein doublecortin</t>
  </si>
  <si>
    <t>Ofaveolata022075</t>
  </si>
  <si>
    <t>N-acetylgalactosamine 4-O-sulfotransferase activity</t>
  </si>
  <si>
    <t>Ofaveolata022123</t>
  </si>
  <si>
    <t>Ofaveolata022156</t>
  </si>
  <si>
    <t>Ofaveolata022159</t>
  </si>
  <si>
    <t>ATP binding. It is involved in the biological process described with protein phosphorylation</t>
  </si>
  <si>
    <t>Ofaveolata022196</t>
  </si>
  <si>
    <t>helicase superfamily c-terminal domain</t>
  </si>
  <si>
    <t>Ofaveolata022235</t>
  </si>
  <si>
    <t>Ofaveolata022373</t>
  </si>
  <si>
    <t>Ureidoimidazoline (2-oxo-4-hydroxy-4-carboxy-5-) decarboxylase</t>
  </si>
  <si>
    <t>Ofaveolata022379</t>
  </si>
  <si>
    <t>Ofaveolata022400</t>
  </si>
  <si>
    <t>secondary active sulfate transmembrane transporter activity</t>
  </si>
  <si>
    <t>Ofaveolata022425</t>
  </si>
  <si>
    <t>FAD binding domain of DNA photolyase</t>
  </si>
  <si>
    <t>Ofaveolata022447</t>
  </si>
  <si>
    <t>Transport and Golgi organisation 2</t>
  </si>
  <si>
    <t>Ofaveolata022455</t>
  </si>
  <si>
    <t>laminin subunit</t>
  </si>
  <si>
    <t>Ofaveolata022498</t>
  </si>
  <si>
    <t>Ofaveolata022543</t>
  </si>
  <si>
    <t>Ofaveolata022584</t>
  </si>
  <si>
    <t>magnesium ion binding</t>
  </si>
  <si>
    <t>Ofaveolata022634</t>
  </si>
  <si>
    <t>Ofaveolata022723</t>
  </si>
  <si>
    <t>Ofaveolata022771</t>
  </si>
  <si>
    <t>Ofaveolata022778</t>
  </si>
  <si>
    <t>Ofaveolata022794</t>
  </si>
  <si>
    <t>Ofaveolata022834</t>
  </si>
  <si>
    <t>3'-phosphoadenosine 5'-phosphosulfate transmembrane transporter activity</t>
  </si>
  <si>
    <t>Ofaveolata022876</t>
  </si>
  <si>
    <t>Ofaveolata022890</t>
  </si>
  <si>
    <t>calcium ion transport</t>
  </si>
  <si>
    <t>Ofaveolata022968</t>
  </si>
  <si>
    <t>neurofibromin</t>
  </si>
  <si>
    <t>Ofaveolata023002</t>
  </si>
  <si>
    <t>Ofaveolata023024</t>
  </si>
  <si>
    <t>Isocitrate lyase family</t>
  </si>
  <si>
    <t>Ofaveolata023143</t>
  </si>
  <si>
    <t>cellular macromolecule catabolic process</t>
  </si>
  <si>
    <t>Ofaveolata023163</t>
  </si>
  <si>
    <t>Ofaveolata023246</t>
  </si>
  <si>
    <t>nitric-oxide synthase activity</t>
  </si>
  <si>
    <t>Ofaveolata023252</t>
  </si>
  <si>
    <t>beta-glucuronidase activity</t>
  </si>
  <si>
    <t>Ofaveolata023277</t>
  </si>
  <si>
    <t>Ofaveolata023343</t>
  </si>
  <si>
    <t>Ofaveolata023385</t>
  </si>
  <si>
    <t>seminal vesicle morphogenesis</t>
  </si>
  <si>
    <t>Ofaveolata023439</t>
  </si>
  <si>
    <t>endoderm formation</t>
  </si>
  <si>
    <t>Ofaveolata023458</t>
  </si>
  <si>
    <t>Ofaveolata023502</t>
  </si>
  <si>
    <t>Ofaveolata023510</t>
  </si>
  <si>
    <t>Ofaveolata023527</t>
  </si>
  <si>
    <t>Ofaveolata023541</t>
  </si>
  <si>
    <t>Ofaveolata023792</t>
  </si>
  <si>
    <t>Ofaveolata023809</t>
  </si>
  <si>
    <t>Putative peptidase family</t>
  </si>
  <si>
    <t>Ofaveolata023826</t>
  </si>
  <si>
    <t>positive regulation of mitochondrial translation</t>
  </si>
  <si>
    <t>Ofaveolata023847</t>
  </si>
  <si>
    <t>Ofaveolata023878</t>
  </si>
  <si>
    <t>peptidyl-diphthamide biosynthetic process from peptidyl-histidine</t>
  </si>
  <si>
    <t>Ofaveolata023950</t>
  </si>
  <si>
    <t>Ofaveolata023976</t>
  </si>
  <si>
    <t>Ofaveolata023977</t>
  </si>
  <si>
    <t>Ofaveolata023979</t>
  </si>
  <si>
    <t>Ofaveolata023984</t>
  </si>
  <si>
    <t>Ofaveolata024018</t>
  </si>
  <si>
    <t>peptidase inhibitor activity</t>
  </si>
  <si>
    <t>Ofaveolata024041</t>
  </si>
  <si>
    <t>Acyl-CoA dehydrogenase, C-terminal domain</t>
  </si>
  <si>
    <t>Ofaveolata024044</t>
  </si>
  <si>
    <t>Ofaveolata024046</t>
  </si>
  <si>
    <t>Ofaveolata024081</t>
  </si>
  <si>
    <t>Ofaveolata024082</t>
  </si>
  <si>
    <t>Ofaveolata024083</t>
  </si>
  <si>
    <t>Ofaveolata024090</t>
  </si>
  <si>
    <t>Ofaveolata024159</t>
  </si>
  <si>
    <t>regulation of embryonic development</t>
  </si>
  <si>
    <t>Ofaveolata024164</t>
  </si>
  <si>
    <t>Ofaveolata024165</t>
  </si>
  <si>
    <t>Ofaveolata024200</t>
  </si>
  <si>
    <t>Cellular repressor of E1A-stimulated genes 2</t>
  </si>
  <si>
    <t>Ofaveolata024221</t>
  </si>
  <si>
    <t>Ofaveolata024230</t>
  </si>
  <si>
    <t>Ofaveolata024256</t>
  </si>
  <si>
    <t>Ofaveolata024283</t>
  </si>
  <si>
    <t>Thrombospondin N-terminal -like domains.</t>
  </si>
  <si>
    <t>Ofaveolata024328</t>
  </si>
  <si>
    <t>Ofaveolata024339</t>
  </si>
  <si>
    <t>oxidoreductase activity, acting on peroxide as acceptor</t>
  </si>
  <si>
    <t>Ofaveolata024356</t>
  </si>
  <si>
    <t>Ofaveolata024399</t>
  </si>
  <si>
    <t>Ofaveolata024431</t>
  </si>
  <si>
    <t>GTPase that associates with pre-60S ribosomal subunits in the nucleolus and is required for their nuclear export and maturation</t>
  </si>
  <si>
    <t>Ofaveolata024529</t>
  </si>
  <si>
    <t>Ofaveolata024603</t>
  </si>
  <si>
    <t>Taurine catabolism dioxygenase TauD, TfdA family</t>
  </si>
  <si>
    <t>Ofaveolata024605</t>
  </si>
  <si>
    <t>lipid catabolic process</t>
  </si>
  <si>
    <t>Ofaveolata024613</t>
  </si>
  <si>
    <t>Ofaveolata024673</t>
  </si>
  <si>
    <t>oxidation-reduction process</t>
  </si>
  <si>
    <t>Ofaveolata024686</t>
  </si>
  <si>
    <t>Ofaveolata024711</t>
  </si>
  <si>
    <t>Ofaveolata024722</t>
  </si>
  <si>
    <t>glutathione synthase activity</t>
  </si>
  <si>
    <t>Ofaveolata024729</t>
  </si>
  <si>
    <t>Ofaveolata024732</t>
  </si>
  <si>
    <t>Belongs to the sodium neurotransmitter symporter (SNF) (TC 2.A.22) family</t>
  </si>
  <si>
    <t>Ofaveolata024748</t>
  </si>
  <si>
    <t>Ofaveolata024792</t>
  </si>
  <si>
    <t>Ofaveolata024841</t>
  </si>
  <si>
    <t>Ofaveolata024890</t>
  </si>
  <si>
    <t>ubiquitin conjugating enzyme binding</t>
  </si>
  <si>
    <t>Ofaveolata024897</t>
  </si>
  <si>
    <t>Ofaveolata024904</t>
  </si>
  <si>
    <t>Ofaveolata024919</t>
  </si>
  <si>
    <t>Ofaveolata024921</t>
  </si>
  <si>
    <t>Ofaveolata024923</t>
  </si>
  <si>
    <t>TNF receptor-associated factor</t>
  </si>
  <si>
    <t>Ofaveolata024924</t>
  </si>
  <si>
    <t>Ofaveolata024929</t>
  </si>
  <si>
    <t>Ofaveolata024948</t>
  </si>
  <si>
    <t>NAD-dependent lysine demalonylase, desuccinylase and deglutarylase that specifically removes malonyl, succinyl and glutaryl groups on target proteins. Activates CPS1 and contributes to the regulation of blood ammonia levels during prolonged fasting acts by mediating desuccinylation and deglutarylation of CPS1, thereby increasing CPS1 activity in response to elevated NAD levels during fasting. Activates SOD1 by mediating its desuccinylation, leading to reduced reactive oxygen species. Modulates ketogenesis through the desuccinylation and activation of HMGCS2. Has weak NAD-dependent protein deacetylase activity</t>
  </si>
  <si>
    <t>Ofaveolata024968</t>
  </si>
  <si>
    <t>Ofaveolata024982</t>
  </si>
  <si>
    <t>Ofaveolata024990</t>
  </si>
  <si>
    <t>Ofaveolata024998</t>
  </si>
  <si>
    <t>regulation of cell cycle</t>
  </si>
  <si>
    <t>Ofaveolata025090</t>
  </si>
  <si>
    <t>Ofaveolata025092</t>
  </si>
  <si>
    <t>Ofaveolata025133</t>
  </si>
  <si>
    <t>Ofaveolata025231</t>
  </si>
  <si>
    <t>Ofaveolata025250</t>
  </si>
  <si>
    <t>Ofaveolata025369</t>
  </si>
  <si>
    <t>manganese-transporting ATPase activity</t>
  </si>
  <si>
    <t>Ofaveolata025432</t>
  </si>
  <si>
    <t>Ofaveolata025474</t>
  </si>
  <si>
    <t>Dehydrogenase reductase SDR family member</t>
  </si>
  <si>
    <t>Ofaveolata025520</t>
  </si>
  <si>
    <t>Arp2/3 complex-mediated actin nucleation</t>
  </si>
  <si>
    <t>Ofaveolata025659</t>
  </si>
  <si>
    <t>establishment of animal organ orientation</t>
  </si>
  <si>
    <t>Ofaveolata025717</t>
  </si>
  <si>
    <t>regulation of ryanodine-sensitive calcium-release channel activity</t>
  </si>
  <si>
    <t>Ofaveolata025755</t>
  </si>
  <si>
    <t>negative regulation of sequestering of triglyceride</t>
  </si>
  <si>
    <t>Ofaveolata025817</t>
  </si>
  <si>
    <t>Ofaveolata025818</t>
  </si>
  <si>
    <t>Ofaveolata025849</t>
  </si>
  <si>
    <t>Myosin, light</t>
  </si>
  <si>
    <t>Ofaveolata025870</t>
  </si>
  <si>
    <t>Ofaveolata025982</t>
  </si>
  <si>
    <t>establishment of planar polarity involved in neural tube closure</t>
  </si>
  <si>
    <t>Ofaveolata026014</t>
  </si>
  <si>
    <t>Ofaveolata026080</t>
  </si>
  <si>
    <t>Ofaveolata026092</t>
  </si>
  <si>
    <t>Ofaveolata026113</t>
  </si>
  <si>
    <t>amine sulfotransferase activity</t>
  </si>
  <si>
    <t>Ofaveolata026244</t>
  </si>
  <si>
    <t>Ofaveolata026251</t>
  </si>
  <si>
    <t>Ofaveolata026266</t>
  </si>
  <si>
    <t>Ofaveolata026271</t>
  </si>
  <si>
    <t>cell cycle G1/S phase transition</t>
  </si>
  <si>
    <t>Ofaveolata026272</t>
  </si>
  <si>
    <t>5-oxoprolinase (ATP-hydrolyzing) activity</t>
  </si>
  <si>
    <t>Ofaveolata026368</t>
  </si>
  <si>
    <t>Metastasis suppressor protein 1-like</t>
  </si>
  <si>
    <t>Ofaveolata026424</t>
  </si>
  <si>
    <t>Ofaveolata026429</t>
  </si>
  <si>
    <t>Zinc finger, C3HC4 type (RING finger)</t>
  </si>
  <si>
    <t>Ofaveolata026430</t>
  </si>
  <si>
    <t>Ofaveolata026524</t>
  </si>
  <si>
    <t>Ofaveolata026548</t>
  </si>
  <si>
    <t>Ofaveolata026560</t>
  </si>
  <si>
    <t>Ofaveolata026701</t>
  </si>
  <si>
    <t>Ofaveolata026785</t>
  </si>
  <si>
    <t>Ofaveolata026807</t>
  </si>
  <si>
    <t>Ofaveolata026861</t>
  </si>
  <si>
    <t>Ofaveolata026878</t>
  </si>
  <si>
    <t>C-type lectin (CTL) or carbohydrate-recognition domain (CRD)</t>
  </si>
  <si>
    <t>Ofaveolata026914</t>
  </si>
  <si>
    <t>Ofaveolata026928</t>
  </si>
  <si>
    <t>Ofaveolata026932</t>
  </si>
  <si>
    <t>N-acetylglucosamine 6-O-sulfotransferase activity</t>
  </si>
  <si>
    <t>Ofaveolata026982</t>
  </si>
  <si>
    <t>RNA helicase activity</t>
  </si>
  <si>
    <t>Ofaveolata026992</t>
  </si>
  <si>
    <t>Ofaveolata026995</t>
  </si>
  <si>
    <t>Ofaveolata027016</t>
  </si>
  <si>
    <t>Sterol-sensing domain of SREBP cleavage-activation</t>
  </si>
  <si>
    <t>Ofaveolata027047</t>
  </si>
  <si>
    <t>Ofaveolata027053</t>
  </si>
  <si>
    <t>Ofaveolata027055</t>
  </si>
  <si>
    <t>Ofaveolata027056</t>
  </si>
  <si>
    <t>Ofaveolata027085</t>
  </si>
  <si>
    <t>Ofaveolata027100</t>
  </si>
  <si>
    <t>BLOC-2 complex binding</t>
  </si>
  <si>
    <t>Ofaveolata027183</t>
  </si>
  <si>
    <t>Oxidoreductase activity. It is involved in the biological process described with oxidation-reduction process</t>
  </si>
  <si>
    <t>Ofaveolata027185</t>
  </si>
  <si>
    <t>common myeloid progenitor cell proliferation</t>
  </si>
  <si>
    <t>Ofaveolata027262</t>
  </si>
  <si>
    <t>histone acetyltransferase activity</t>
  </si>
  <si>
    <t>Ofaveolata027266</t>
  </si>
  <si>
    <t>Ofaveolata027273</t>
  </si>
  <si>
    <t>Ofaveolata027275</t>
  </si>
  <si>
    <t>Helicase conserved C-terminal domain</t>
  </si>
  <si>
    <t>Ofaveolata027281</t>
  </si>
  <si>
    <t>Ofaveolata027325</t>
  </si>
  <si>
    <t>Ofaveolata027355</t>
  </si>
  <si>
    <t>Ofaveolata027502</t>
  </si>
  <si>
    <t>Ofaveolata027520</t>
  </si>
  <si>
    <t>Ofaveolata027538</t>
  </si>
  <si>
    <t>Ofaveolata027542</t>
  </si>
  <si>
    <t>Eukaryotic-type carbonic anhydrase</t>
  </si>
  <si>
    <t>Ofaveolata027559</t>
  </si>
  <si>
    <t>Ofaveolata027568</t>
  </si>
  <si>
    <t>UDP-glucuronic acid transmembrane transporter activity</t>
  </si>
  <si>
    <t>Ofaveolata027574</t>
  </si>
  <si>
    <t>Ofaveolata027575</t>
  </si>
  <si>
    <t>Ofaveolata027643</t>
  </si>
  <si>
    <t>Ofaveolata027650</t>
  </si>
  <si>
    <t>Ofaveolata027807</t>
  </si>
  <si>
    <t>Regulator of chromosome condensation (RCC1). Source PGD</t>
  </si>
  <si>
    <t>Ofaveolata027889</t>
  </si>
  <si>
    <t>Ofaveolata027903</t>
  </si>
  <si>
    <t>Ofaveolata027947</t>
  </si>
  <si>
    <t>Ofaveolata027956</t>
  </si>
  <si>
    <t>hedgehog receptor activity</t>
  </si>
  <si>
    <t>Ofaveolata027983</t>
  </si>
  <si>
    <t>Ofaveolata028034</t>
  </si>
  <si>
    <t>Ofaveolata028048</t>
  </si>
  <si>
    <t>calcium ion transmembrane transport</t>
  </si>
  <si>
    <t>Ofaveolata028056</t>
  </si>
  <si>
    <t>Ofaveolata028098</t>
  </si>
  <si>
    <t>Ofaveolata028105</t>
  </si>
  <si>
    <t>Belongs to the AB hydrolase superfamily. Lipase family</t>
  </si>
  <si>
    <t>Ofaveolata028144</t>
  </si>
  <si>
    <t>Ofaveolata028192</t>
  </si>
  <si>
    <t>Ofaveolata028196</t>
  </si>
  <si>
    <t>Ofaveolata028204</t>
  </si>
  <si>
    <t>Ofaveolata028237</t>
  </si>
  <si>
    <t>Ofaveolata028245</t>
  </si>
  <si>
    <t>Ofaveolata028261</t>
  </si>
  <si>
    <t>La ribonucleoprotein domain family member 6</t>
  </si>
  <si>
    <t>Ofaveolata028265</t>
  </si>
  <si>
    <t>Sodium/calcium exchanger protein</t>
  </si>
  <si>
    <t>Ofaveolata028315</t>
  </si>
  <si>
    <t>regulation of Golgi inheritance</t>
  </si>
  <si>
    <t>Ofaveolata028557</t>
  </si>
  <si>
    <t>Ofaveolata028558</t>
  </si>
  <si>
    <t>phosphorylase kinase regulator activity</t>
  </si>
  <si>
    <t>Ofaveolata028588</t>
  </si>
  <si>
    <t>Ofaveolata028642</t>
  </si>
  <si>
    <t>Ofaveolata028652</t>
  </si>
  <si>
    <t>regulation of nucleic acid-templated transcription</t>
  </si>
  <si>
    <t>Ofaveolata028664</t>
  </si>
  <si>
    <t>negative regulation of smooth muscle cell differentiation</t>
  </si>
  <si>
    <t>Ofaveolata028667</t>
  </si>
  <si>
    <t>Ofaveolata028682</t>
  </si>
  <si>
    <t>Ofaveolata028711</t>
  </si>
  <si>
    <t>structural molecule activity</t>
  </si>
  <si>
    <t>Ofaveolata028756</t>
  </si>
  <si>
    <t>Ribosomal protein S11</t>
  </si>
  <si>
    <t>Ofaveolata028758</t>
  </si>
  <si>
    <t>Ofaveolata028767</t>
  </si>
  <si>
    <t>PPIases accelerate the folding of proteins. It catalyzes the cis-trans isomerization of proline imidic peptide bonds in oligopeptides</t>
  </si>
  <si>
    <t>Ofaveolata028817</t>
  </si>
  <si>
    <t>Ofaveolata028846</t>
  </si>
  <si>
    <t>Ofaveolata028935</t>
  </si>
  <si>
    <t>Alpha beta hydrolase domain-containing protein</t>
  </si>
  <si>
    <t>Ofaveolata029155</t>
  </si>
  <si>
    <t>Ofaveolata029199</t>
  </si>
  <si>
    <t>Ofaveolata029215</t>
  </si>
  <si>
    <t>Ofaveolata029232</t>
  </si>
  <si>
    <t>Ofaveolata029295</t>
  </si>
  <si>
    <t>Ofaveolata029301</t>
  </si>
  <si>
    <t>Ofaveolata029344</t>
  </si>
  <si>
    <t>Excises uracil residues from the DNA which can arise as a result of misincorporation of dUMP residues by DNA polymerase or due to deamination of cytosine</t>
  </si>
  <si>
    <t>Ofaveolata029346</t>
  </si>
  <si>
    <t>Ofaveolata029375</t>
  </si>
  <si>
    <t>Ofaveolata029391</t>
  </si>
  <si>
    <t>Ofaveolata029443</t>
  </si>
  <si>
    <t>Ofaveolata029478</t>
  </si>
  <si>
    <t>EGF domain-specific O-linked N-acetylglucosamine</t>
  </si>
  <si>
    <t>Ofaveolata029493</t>
  </si>
  <si>
    <t>Ofaveolata029515</t>
  </si>
  <si>
    <t>Ofaveolata029557</t>
  </si>
  <si>
    <t>Heparan-alpha-glucosaminide N-acetyltransferase</t>
  </si>
  <si>
    <t>Ofaveolata029586</t>
  </si>
  <si>
    <t>Ofaveolata029600</t>
  </si>
  <si>
    <t>Ofaveolata029635</t>
  </si>
  <si>
    <t>Ofaveolata029652</t>
  </si>
  <si>
    <t>Ofaveolata029732</t>
  </si>
  <si>
    <t>Ofaveolata029735</t>
  </si>
  <si>
    <t>Deiodinase, iodothyronine, type I</t>
  </si>
  <si>
    <t>Ofaveolata029739</t>
  </si>
  <si>
    <t>Ofaveolata029755</t>
  </si>
  <si>
    <t>Peptidase M16 inactive domain</t>
  </si>
  <si>
    <t>Ofaveolata029766</t>
  </si>
  <si>
    <t>Ofaveolata029811</t>
  </si>
  <si>
    <t>Ofaveolata029819</t>
  </si>
  <si>
    <t>Ofaveolata029853</t>
  </si>
  <si>
    <t>Ofaveolata029881</t>
  </si>
  <si>
    <t>collagen</t>
  </si>
  <si>
    <t>Ofaveolata029897</t>
  </si>
  <si>
    <t>UDP-glucoronosyl and UDP-glucosyl transferase</t>
  </si>
  <si>
    <t>Ofaveolata029911</t>
  </si>
  <si>
    <t>Alcohol dehydrogenase GroES-like domain</t>
  </si>
  <si>
    <t>Ofaveolata029955</t>
  </si>
  <si>
    <t>negative regulation of cellular response to hepatocyte growth factor stimulus</t>
  </si>
  <si>
    <t>Ofaveolata029971</t>
  </si>
  <si>
    <t>Ofaveolata030005</t>
  </si>
  <si>
    <t>Ofaveolata030026</t>
  </si>
  <si>
    <t>Ofaveolata030061</t>
  </si>
  <si>
    <t>Ofaveolata030081</t>
  </si>
  <si>
    <t>Ofaveolata030090</t>
  </si>
  <si>
    <t>haloacid dehalogenase-like hydrolase</t>
  </si>
  <si>
    <t>Ofaveolata030135</t>
  </si>
  <si>
    <t>Sorting nexin 13</t>
  </si>
  <si>
    <t>Ofaveolata030147</t>
  </si>
  <si>
    <t>Ofaveolata030157</t>
  </si>
  <si>
    <t>Ofaveolata030187</t>
  </si>
  <si>
    <t>Ofaveolata030198</t>
  </si>
  <si>
    <t>Ofaveolata030275</t>
  </si>
  <si>
    <t>Asp (abnormal spindle)-like, microcephaly associated (Drosophila)</t>
  </si>
  <si>
    <t>Ofaveolata030278</t>
  </si>
  <si>
    <t>Catalyzes conversion of folates to polyglutamate derivatives allowing concentration of folate compounds in the cell and the intracellular retention of these cofactors, which are important substrates for most of the folate-dependent enzymes that are involved in one-carbon transfer reactions involved in purine, pyrimidine and amino acid synthesis</t>
  </si>
  <si>
    <t>Ofaveolata030323</t>
  </si>
  <si>
    <t>Ofaveolata030358</t>
  </si>
  <si>
    <t>Ofaveolata030399</t>
  </si>
  <si>
    <t>Ofaveolata030436</t>
  </si>
  <si>
    <t>Rho guanine nucleotide exchange factor</t>
  </si>
  <si>
    <t>Ofaveolata030446</t>
  </si>
  <si>
    <t>voltage-gated anion channel activity</t>
  </si>
  <si>
    <t>Ofaveolata030474</t>
  </si>
  <si>
    <t>Ofaveolata030484</t>
  </si>
  <si>
    <t>Ofaveolata030502</t>
  </si>
  <si>
    <t>G-protein gamma-subunit binding</t>
  </si>
  <si>
    <t>Ofaveolata030678</t>
  </si>
  <si>
    <t>Protein odr-4 homolog</t>
  </si>
  <si>
    <t>Ofaveolata030703</t>
  </si>
  <si>
    <t>Ofaveolata030708</t>
  </si>
  <si>
    <t>Ofaveolata030722</t>
  </si>
  <si>
    <t>Ofaveolata030814</t>
  </si>
  <si>
    <t>Ofaveolata030882</t>
  </si>
  <si>
    <t>Ofaveolata030885</t>
  </si>
  <si>
    <t>Protein rolling stone-like</t>
  </si>
  <si>
    <t>Ofaveolata030899</t>
  </si>
  <si>
    <t>Ofaveolata030902</t>
  </si>
  <si>
    <t>Belongs to the peptidase S8 family</t>
  </si>
  <si>
    <t>Ofaveolata030905</t>
  </si>
  <si>
    <t>Ofaveolata030906</t>
  </si>
  <si>
    <t>positive regulation of smooth muscle cell-matrix adhesion</t>
  </si>
  <si>
    <t>Ofaveolata030934</t>
  </si>
  <si>
    <t>Ofaveolata030970</t>
  </si>
  <si>
    <t>Ofaveolata030977</t>
  </si>
  <si>
    <t>MAP kinase activity</t>
  </si>
  <si>
    <t>Ofaveolata030986</t>
  </si>
  <si>
    <t>Ofaveolata030991</t>
  </si>
  <si>
    <t>Ofaveolata031012</t>
  </si>
  <si>
    <t>Ofaveolata031168</t>
  </si>
  <si>
    <t>serine-type endopeptidase activity</t>
  </si>
  <si>
    <t>Ofaveolata031179</t>
  </si>
  <si>
    <t>Ofaveolata031202</t>
  </si>
  <si>
    <t>Ofaveolata031269</t>
  </si>
  <si>
    <t>Ofaveolata031343</t>
  </si>
  <si>
    <t>Ofaveolata031366</t>
  </si>
  <si>
    <t>Sea anemone cytotoxic protein</t>
  </si>
  <si>
    <t>Ofaveolata031416</t>
  </si>
  <si>
    <t>Ofaveolata031469</t>
  </si>
  <si>
    <t>Ofaveolata031470</t>
  </si>
  <si>
    <t>Ofaveolata031492</t>
  </si>
  <si>
    <t>Ofaveolata031493</t>
  </si>
  <si>
    <t>Ofaveolata031522</t>
  </si>
  <si>
    <t>Ofaveolata031533</t>
  </si>
  <si>
    <t>Ofaveolata031601</t>
  </si>
  <si>
    <t>Ofaveolata031610</t>
  </si>
  <si>
    <t>Ofaveolata031620</t>
  </si>
  <si>
    <t>Ofaveolata031623</t>
  </si>
  <si>
    <t>Ofaveolata031628</t>
  </si>
  <si>
    <t>Ofaveolata031672</t>
  </si>
  <si>
    <t>Ofaveolata031686</t>
  </si>
  <si>
    <t>ADP-ribosylglycohydrolase</t>
  </si>
  <si>
    <t>Ofaveolata031688</t>
  </si>
  <si>
    <t>Ofaveolata031713</t>
  </si>
  <si>
    <t>Ofaveolata031737</t>
  </si>
  <si>
    <t>Ofaveolata031772</t>
  </si>
  <si>
    <t>orotate phosphoribosyltransferase activity</t>
  </si>
  <si>
    <t>Ofaveolata031868</t>
  </si>
  <si>
    <t>Ofaveolata031921</t>
  </si>
  <si>
    <t>dol-P-Man:Man(7)GlcNAc(2)-PP-Dol alpha-1,6-mannosyltransferase activity</t>
  </si>
  <si>
    <t>Ofaveolata031936</t>
  </si>
  <si>
    <t>Ofaveolata031950</t>
  </si>
  <si>
    <t>DBD domain binding</t>
  </si>
  <si>
    <t>Ofaveolata032001</t>
  </si>
  <si>
    <t>Ofaveolata032008</t>
  </si>
  <si>
    <t>Ofaveolata032073</t>
  </si>
  <si>
    <t>Ofaveolata032231</t>
  </si>
  <si>
    <t>Ofaveolata032252</t>
  </si>
  <si>
    <t>Ofaveolata032294</t>
  </si>
  <si>
    <t>Ofaveolata032304</t>
  </si>
  <si>
    <t>Catalyzes the formation of S-adenosylmethionine from methionine and ATP</t>
  </si>
  <si>
    <t>Ofaveolata032336</t>
  </si>
  <si>
    <t>Ofaveolata032352</t>
  </si>
  <si>
    <t>acetylserotonin O-methyltransferase activity</t>
  </si>
  <si>
    <t>Ofaveolata032396</t>
  </si>
  <si>
    <t>Ofaveolata032399</t>
  </si>
  <si>
    <t>Sec63 Brl domain</t>
  </si>
  <si>
    <t>Ofaveolata032423</t>
  </si>
  <si>
    <t>Ofaveolata032427</t>
  </si>
  <si>
    <t>Ofaveolata032448</t>
  </si>
  <si>
    <t>Ofaveolata032467</t>
  </si>
  <si>
    <t>purine-rich negative regulatory element binding</t>
  </si>
  <si>
    <t>Ofaveolata032483</t>
  </si>
  <si>
    <t>RNA dependent RNA polymerase</t>
  </si>
  <si>
    <t>Ofaveolata032525</t>
  </si>
  <si>
    <t>Ofaveolata032526</t>
  </si>
  <si>
    <t>Ofaveolata032532</t>
  </si>
  <si>
    <t>positive regulation of division septum assembly</t>
  </si>
  <si>
    <t>Ofaveolata032563</t>
  </si>
  <si>
    <t>Beta-lactamase</t>
  </si>
  <si>
    <t>Ofaveolata032580</t>
  </si>
  <si>
    <t>Ofaveolata032610</t>
  </si>
  <si>
    <t>Protein SSUH2 homolog</t>
  </si>
  <si>
    <t>Ofaveolata032623</t>
  </si>
  <si>
    <t>Ofaveolata032676</t>
  </si>
  <si>
    <t>box H/ACA snoRNP assembly</t>
  </si>
  <si>
    <t>Ofaveolata032677</t>
  </si>
  <si>
    <t>Ofaveolata032793</t>
  </si>
  <si>
    <t>Ofaveolata032851</t>
  </si>
  <si>
    <t>Ofaveolata032885</t>
  </si>
  <si>
    <t>Ofaveolata032933</t>
  </si>
  <si>
    <t>Ofaveolata032969</t>
  </si>
  <si>
    <t>Ofaveolata033073</t>
  </si>
  <si>
    <t>Ofaveolata033076</t>
  </si>
  <si>
    <t>Ofaveolata033131</t>
  </si>
  <si>
    <t>Ofaveolata033141</t>
  </si>
  <si>
    <t>negative regulation of epithelial cell proliferation</t>
  </si>
  <si>
    <t>Ofaveolata033240</t>
  </si>
  <si>
    <t>Ofaveolata033244</t>
  </si>
  <si>
    <t>Ofaveolata033279</t>
  </si>
  <si>
    <t>Ofaveolata033365</t>
  </si>
  <si>
    <t>Ofaveolata033413</t>
  </si>
  <si>
    <t>Calcium ion binding. It is involved in the biological process described with protein folding</t>
  </si>
  <si>
    <t>Ofaveolata033421</t>
  </si>
  <si>
    <t>Ofaveolata033454</t>
  </si>
  <si>
    <t>Ofaveolata033463</t>
  </si>
  <si>
    <t>Ofaveolata033468</t>
  </si>
  <si>
    <t>Ofaveolata033501</t>
  </si>
  <si>
    <t>Ofaveolata033673</t>
  </si>
  <si>
    <t>Ofaveolata033691</t>
  </si>
  <si>
    <t>Ofaveolata033692</t>
  </si>
  <si>
    <t>Ofaveolata033698</t>
  </si>
  <si>
    <t>Ofaveolata033703</t>
  </si>
  <si>
    <t>serine threonine-protein kinase PAK</t>
  </si>
  <si>
    <t>Ofaveolata033736</t>
  </si>
  <si>
    <t>Ofaveolata033748</t>
  </si>
  <si>
    <t>Ofaveolata033820</t>
  </si>
  <si>
    <t>Ofaveolata033847</t>
  </si>
  <si>
    <t>MAP kinase kinase kinase activity</t>
  </si>
  <si>
    <t>Ofaveolata033866</t>
  </si>
  <si>
    <t>negative regulation of bleb assembly</t>
  </si>
  <si>
    <t>Ofaveolata033926</t>
  </si>
  <si>
    <t>Ofaveolata033939</t>
  </si>
  <si>
    <t>Ofaveolata033948</t>
  </si>
  <si>
    <t>Ofaveolata034029</t>
  </si>
  <si>
    <t>phosphatidylinositol N-acetylglucosaminyltransferase activity</t>
  </si>
  <si>
    <t>Ofaveolata034055</t>
  </si>
  <si>
    <t>Ofaveolata034058</t>
  </si>
  <si>
    <t>Ofaveolata034098</t>
  </si>
  <si>
    <t>negative regulation of extracellular matrix disassembly</t>
  </si>
  <si>
    <t>Ofaveolata034190</t>
  </si>
  <si>
    <t>phosphatidylserine decarboxylase</t>
  </si>
  <si>
    <t>Ofaveolata034245</t>
  </si>
  <si>
    <t>Monoamine oxidase</t>
  </si>
  <si>
    <t>Ofaveolata034265</t>
  </si>
  <si>
    <t>negative regulation of T-helper 2 cell differentiation</t>
  </si>
  <si>
    <t>Ofaveolata034325</t>
  </si>
  <si>
    <t>Ofaveolata034328</t>
  </si>
  <si>
    <t>Ofaveolata034340</t>
  </si>
  <si>
    <t>Hephaestin</t>
  </si>
  <si>
    <t>Ofaveolata034357</t>
  </si>
  <si>
    <t>Ofaveolata034384</t>
  </si>
  <si>
    <t>Ofaveolata034414</t>
  </si>
  <si>
    <t>DNA binding</t>
  </si>
  <si>
    <t>Ofaveolata034548</t>
  </si>
  <si>
    <t>Ofaveolata034550</t>
  </si>
  <si>
    <t>Ofaveolata034701</t>
  </si>
  <si>
    <t>Ofaveolata034713</t>
  </si>
  <si>
    <t>tetratricopeptide repeat</t>
  </si>
  <si>
    <t>Ofaveolata034746</t>
  </si>
  <si>
    <t>Ofaveolata034755</t>
  </si>
  <si>
    <t>Ofaveolata034780</t>
  </si>
  <si>
    <t>zinc finger CCCH-type containing</t>
  </si>
  <si>
    <t>Ofaveolata034781</t>
  </si>
  <si>
    <t>Ofaveolata034916</t>
  </si>
  <si>
    <t>Ofaveolata034934</t>
  </si>
  <si>
    <t>Ofaveolata035007</t>
  </si>
  <si>
    <t>Ofaveolata035038</t>
  </si>
  <si>
    <t>Ofaveolata035063</t>
  </si>
  <si>
    <t>Ofaveolata035073</t>
  </si>
  <si>
    <t>Ofaveolata035121</t>
  </si>
  <si>
    <t>Ofaveolata035173</t>
  </si>
  <si>
    <t>Ofaveolata035176</t>
  </si>
  <si>
    <t>Ofaveolata035184</t>
  </si>
  <si>
    <t>Ofaveolata035187</t>
  </si>
  <si>
    <t>Ofaveolata035215</t>
  </si>
  <si>
    <t>Ofaveolata035230</t>
  </si>
  <si>
    <t>transmembrane receptor protein tyrosine kinase activity</t>
  </si>
  <si>
    <t>Ofaveolata035284</t>
  </si>
  <si>
    <t>K02A2.6-like</t>
  </si>
  <si>
    <t>Ofaveolata035287</t>
  </si>
  <si>
    <t>Ofaveolata035304</t>
  </si>
  <si>
    <t>Ofaveolata035330</t>
  </si>
  <si>
    <t>Ofaveolata035357</t>
  </si>
  <si>
    <t>Ofaveolata035358</t>
  </si>
  <si>
    <t>Ofaveolata035385</t>
  </si>
  <si>
    <t>Ofaveolata035408</t>
  </si>
  <si>
    <t>Ofaveolata035436</t>
  </si>
  <si>
    <t>Ofaveolata035476</t>
  </si>
  <si>
    <t>Ofaveolata035477</t>
  </si>
  <si>
    <t>Ofaveolata035480</t>
  </si>
  <si>
    <t>Ofaveolata035497</t>
  </si>
  <si>
    <t>protein tag</t>
  </si>
  <si>
    <t>Ofaveolata035525</t>
  </si>
  <si>
    <t>ubiquitin protein ligase binding</t>
  </si>
  <si>
    <t>Ofaveolata035526</t>
  </si>
  <si>
    <t>Ofaveolata035574</t>
  </si>
  <si>
    <t>Ofaveolata035575</t>
  </si>
  <si>
    <t>Ofaveolata035634</t>
  </si>
  <si>
    <t>Ofaveolata035636</t>
  </si>
  <si>
    <t>Ofaveolata035638</t>
  </si>
  <si>
    <t>Ofaveolata035660</t>
  </si>
  <si>
    <t>Ofaveolata035680</t>
  </si>
  <si>
    <t>RNA binding motif protein 25</t>
  </si>
  <si>
    <t>Ofaveolata035720</t>
  </si>
  <si>
    <t>Ofaveolata035737</t>
  </si>
  <si>
    <t>Ofaveolata035739</t>
  </si>
  <si>
    <t>Ofaveolata035785</t>
  </si>
  <si>
    <t>Ofaveolata035798</t>
  </si>
  <si>
    <t>Ofaveolata035844</t>
  </si>
  <si>
    <t>Serpentine type 7TM GPCR chemoreceptor Srx</t>
  </si>
  <si>
    <t>Ofaveolata035927</t>
  </si>
  <si>
    <t>transmembrane transporter activity</t>
  </si>
  <si>
    <t>Ofaveolata035968</t>
  </si>
  <si>
    <t>hyaluronic acid binding</t>
  </si>
  <si>
    <t>Ofaveolata036054</t>
  </si>
  <si>
    <t>Ofaveolata036110</t>
  </si>
  <si>
    <t>Transposase IS4</t>
  </si>
  <si>
    <t>Ofaveolata036118</t>
  </si>
  <si>
    <t>Ofaveolata036178</t>
  </si>
  <si>
    <t>Ofaveolata036221</t>
  </si>
  <si>
    <t>Ofaveolata036290</t>
  </si>
  <si>
    <t>Ofaveolata036339</t>
  </si>
  <si>
    <t>Ofaveolata036348</t>
  </si>
  <si>
    <t>Ofaveolata036350</t>
  </si>
  <si>
    <t>McKusick-Kaufman Bardet-Biedl syndromes</t>
  </si>
  <si>
    <t>Ofaveolata036382</t>
  </si>
  <si>
    <t>Ofaveolata036421</t>
  </si>
  <si>
    <t>Ofaveolata036442</t>
  </si>
  <si>
    <t>Ofaveolata036445</t>
  </si>
  <si>
    <t>Ofaveolata036449</t>
  </si>
  <si>
    <t>amine dehydrogenase activity</t>
  </si>
  <si>
    <t>Ofaveolata036510</t>
  </si>
  <si>
    <t>Ofaveolata036550</t>
  </si>
  <si>
    <t>Kelch-like family member 7</t>
  </si>
  <si>
    <t>Ssiderea000011</t>
  </si>
  <si>
    <t>Clusterin-associated protein 1</t>
  </si>
  <si>
    <t>Ssiderea000015</t>
  </si>
  <si>
    <t>Ssiderea000224</t>
  </si>
  <si>
    <t>Ssiderea000237</t>
  </si>
  <si>
    <t>Aminotransferase class-V</t>
  </si>
  <si>
    <t>Ssiderea000427</t>
  </si>
  <si>
    <t>Ssiderea000429</t>
  </si>
  <si>
    <t>Ssiderea000611</t>
  </si>
  <si>
    <t>V-myc avian myelocytomatosis viral oncogene homolog</t>
  </si>
  <si>
    <t>Ssiderea000641</t>
  </si>
  <si>
    <t>Ssiderea000666</t>
  </si>
  <si>
    <t>rRNA (cytosine-N4-)-methyltransferase activity</t>
  </si>
  <si>
    <t>Ssiderea000887</t>
  </si>
  <si>
    <t>Ssiderea000947</t>
  </si>
  <si>
    <t>Ssiderea001003</t>
  </si>
  <si>
    <t>Ssiderea001053</t>
  </si>
  <si>
    <t>Ssiderea001099</t>
  </si>
  <si>
    <t>Ssiderea001224</t>
  </si>
  <si>
    <t>Ssiderea001235</t>
  </si>
  <si>
    <t>Ssiderea001255</t>
  </si>
  <si>
    <t>Activating transcription factor</t>
  </si>
  <si>
    <t>Ssiderea001546</t>
  </si>
  <si>
    <t>Ssiderea001555</t>
  </si>
  <si>
    <t>Ssiderea001788</t>
  </si>
  <si>
    <t>Ssiderea001912</t>
  </si>
  <si>
    <t>Ssiderea001921</t>
  </si>
  <si>
    <t>axonal fasciculation</t>
  </si>
  <si>
    <t>Ssiderea002019</t>
  </si>
  <si>
    <t>potassium channel activity</t>
  </si>
  <si>
    <t>Ssiderea002032</t>
  </si>
  <si>
    <t>Ssiderea002077</t>
  </si>
  <si>
    <t>Ssiderea002092</t>
  </si>
  <si>
    <t>Ssiderea002182</t>
  </si>
  <si>
    <t>Ssiderea002237</t>
  </si>
  <si>
    <t>Ssiderea002379</t>
  </si>
  <si>
    <t>Ssiderea002433</t>
  </si>
  <si>
    <t>protein cell adhesion</t>
  </si>
  <si>
    <t>Ssiderea002455</t>
  </si>
  <si>
    <t>Ssiderea002496</t>
  </si>
  <si>
    <t>Immunoglobulin C-2 Type</t>
  </si>
  <si>
    <t>Ssiderea002497</t>
  </si>
  <si>
    <t>Ssiderea002528</t>
  </si>
  <si>
    <t>Ssiderea002562</t>
  </si>
  <si>
    <t>Ssiderea002621</t>
  </si>
  <si>
    <t>Ssiderea002654</t>
  </si>
  <si>
    <t>Ssiderea002801</t>
  </si>
  <si>
    <t>Tetratricopeptide repeat</t>
  </si>
  <si>
    <t>Ssiderea002911</t>
  </si>
  <si>
    <t>Ssiderea003038</t>
  </si>
  <si>
    <t>Ribonuclease P</t>
  </si>
  <si>
    <t>Ssiderea003132</t>
  </si>
  <si>
    <t>Ssiderea003344</t>
  </si>
  <si>
    <t>Ssiderea003363</t>
  </si>
  <si>
    <t>Ssiderea003373</t>
  </si>
  <si>
    <t>integrin binding</t>
  </si>
  <si>
    <t>Ssiderea003526</t>
  </si>
  <si>
    <t>Ssiderea003708</t>
  </si>
  <si>
    <t>Ssiderea003741</t>
  </si>
  <si>
    <t>nuclear receptor transcription coactivator activity</t>
  </si>
  <si>
    <t>Ssiderea003746</t>
  </si>
  <si>
    <t>Ssiderea003822</t>
  </si>
  <si>
    <t>Ssiderea003871</t>
  </si>
  <si>
    <t>positive regulation of MHC class I biosynthetic process</t>
  </si>
  <si>
    <t>Ssiderea003873</t>
  </si>
  <si>
    <t>Ssiderea003887</t>
  </si>
  <si>
    <t>Fish-specific NACHT associated domain</t>
  </si>
  <si>
    <t>Ssiderea003910</t>
  </si>
  <si>
    <t>Ssiderea003920</t>
  </si>
  <si>
    <t>cellular calcium ion homeostasis</t>
  </si>
  <si>
    <t>Ssiderea003942</t>
  </si>
  <si>
    <t>Ssiderea003943</t>
  </si>
  <si>
    <t>Ssiderea004147</t>
  </si>
  <si>
    <t>Endoplasmic reticulum to nucleus signaling</t>
  </si>
  <si>
    <t>Ssiderea004283</t>
  </si>
  <si>
    <t>Ssiderea004302</t>
  </si>
  <si>
    <t>Ssiderea004440</t>
  </si>
  <si>
    <t>Ssiderea004449</t>
  </si>
  <si>
    <t>protein glycosylation in Golgi</t>
  </si>
  <si>
    <t>Ssiderea004533</t>
  </si>
  <si>
    <t>cysteine-type peptidase activity</t>
  </si>
  <si>
    <t>Ssiderea004542</t>
  </si>
  <si>
    <t>Ssiderea004652</t>
  </si>
  <si>
    <t>Ssiderea004723</t>
  </si>
  <si>
    <t>larval turning behavior</t>
  </si>
  <si>
    <t>Ssiderea004734</t>
  </si>
  <si>
    <t>Ion channel activity. It is involved in the biological process described with ion transport</t>
  </si>
  <si>
    <t>Ssiderea004833</t>
  </si>
  <si>
    <t>Ssiderea004837</t>
  </si>
  <si>
    <t>Ssiderea004900</t>
  </si>
  <si>
    <t>Ssiderea004908</t>
  </si>
  <si>
    <t>Belongs to the enoyl-CoA hydratase isomerase family</t>
  </si>
  <si>
    <t>Ssiderea005001</t>
  </si>
  <si>
    <t>Ssiderea005002</t>
  </si>
  <si>
    <t>Ssiderea005039</t>
  </si>
  <si>
    <t>Ssiderea005044</t>
  </si>
  <si>
    <t>Ssiderea005272</t>
  </si>
  <si>
    <t>endocytic recycling</t>
  </si>
  <si>
    <t>Ssiderea005375</t>
  </si>
  <si>
    <t>Ssiderea005418</t>
  </si>
  <si>
    <t>Ssiderea005419</t>
  </si>
  <si>
    <t>Ssiderea005706</t>
  </si>
  <si>
    <t>mRNA export</t>
  </si>
  <si>
    <t>Ssiderea005709</t>
  </si>
  <si>
    <t>Ssiderea005722</t>
  </si>
  <si>
    <t>Ssiderea005770</t>
  </si>
  <si>
    <t>Ssiderea005797</t>
  </si>
  <si>
    <t>Ssiderea005820</t>
  </si>
  <si>
    <t>e3 ubiquitin-protein ligase</t>
  </si>
  <si>
    <t>Ssiderea005824</t>
  </si>
  <si>
    <t>DNA replication-independent nucleosome assembly</t>
  </si>
  <si>
    <t>Ssiderea005825</t>
  </si>
  <si>
    <t>Ssiderea005881</t>
  </si>
  <si>
    <t>Ssiderea005884</t>
  </si>
  <si>
    <t>TBCC domain-containing protein 1</t>
  </si>
  <si>
    <t>Ssiderea005885</t>
  </si>
  <si>
    <t>Ssiderea006059</t>
  </si>
  <si>
    <t>Ssiderea006071</t>
  </si>
  <si>
    <t>Ssiderea006084</t>
  </si>
  <si>
    <t>Complement Clr-like EGF-like</t>
  </si>
  <si>
    <t>Ssiderea006090</t>
  </si>
  <si>
    <t>Ssiderea006333</t>
  </si>
  <si>
    <t>Calcium ion binding. It is involved in the biological process described with regulation of developmental process</t>
  </si>
  <si>
    <t>Ssiderea006354</t>
  </si>
  <si>
    <t>Ssiderea006355</t>
  </si>
  <si>
    <t>Ssiderea006567</t>
  </si>
  <si>
    <t>Ssiderea006569</t>
  </si>
  <si>
    <t>Ssiderea006707</t>
  </si>
  <si>
    <t>Ssiderea006712</t>
  </si>
  <si>
    <t>Ssiderea007355</t>
  </si>
  <si>
    <t>Ssiderea007357</t>
  </si>
  <si>
    <t>Ssiderea007529</t>
  </si>
  <si>
    <t>Ssiderea007554</t>
  </si>
  <si>
    <t>glucose:sodium symporter activity</t>
  </si>
  <si>
    <t>Ssiderea007661</t>
  </si>
  <si>
    <t>Ssiderea007706</t>
  </si>
  <si>
    <t>Ssiderea007768</t>
  </si>
  <si>
    <t>Ssiderea007826</t>
  </si>
  <si>
    <t>EGF domain</t>
  </si>
  <si>
    <t>Ssiderea007918</t>
  </si>
  <si>
    <t>medium-chain fatty acid-CoA ligase activity</t>
  </si>
  <si>
    <t>Ssiderea007956</t>
  </si>
  <si>
    <t>Belongs to the peptidase C19 family</t>
  </si>
  <si>
    <t>Ssiderea008044</t>
  </si>
  <si>
    <t>Ssiderea008138</t>
  </si>
  <si>
    <t>Ssiderea008285</t>
  </si>
  <si>
    <t>AP-5 complex subunit sigma-1</t>
  </si>
  <si>
    <t>Ssiderea008320</t>
  </si>
  <si>
    <t>FAD transmembrane transport</t>
  </si>
  <si>
    <t>Ssiderea008343</t>
  </si>
  <si>
    <t>Ssiderea008478</t>
  </si>
  <si>
    <t>Ssiderea008532</t>
  </si>
  <si>
    <t>scavenger receptor activity</t>
  </si>
  <si>
    <t>Ssiderea008739</t>
  </si>
  <si>
    <t>Ssiderea008754</t>
  </si>
  <si>
    <t>Ssiderea008758</t>
  </si>
  <si>
    <t>Ssiderea008952</t>
  </si>
  <si>
    <t>Ssiderea008973</t>
  </si>
  <si>
    <t>Ssiderea009069</t>
  </si>
  <si>
    <t>Ssiderea009081</t>
  </si>
  <si>
    <t>Ssiderea009116</t>
  </si>
  <si>
    <t>Ssiderea009695</t>
  </si>
  <si>
    <t>Ssiderea009730</t>
  </si>
  <si>
    <t>Ssiderea009771</t>
  </si>
  <si>
    <t>Ssiderea009801</t>
  </si>
  <si>
    <t>Ssiderea009898</t>
  </si>
  <si>
    <t>Papain family cysteine protease</t>
  </si>
  <si>
    <t>Ssiderea009987</t>
  </si>
  <si>
    <t>SANT SWI3, ADA2, N-CoR and TFIIIB'' DNA-binding domains</t>
  </si>
  <si>
    <t>Ssiderea010003</t>
  </si>
  <si>
    <t>Ssiderea010143</t>
  </si>
  <si>
    <t>Ssiderea010168</t>
  </si>
  <si>
    <t>Ssiderea010217</t>
  </si>
  <si>
    <t>Ssiderea010264</t>
  </si>
  <si>
    <t>Ssiderea010280</t>
  </si>
  <si>
    <t>Ssiderea010348</t>
  </si>
  <si>
    <t>Spermine synthase activity. It is involved in the biological process described with spermine biosynthetic process</t>
  </si>
  <si>
    <t>Ssiderea010376</t>
  </si>
  <si>
    <t>homogentisate 1,2-dioxygenase activity</t>
  </si>
  <si>
    <t>Ssiderea010471</t>
  </si>
  <si>
    <t>Ssiderea010741</t>
  </si>
  <si>
    <t>Notch homolog</t>
  </si>
  <si>
    <t>Ssiderea010865</t>
  </si>
  <si>
    <t>Ssiderea010960</t>
  </si>
  <si>
    <t>nail development</t>
  </si>
  <si>
    <t>Ssiderea010964</t>
  </si>
  <si>
    <t>Ssiderea011005</t>
  </si>
  <si>
    <t>Ssiderea011080</t>
  </si>
  <si>
    <t>Ssiderea011154</t>
  </si>
  <si>
    <t>Hemicentin 1</t>
  </si>
  <si>
    <t>Ssiderea011251</t>
  </si>
  <si>
    <t>positive regulation of phosphorylation of RNA polymerase II C-terminal domain</t>
  </si>
  <si>
    <t>Ssiderea011304</t>
  </si>
  <si>
    <t>Protein tyrosine phosphatase, catalytic domain</t>
  </si>
  <si>
    <t>Ssiderea011491</t>
  </si>
  <si>
    <t>Ssiderea011597</t>
  </si>
  <si>
    <t>Ssiderea011641</t>
  </si>
  <si>
    <t>Ssiderea011646</t>
  </si>
  <si>
    <t>Scavenger receptor Cys-rich</t>
  </si>
  <si>
    <t>Ssiderea011678</t>
  </si>
  <si>
    <t>CUB domain containing protein 2</t>
  </si>
  <si>
    <t>Ssiderea011718</t>
  </si>
  <si>
    <t>cellular response to vasopressin</t>
  </si>
  <si>
    <t>Ssiderea011810</t>
  </si>
  <si>
    <t>Ssiderea011981</t>
  </si>
  <si>
    <t>Ssiderea011982</t>
  </si>
  <si>
    <t>Ssiderea012006</t>
  </si>
  <si>
    <t>Ssiderea012150</t>
  </si>
  <si>
    <t>Ssiderea012151</t>
  </si>
  <si>
    <t>Ssiderea012163</t>
  </si>
  <si>
    <t>extracellular ligand-gated ion channel activity</t>
  </si>
  <si>
    <t>Ssiderea012245</t>
  </si>
  <si>
    <t>Ssiderea012262</t>
  </si>
  <si>
    <t>Ssiderea012317</t>
  </si>
  <si>
    <t>Ssiderea012341</t>
  </si>
  <si>
    <t>Ssiderea012391</t>
  </si>
  <si>
    <t>Catalyzes the irreversible cleavage of the glycosidic bond in both 5'-methylthioadenosine (MTA) and S- adenosylhomocysteine (SAH AdoHcy) to adenine and the corresponding thioribose, 5'-methylthioribose and S-ribosylhomocysteine, respectively</t>
  </si>
  <si>
    <t>Ssiderea012713</t>
  </si>
  <si>
    <t>negative regulation of growth rate</t>
  </si>
  <si>
    <t>Ssiderea012715</t>
  </si>
  <si>
    <t>Ssiderea012743</t>
  </si>
  <si>
    <t>Ssiderea012886</t>
  </si>
  <si>
    <t>Ssiderea013067</t>
  </si>
  <si>
    <t>dihydrofolate reductase activity</t>
  </si>
  <si>
    <t>Ssiderea013167</t>
  </si>
  <si>
    <t>Fibrinogen-related domains (FReDs)</t>
  </si>
  <si>
    <t>Ssiderea013259</t>
  </si>
  <si>
    <t>arylesterase activity</t>
  </si>
  <si>
    <t>Ssiderea013770</t>
  </si>
  <si>
    <t>Galactose-3-O-sulfotransferase</t>
  </si>
  <si>
    <t>Ssiderea013833</t>
  </si>
  <si>
    <t>Ring finger and WD repeat domain 2</t>
  </si>
  <si>
    <t>Ssiderea013867</t>
  </si>
  <si>
    <t>Ssiderea013956</t>
  </si>
  <si>
    <t>Ssiderea013981</t>
  </si>
  <si>
    <t>Ssiderea014060</t>
  </si>
  <si>
    <t>Ssiderea014114</t>
  </si>
  <si>
    <t>C-type lectin domain family 4 member G-like</t>
  </si>
  <si>
    <t>Ssiderea014159</t>
  </si>
  <si>
    <t>Ssiderea014222</t>
  </si>
  <si>
    <t>Ssiderea014225</t>
  </si>
  <si>
    <t>Ssiderea014529</t>
  </si>
  <si>
    <t>GMC oxidoreductase</t>
  </si>
  <si>
    <t>Ssiderea014617</t>
  </si>
  <si>
    <t>fucose metabolic process</t>
  </si>
  <si>
    <t>Ssiderea014725</t>
  </si>
  <si>
    <t>Ssiderea014817</t>
  </si>
  <si>
    <t>o-methyltransferase</t>
  </si>
  <si>
    <t>Ssiderea014825</t>
  </si>
  <si>
    <t>Ssiderea014844</t>
  </si>
  <si>
    <t>NLE (NUC135) domain</t>
  </si>
  <si>
    <t>Ssiderea014857</t>
  </si>
  <si>
    <t>Ssiderea014913</t>
  </si>
  <si>
    <t>translation elongation factor activity</t>
  </si>
  <si>
    <t>Ssiderea015228</t>
  </si>
  <si>
    <t>BPTI/Kunitz family of serine protease inhibitors.</t>
  </si>
  <si>
    <t>Ssiderea015474</t>
  </si>
  <si>
    <t>Ssiderea015479</t>
  </si>
  <si>
    <t>Ssiderea015564</t>
  </si>
  <si>
    <t>Rdx family</t>
  </si>
  <si>
    <t>Ssiderea015736</t>
  </si>
  <si>
    <t>Ssiderea015840</t>
  </si>
  <si>
    <t>E3 ubiquitin-protein ligase parkin</t>
  </si>
  <si>
    <t>Ssiderea015915</t>
  </si>
  <si>
    <t>Ssiderea015986</t>
  </si>
  <si>
    <t>Ssiderea016067</t>
  </si>
  <si>
    <t>cell division cycle 5-like</t>
  </si>
  <si>
    <t>Ssiderea016088</t>
  </si>
  <si>
    <t>alkaline phosphatase activity</t>
  </si>
  <si>
    <t>Ssiderea016127</t>
  </si>
  <si>
    <t>Ssiderea016232</t>
  </si>
  <si>
    <t>Ssiderea016378</t>
  </si>
  <si>
    <t>Ssiderea016562</t>
  </si>
  <si>
    <t>Ssiderea016647</t>
  </si>
  <si>
    <t>Ssiderea016663</t>
  </si>
  <si>
    <t>Ssiderea016667</t>
  </si>
  <si>
    <t>Ssiderea016812</t>
  </si>
  <si>
    <t>Ssiderea016881</t>
  </si>
  <si>
    <t>Ssiderea016945</t>
  </si>
  <si>
    <t>maturation of SSU-rRNA from tricistronic rRNA transcript (SSU-rRNA, 5.8S rRNA, LSU-rRNA)</t>
  </si>
  <si>
    <t>Ssiderea017115</t>
  </si>
  <si>
    <t>Ssiderea017216</t>
  </si>
  <si>
    <t>Ssiderea017330</t>
  </si>
  <si>
    <t>Ssiderea017365</t>
  </si>
  <si>
    <t>electron carrier activity. It is involved in the biological process described with oxidation-reduction process</t>
  </si>
  <si>
    <t>Ssiderea017671</t>
  </si>
  <si>
    <t>Ssiderea017817</t>
  </si>
  <si>
    <t>CHAT domain</t>
  </si>
  <si>
    <t>Ssiderea017831</t>
  </si>
  <si>
    <t>propanoyl-CoA C-acyltransferase activity</t>
  </si>
  <si>
    <t>Ssiderea017832</t>
  </si>
  <si>
    <t>Ssiderea017874</t>
  </si>
  <si>
    <t>retinol dehydrogenase</t>
  </si>
  <si>
    <t>Ssiderea018152</t>
  </si>
  <si>
    <t>Ssiderea018246</t>
  </si>
  <si>
    <t>Ssiderea018266</t>
  </si>
  <si>
    <t>Ssiderea018495</t>
  </si>
  <si>
    <t>Ssiderea018836</t>
  </si>
  <si>
    <t>Ssiderea018905</t>
  </si>
  <si>
    <t>mitochondrial translational elongation</t>
  </si>
  <si>
    <t>Ssiderea018910</t>
  </si>
  <si>
    <t>Belongs to the cullin family</t>
  </si>
  <si>
    <t>Ssiderea019185</t>
  </si>
  <si>
    <t>Ssiderea019349</t>
  </si>
  <si>
    <t>protein O-linked mannosylation</t>
  </si>
  <si>
    <t>Ssiderea019391</t>
  </si>
  <si>
    <t>positive regulation of voltage-gated calcium channel activity</t>
  </si>
  <si>
    <t>Ssiderea019397</t>
  </si>
  <si>
    <t>Leucine-rich repeat-containing protein 31</t>
  </si>
  <si>
    <t>Ssiderea019422</t>
  </si>
  <si>
    <t>negative regulation of bile acid biosynthetic process</t>
  </si>
  <si>
    <t>Ssiderea019629</t>
  </si>
  <si>
    <t>Ssiderea019630</t>
  </si>
  <si>
    <t>Ssiderea019708</t>
  </si>
  <si>
    <t>Ssiderea019780</t>
  </si>
  <si>
    <t>cyclic-di-GMP binding</t>
  </si>
  <si>
    <t>Ssiderea019816</t>
  </si>
  <si>
    <t>Ssiderea019818</t>
  </si>
  <si>
    <t>Glucose-induced degradation protein 8 homolog</t>
  </si>
  <si>
    <t>Ssiderea019840</t>
  </si>
  <si>
    <t>Sushi, nidogen and EGF-like</t>
  </si>
  <si>
    <t>Ssiderea019841</t>
  </si>
  <si>
    <t>Ssiderea019899</t>
  </si>
  <si>
    <t>Nodal homolog</t>
  </si>
  <si>
    <t>Ssiderea020491</t>
  </si>
  <si>
    <t>Ssiderea020500</t>
  </si>
  <si>
    <t>Ssiderea020581</t>
  </si>
  <si>
    <t>Ssiderea020631</t>
  </si>
  <si>
    <t>regulation of voltage-gated sodium channel activity</t>
  </si>
  <si>
    <t>Ssiderea020718</t>
  </si>
  <si>
    <t>Ssiderea020887</t>
  </si>
  <si>
    <t>Ssiderea020898</t>
  </si>
  <si>
    <t>Ssiderea020931</t>
  </si>
  <si>
    <t>Ssiderea021127</t>
  </si>
  <si>
    <t>ribosomal large subunit biogenesis</t>
  </si>
  <si>
    <t>Ssiderea021182</t>
  </si>
  <si>
    <t>Ssiderea021220</t>
  </si>
  <si>
    <t>Synaptic vesicle membrane protein VAT-1 homolog</t>
  </si>
  <si>
    <t>Ssiderea021262</t>
  </si>
  <si>
    <t>Ssiderea021268</t>
  </si>
  <si>
    <t>Ssiderea021340</t>
  </si>
  <si>
    <t>Ectoine synthase</t>
  </si>
  <si>
    <t>Ssiderea021343</t>
  </si>
  <si>
    <t>Ssiderea021366</t>
  </si>
  <si>
    <t>Ssiderea021568</t>
  </si>
  <si>
    <t>Ankyrin repeat and SAM domain-containing protein 6</t>
  </si>
  <si>
    <t>Ssiderea021609</t>
  </si>
  <si>
    <t>Ssiderea021838</t>
  </si>
  <si>
    <t>Ssiderea021920</t>
  </si>
  <si>
    <t>Ssiderea022000</t>
  </si>
  <si>
    <t>Ssiderea022008</t>
  </si>
  <si>
    <t>Ssiderea022066</t>
  </si>
  <si>
    <t>octopamine biosynthetic process</t>
  </si>
  <si>
    <t>Ssiderea022145</t>
  </si>
  <si>
    <t>Ssiderea022223</t>
  </si>
  <si>
    <t>HEAT repeat-containing protein 4</t>
  </si>
  <si>
    <t>Ssiderea022229</t>
  </si>
  <si>
    <t>Ssiderea022230</t>
  </si>
  <si>
    <t>histone pre-mRNA stem-loop binding</t>
  </si>
  <si>
    <t>Ssiderea022358</t>
  </si>
  <si>
    <t>Ssiderea022367</t>
  </si>
  <si>
    <t>proton-transporting ATPase activity, rotational mechanism</t>
  </si>
  <si>
    <t>Ssiderea022438</t>
  </si>
  <si>
    <t>Laminin B domain</t>
  </si>
  <si>
    <t>Ssiderea022541</t>
  </si>
  <si>
    <t>protein phosphatase 1, regulatory subunit</t>
  </si>
  <si>
    <t>Ssiderea022549</t>
  </si>
  <si>
    <t>Ssiderea022553</t>
  </si>
  <si>
    <t>Ssiderea022604</t>
  </si>
  <si>
    <t>voltage-gated potassium channel activity</t>
  </si>
  <si>
    <t>Ssiderea022680</t>
  </si>
  <si>
    <t>Ssiderea022681</t>
  </si>
  <si>
    <t>Ssiderea022809</t>
  </si>
  <si>
    <t>Ssiderea022857</t>
  </si>
  <si>
    <t>Ssiderea022859</t>
  </si>
  <si>
    <t>Ssiderea022887</t>
  </si>
  <si>
    <t>Ssiderea022933</t>
  </si>
  <si>
    <t>Ssiderea022973</t>
  </si>
  <si>
    <t>Ssiderea022991</t>
  </si>
  <si>
    <t>N-acylsphingosine amidohydrolase activity</t>
  </si>
  <si>
    <t>Ssiderea023032</t>
  </si>
  <si>
    <t>Ssiderea023113</t>
  </si>
  <si>
    <t>Catechol O-methyltransferase domain-containing protein</t>
  </si>
  <si>
    <t>Ssiderea023314</t>
  </si>
  <si>
    <t>Ssiderea023333</t>
  </si>
  <si>
    <t>Ssiderea023339</t>
  </si>
  <si>
    <t>glucosaminylgalactosylglucosylceramide beta-galactosyltransferase activity</t>
  </si>
  <si>
    <t>Ssiderea023649</t>
  </si>
  <si>
    <t>Ssiderea023651</t>
  </si>
  <si>
    <t>Ssiderea023735</t>
  </si>
  <si>
    <t>Ssiderea023852</t>
  </si>
  <si>
    <t>Neuronal pentraxin</t>
  </si>
  <si>
    <t>Ssiderea023878</t>
  </si>
  <si>
    <t>Ssiderea023900</t>
  </si>
  <si>
    <t>Complement</t>
  </si>
  <si>
    <t>Ssiderea023904</t>
  </si>
  <si>
    <t>Ssiderea023913</t>
  </si>
  <si>
    <t>Ssiderea023975</t>
  </si>
  <si>
    <t>Ssiderea023985</t>
  </si>
  <si>
    <t>nicotinamide phosphoribosyltransferase activity</t>
  </si>
  <si>
    <t>Ssiderea024034</t>
  </si>
  <si>
    <t>Ssiderea024163</t>
  </si>
  <si>
    <t>acetyl-CoA hydrolase activity</t>
  </si>
  <si>
    <t>Ssiderea024229</t>
  </si>
  <si>
    <t>Ssiderea024230</t>
  </si>
  <si>
    <t>Ssiderea024535</t>
  </si>
  <si>
    <t>Ssiderea024538</t>
  </si>
  <si>
    <t>Ssiderea024585</t>
  </si>
  <si>
    <t>Ssiderea024595</t>
  </si>
  <si>
    <t>biological adhesion</t>
  </si>
  <si>
    <t>Ssiderea024607</t>
  </si>
  <si>
    <t>Ssiderea024700</t>
  </si>
  <si>
    <t>Ssiderea024710</t>
  </si>
  <si>
    <t>Ssiderea024727</t>
  </si>
  <si>
    <t>Ssiderea024769</t>
  </si>
  <si>
    <t>Ssiderea024838</t>
  </si>
  <si>
    <t>Belongs to the G-protein coupled receptor 1 family</t>
  </si>
  <si>
    <t>Ssiderea024844</t>
  </si>
  <si>
    <t>Ssiderea024906</t>
  </si>
  <si>
    <t>Galactose binding lectin domain</t>
  </si>
  <si>
    <t>Ssiderea024910</t>
  </si>
  <si>
    <t>Ssiderea024988</t>
  </si>
  <si>
    <t>ephrin receptor binding</t>
  </si>
  <si>
    <t>Ssiderea025061</t>
  </si>
  <si>
    <t>Ssiderea025376</t>
  </si>
  <si>
    <t>gamma-glutamyl-peptidase activity</t>
  </si>
  <si>
    <t>Ssiderea025583</t>
  </si>
  <si>
    <t>Ssiderea025633</t>
  </si>
  <si>
    <t>Ssiderea025659</t>
  </si>
  <si>
    <t>Ssiderea025685</t>
  </si>
  <si>
    <t>Ssiderea025962</t>
  </si>
  <si>
    <t>Ssiderea026077</t>
  </si>
  <si>
    <t>Ssiderea026079</t>
  </si>
  <si>
    <t>kynurenine 3-monooxygenase activity</t>
  </si>
  <si>
    <t>Ssiderea026130</t>
  </si>
  <si>
    <t>HD domain</t>
  </si>
  <si>
    <t>Ssiderea026182</t>
  </si>
  <si>
    <t>protein phosphatase 1, regulatory subunit 21</t>
  </si>
  <si>
    <t>Ssiderea026208</t>
  </si>
  <si>
    <t>Ssiderea026325</t>
  </si>
  <si>
    <t>Protein kinase C conserved region 2 (CalB)</t>
  </si>
  <si>
    <t>Ssiderea026331</t>
  </si>
  <si>
    <t>Belongs to the ATP guanido phosphotransferase family</t>
  </si>
  <si>
    <t>Ssiderea026336</t>
  </si>
  <si>
    <t>Ssiderea026458</t>
  </si>
  <si>
    <t>Ssiderea026489</t>
  </si>
  <si>
    <t>Ssiderea026676</t>
  </si>
  <si>
    <t>Ssiderea026681</t>
  </si>
  <si>
    <t>Ssiderea026717</t>
  </si>
  <si>
    <t>Ssiderea026835</t>
  </si>
  <si>
    <t>Ssiderea026844</t>
  </si>
  <si>
    <t>negative regulation of chemokine (C-X-C motif) ligand 2 production</t>
  </si>
  <si>
    <t>Ssiderea026847</t>
  </si>
  <si>
    <t>Ssiderea026848</t>
  </si>
  <si>
    <t>Ssiderea026849</t>
  </si>
  <si>
    <t>Ssiderea026955</t>
  </si>
  <si>
    <t>Ssiderea026973</t>
  </si>
  <si>
    <t>Ssiderea027084</t>
  </si>
  <si>
    <t>Ssiderea027144</t>
  </si>
  <si>
    <t>Selenium-binding protein 1</t>
  </si>
  <si>
    <t>Ssiderea027684</t>
  </si>
  <si>
    <t>Ssiderea027720</t>
  </si>
  <si>
    <t>Ssiderea027774</t>
  </si>
  <si>
    <t>Ssiderea027809</t>
  </si>
  <si>
    <t>Ssiderea027833</t>
  </si>
  <si>
    <t>Ssiderea027966</t>
  </si>
  <si>
    <t>tumor necrosis factor (ligand) superfamily, member</t>
  </si>
  <si>
    <t>Ssiderea028132</t>
  </si>
  <si>
    <t>Ssiderea028215</t>
  </si>
  <si>
    <t>Ssiderea028226</t>
  </si>
  <si>
    <t>positive regulation of gluconeogenesis</t>
  </si>
  <si>
    <t>Ssiderea028247</t>
  </si>
  <si>
    <t>Ssiderea028253</t>
  </si>
  <si>
    <t>Ssiderea028351</t>
  </si>
  <si>
    <t>factor 14</t>
  </si>
  <si>
    <t>Ssiderea028456</t>
  </si>
  <si>
    <t>TeTratriCopeptide repeat</t>
  </si>
  <si>
    <t>Ssiderea028667</t>
  </si>
  <si>
    <t>Ssiderea028697</t>
  </si>
  <si>
    <t>Ssiderea028718</t>
  </si>
  <si>
    <t>Ssiderea028906</t>
  </si>
  <si>
    <t>Ssiderea028966</t>
  </si>
  <si>
    <t>protein-hormone receptor activity</t>
  </si>
  <si>
    <t>Ssiderea028973</t>
  </si>
  <si>
    <t>Ssiderea029092</t>
  </si>
  <si>
    <t>Ssiderea029184</t>
  </si>
  <si>
    <t>Fibrillar collagen C-terminal domain</t>
  </si>
  <si>
    <t>Ssiderea029188</t>
  </si>
  <si>
    <t>Cobalamin-independent synthase, Catalytic domain</t>
  </si>
  <si>
    <t>Ssiderea029196</t>
  </si>
  <si>
    <t>positive regulation of TRAIL-activated apoptotic signaling pathway</t>
  </si>
  <si>
    <t>Ssiderea029278</t>
  </si>
  <si>
    <t>Ssiderea029356</t>
  </si>
  <si>
    <t>positive regulation of epithelial to mesenchymal transition</t>
  </si>
  <si>
    <t>Ssiderea029511</t>
  </si>
  <si>
    <t>Microtubule binding</t>
  </si>
  <si>
    <t>Ssiderea029577</t>
  </si>
  <si>
    <t>Ssiderea029687</t>
  </si>
  <si>
    <t>ATP-dependent RNA helicase SUPV3L1, mitochondrial</t>
  </si>
  <si>
    <t>Ssiderea029690</t>
  </si>
  <si>
    <t>Ssiderea029805</t>
  </si>
  <si>
    <t>Ssiderea029875</t>
  </si>
  <si>
    <t>Ssiderea030069</t>
  </si>
  <si>
    <t>phosphopyruvate hydratase activity</t>
  </si>
  <si>
    <t>Ssiderea030145</t>
  </si>
  <si>
    <t>Ssiderea030187</t>
  </si>
  <si>
    <t>small GTPase mediated signal transduction</t>
  </si>
  <si>
    <t>Ssiderea030239</t>
  </si>
  <si>
    <t>Ssiderea030250</t>
  </si>
  <si>
    <t>biogenesis factor 2</t>
  </si>
  <si>
    <t>Ssiderea030383</t>
  </si>
  <si>
    <t>Ssiderea030487</t>
  </si>
  <si>
    <t>Ssiderea031266</t>
  </si>
  <si>
    <t>Ssiderea031274</t>
  </si>
  <si>
    <t>Ssiderea031284</t>
  </si>
  <si>
    <t>Ssiderea031312</t>
  </si>
  <si>
    <t>Ssiderea031449</t>
  </si>
  <si>
    <t>Ssiderea031488</t>
  </si>
  <si>
    <t>Ssiderea031597</t>
  </si>
  <si>
    <t>Ssiderea031624</t>
  </si>
  <si>
    <t>Four-disulfide core domains</t>
  </si>
  <si>
    <t>Ssiderea031650</t>
  </si>
  <si>
    <t>Ssiderea031654</t>
  </si>
  <si>
    <t>Ssiderea031792</t>
  </si>
  <si>
    <t>Ssiderea032162</t>
  </si>
  <si>
    <t>Ssiderea032399</t>
  </si>
  <si>
    <t>WD repeat domain 74</t>
  </si>
  <si>
    <t>Ssiderea032478</t>
  </si>
  <si>
    <t>Ssiderea032636</t>
  </si>
  <si>
    <t>Ssiderea032875</t>
  </si>
  <si>
    <t>Ssiderea032880</t>
  </si>
  <si>
    <t>aldehyde dehydrogenase (NAD) activity</t>
  </si>
  <si>
    <t>Ssiderea032939</t>
  </si>
  <si>
    <t>Ssiderea033023</t>
  </si>
  <si>
    <t>Ssiderea033036</t>
  </si>
  <si>
    <t>Ssiderea033120</t>
  </si>
  <si>
    <t>Sulfatase-modifying factor enzyme 1</t>
  </si>
  <si>
    <t>Ssiderea033121</t>
  </si>
  <si>
    <t>Ssiderea033479</t>
  </si>
  <si>
    <t>Ssiderea033487</t>
  </si>
  <si>
    <t>Ssiderea033498</t>
  </si>
  <si>
    <t>Ssiderea033510</t>
  </si>
  <si>
    <t>Ssiderea033560</t>
  </si>
  <si>
    <t>Ssiderea033634</t>
  </si>
  <si>
    <t>Ssiderea033705</t>
  </si>
  <si>
    <t>Ssiderea033761</t>
  </si>
  <si>
    <t>Vacuolar protein sorting-associated protein 16 homolog</t>
  </si>
  <si>
    <t>Ssiderea033808</t>
  </si>
  <si>
    <t>Ssiderea033839</t>
  </si>
  <si>
    <t>Ssiderea033844</t>
  </si>
  <si>
    <t>Ssiderea033902</t>
  </si>
  <si>
    <t>Ssiderea033904</t>
  </si>
  <si>
    <t>Ssiderea034126</t>
  </si>
  <si>
    <t>Melanocortin 4 receptor</t>
  </si>
  <si>
    <t>Ssiderea034147</t>
  </si>
  <si>
    <t>high voltage-gated calcium channel activity</t>
  </si>
  <si>
    <t>Ssiderea034163</t>
  </si>
  <si>
    <t>Ring finger domain</t>
  </si>
  <si>
    <t>Ssiderea034234</t>
  </si>
  <si>
    <t>Ssiderea034262</t>
  </si>
  <si>
    <t>Ssiderea034394</t>
  </si>
  <si>
    <t>defense response to nematode</t>
  </si>
  <si>
    <t>Ssiderea034395</t>
  </si>
  <si>
    <t>Ssiderea034401</t>
  </si>
  <si>
    <t>Ssiderea034405</t>
  </si>
  <si>
    <t>Ssiderea034406</t>
  </si>
  <si>
    <t>Ssiderea034408</t>
  </si>
  <si>
    <t>Ssiderea034453</t>
  </si>
  <si>
    <t>mannose binding</t>
  </si>
  <si>
    <t>Ssiderea034460</t>
  </si>
  <si>
    <t>Ssiderea034762</t>
  </si>
  <si>
    <t>Belongs to the peptidase C14A family</t>
  </si>
  <si>
    <t>Ssiderea034790</t>
  </si>
  <si>
    <t>Ssiderea034841</t>
  </si>
  <si>
    <t>cellular response to calcium ion</t>
  </si>
  <si>
    <t>Ssiderea035100</t>
  </si>
  <si>
    <t>Ssiderea035129</t>
  </si>
  <si>
    <t>SUMO1 sentrin specific peptidase</t>
  </si>
  <si>
    <t>Ssiderea035186</t>
  </si>
  <si>
    <t>Ssiderea035418</t>
  </si>
  <si>
    <t>Ssiderea035432</t>
  </si>
  <si>
    <t>nuclear localization sequence binding</t>
  </si>
  <si>
    <t>Ssiderea035434</t>
  </si>
  <si>
    <t>16-hydroxypalmitate dehydrogenase activity</t>
  </si>
  <si>
    <t>Ssiderea035463</t>
  </si>
  <si>
    <t>Ssiderea035576</t>
  </si>
  <si>
    <t>Cupin-like domain</t>
  </si>
  <si>
    <t>Ssiderea035585</t>
  </si>
  <si>
    <t>respiratory chain complex III assembly</t>
  </si>
  <si>
    <t>Ssiderea035606</t>
  </si>
  <si>
    <t>MAM domain containing 4</t>
  </si>
  <si>
    <t>Ssiderea035653</t>
  </si>
  <si>
    <t>guanine nucleotide exchange factor 1</t>
  </si>
  <si>
    <t>Ssiderea035978</t>
  </si>
  <si>
    <t>Ssiderea035992</t>
  </si>
  <si>
    <t>Ssiderea035994</t>
  </si>
  <si>
    <t>Ssiderea036015</t>
  </si>
  <si>
    <t>Ssiderea036504</t>
  </si>
  <si>
    <t>histone H2A-K119 monoubiquitination</t>
  </si>
  <si>
    <t>Ssiderea036590</t>
  </si>
  <si>
    <t>Ssiderea036647</t>
  </si>
  <si>
    <t>lipoprotein receptor-related protein</t>
  </si>
  <si>
    <t>Ssiderea036716</t>
  </si>
  <si>
    <t>Ssiderea036916</t>
  </si>
  <si>
    <t>NUAK family, SNF1-like kinase, 2</t>
  </si>
  <si>
    <t>Ssiderea037477</t>
  </si>
  <si>
    <t>Ssiderea037718</t>
  </si>
  <si>
    <t>Ssiderea037751</t>
  </si>
  <si>
    <t>Ssiderea038011</t>
  </si>
  <si>
    <t>Ssiderea038168</t>
  </si>
  <si>
    <t>Ssiderea038178</t>
  </si>
  <si>
    <t>Ssiderea038319</t>
  </si>
  <si>
    <t>Ssiderea038351</t>
  </si>
  <si>
    <t>succinate-hydroxymethylglutarate CoA-transferase activity</t>
  </si>
  <si>
    <t>Ssiderea038388</t>
  </si>
  <si>
    <t>mitochondrial translation</t>
  </si>
  <si>
    <t>Ssiderea038461</t>
  </si>
  <si>
    <t>Ssiderea038529</t>
  </si>
  <si>
    <t>Ssiderea038534</t>
  </si>
  <si>
    <t>Ssiderea038574</t>
  </si>
  <si>
    <t>Ssiderea038658</t>
  </si>
  <si>
    <t>Ssiderea038766</t>
  </si>
  <si>
    <t>Ssiderea038885</t>
  </si>
  <si>
    <t>Ssiderea039101</t>
  </si>
  <si>
    <t>Ssiderea039130</t>
  </si>
  <si>
    <t>Ssiderea039177</t>
  </si>
  <si>
    <t>detection of nodal flow</t>
  </si>
  <si>
    <t>Ssiderea039352</t>
  </si>
  <si>
    <t>Ssiderea039526</t>
  </si>
  <si>
    <t>Ssiderea039539</t>
  </si>
  <si>
    <t>Ssiderea039589</t>
  </si>
  <si>
    <t>Ssiderea039621</t>
  </si>
  <si>
    <t>U11-48K-like CHHC zinc finger</t>
  </si>
  <si>
    <t>Ssiderea039664</t>
  </si>
  <si>
    <t>Ssiderea039722</t>
  </si>
  <si>
    <t>Ssiderea039842</t>
  </si>
  <si>
    <t>Ssiderea040040</t>
  </si>
  <si>
    <t>TEK tyrosine kinase, endothelial</t>
  </si>
  <si>
    <t>Ssiderea040081</t>
  </si>
  <si>
    <t>Ssiderea040312</t>
  </si>
  <si>
    <t>Ssiderea040497</t>
  </si>
  <si>
    <t>Ssiderea040536</t>
  </si>
  <si>
    <t>Ssiderea040768</t>
  </si>
  <si>
    <t>Ig-like domain on T-cell surface glycoprotein CD3 epsilon chain</t>
  </si>
  <si>
    <t>Ssiderea040788</t>
  </si>
  <si>
    <t>Ssiderea040818</t>
  </si>
  <si>
    <t>Ssiderea040856</t>
  </si>
  <si>
    <t>Ssiderea040857</t>
  </si>
  <si>
    <t>Sialic acid binding Ig-like lectin 1, sialoadhesin</t>
  </si>
  <si>
    <t>Ssiderea040882</t>
  </si>
  <si>
    <t>Ssiderea040894</t>
  </si>
  <si>
    <t>Ssiderea040951</t>
  </si>
  <si>
    <t>Ssiderea040954</t>
  </si>
  <si>
    <t>cytoskeletal protein binding</t>
  </si>
  <si>
    <t>Ssiderea040978</t>
  </si>
  <si>
    <t>Ssiderea041204</t>
  </si>
  <si>
    <t>Ssiderea041264</t>
  </si>
  <si>
    <t>Ssiderea041320</t>
  </si>
  <si>
    <t>Ssiderea041344</t>
  </si>
  <si>
    <t>Pentaxin family</t>
  </si>
  <si>
    <t>Ssiderea041354</t>
  </si>
  <si>
    <t>Ssiderea041358</t>
  </si>
  <si>
    <t>Ssiderea041506</t>
  </si>
  <si>
    <t>Ssiderea041558</t>
  </si>
  <si>
    <t>Ssiderea041600</t>
  </si>
  <si>
    <t>Ssiderea041609</t>
  </si>
  <si>
    <t>Ssiderea041620</t>
  </si>
  <si>
    <t>Ssiderea041625</t>
  </si>
  <si>
    <t>Ssiderea041630</t>
  </si>
  <si>
    <t>DNA repair protein RAD51 homolog</t>
  </si>
  <si>
    <t>Ssiderea041651</t>
  </si>
  <si>
    <t>PFAM SMP-30 Gluconolaconase</t>
  </si>
  <si>
    <t>Ssiderea041679</t>
  </si>
  <si>
    <t>Ssiderea041712</t>
  </si>
  <si>
    <t>Ssiderea041724</t>
  </si>
  <si>
    <t>Ssiderea041746</t>
  </si>
  <si>
    <t>Ssiderea041999</t>
  </si>
  <si>
    <t>MAP kinase phosphatase activity</t>
  </si>
  <si>
    <t>Ssiderea042039</t>
  </si>
  <si>
    <t>Ssiderea042098</t>
  </si>
  <si>
    <t>Ssiderea042206</t>
  </si>
  <si>
    <t>Ssiderea042484</t>
  </si>
  <si>
    <t>alpha-galactosidase activity</t>
  </si>
  <si>
    <t>Ssiderea042500</t>
  </si>
  <si>
    <t>Ssiderea042563</t>
  </si>
  <si>
    <t>protein propionyltransferase activity</t>
  </si>
  <si>
    <t>Ssiderea042600</t>
  </si>
  <si>
    <t>Ssiderea042756</t>
  </si>
  <si>
    <t>Transferase activity, transferring phosphorus-containing groups</t>
  </si>
  <si>
    <t>Ssiderea042816</t>
  </si>
  <si>
    <t>Ssiderea042963</t>
  </si>
  <si>
    <t>Ssiderea042988</t>
  </si>
  <si>
    <t>Ssiderea043077</t>
  </si>
  <si>
    <t>Chromatin modification-related protein</t>
  </si>
  <si>
    <t>Ssiderea043100</t>
  </si>
  <si>
    <t>Ssiderea043280</t>
  </si>
  <si>
    <t>Ssiderea043285</t>
  </si>
  <si>
    <t>Ssiderea043293</t>
  </si>
  <si>
    <t>Ssiderea043312</t>
  </si>
  <si>
    <t>Ssiderea043587</t>
  </si>
  <si>
    <t>cathepsin Z</t>
  </si>
  <si>
    <t>Ssiderea043627</t>
  </si>
  <si>
    <t>Ssiderea043766</t>
  </si>
  <si>
    <t>Ssiderea043779</t>
  </si>
  <si>
    <t>Potassium channel subfamily K member</t>
  </si>
  <si>
    <t>Ssiderea044690</t>
  </si>
  <si>
    <t>Ssiderea044691</t>
  </si>
  <si>
    <t>Required for formation of the RNA induced silencing complex (RISC). Component of the RISC loading complex (RLC), also known as the micro-RNA (miRNA) loading complex (miRLC), which is composed of dicer1, ago2 and tarbp2. Within the RLC miRLC, dicer1 and tarbp2 are required to process precursor miRNAs (pre-miRNAs) to mature miRNAs and then load them onto ago2. ago2 bound to the mature miRNA constitutes the minimal RISC and may subsequently dissociate from dicer1 and tarbp2. May also play a role in the production of short interfering RNAs (siRNAs) from double-stranded RNA (dsRNA) by dicer1</t>
  </si>
  <si>
    <t>Ssiderea044698</t>
  </si>
  <si>
    <t>carbonate dehydratase activity</t>
  </si>
  <si>
    <t>Ssiderea044854</t>
  </si>
  <si>
    <t>Ssiderea044861</t>
  </si>
  <si>
    <t>tRNA methyltransferase 1 homolog (S. cerevisiae)</t>
  </si>
  <si>
    <t>Ssiderea045036</t>
  </si>
  <si>
    <t>Ssiderea045112</t>
  </si>
  <si>
    <t>C-terminal of Roc, COR, domain</t>
  </si>
  <si>
    <t>Ssiderea045298</t>
  </si>
  <si>
    <t>Ssiderea045300</t>
  </si>
  <si>
    <t>Ssiderea045355</t>
  </si>
  <si>
    <t>NAADP-sensitive calcium-release channel activity</t>
  </si>
  <si>
    <t>Ssiderea045375</t>
  </si>
  <si>
    <t>gamma-aminobutyric acid type B receptor subunit</t>
  </si>
  <si>
    <t>Ssiderea045376</t>
  </si>
  <si>
    <t>Transcription factor</t>
  </si>
  <si>
    <t>Ssiderea045402</t>
  </si>
  <si>
    <t>Ssiderea045481</t>
  </si>
  <si>
    <t>Ssiderea045517</t>
  </si>
  <si>
    <t>Ssiderea045549</t>
  </si>
  <si>
    <t>Ssiderea045722</t>
  </si>
  <si>
    <t>dsRNA-gated channel SID-1</t>
  </si>
  <si>
    <t>Ssiderea045845</t>
  </si>
  <si>
    <t>Ssiderea045976</t>
  </si>
  <si>
    <t>Ssiderea046093</t>
  </si>
  <si>
    <t>Ssiderea046106</t>
  </si>
  <si>
    <t>Death effector domain</t>
  </si>
  <si>
    <t>Ssiderea046285</t>
  </si>
  <si>
    <t>Ssiderea046447</t>
  </si>
  <si>
    <t>Ssiderea046462</t>
  </si>
  <si>
    <t>positive regulation of Rho guanyl-nucleotide exchange factor activity</t>
  </si>
  <si>
    <t>Ssiderea046480</t>
  </si>
  <si>
    <t>Ssiderea046539</t>
  </si>
  <si>
    <t>Ssiderea046550</t>
  </si>
  <si>
    <t>Belongs to the TPP enzyme family</t>
  </si>
  <si>
    <t>Ssiderea046616</t>
  </si>
  <si>
    <t>Ssiderea046687</t>
  </si>
  <si>
    <t>Ssiderea046744</t>
  </si>
  <si>
    <t>Ssiderea046837</t>
  </si>
  <si>
    <t>serine-type endopeptidase inhibitor activity</t>
  </si>
  <si>
    <t>Ssiderea047198</t>
  </si>
  <si>
    <t>Ssiderea047313</t>
  </si>
  <si>
    <t>Ssiderea047390</t>
  </si>
  <si>
    <t>caveola assembly</t>
  </si>
  <si>
    <t>Ssiderea047419</t>
  </si>
  <si>
    <t>Ssiderea047439</t>
  </si>
  <si>
    <t>Ssiderea047501</t>
  </si>
  <si>
    <t>Ssiderea047564</t>
  </si>
  <si>
    <t>Ssiderea047703</t>
  </si>
  <si>
    <t>interleukin-8 biosynthetic process</t>
  </si>
  <si>
    <t>Ssiderea047795</t>
  </si>
  <si>
    <t>Glycosyl transferases group 1</t>
  </si>
  <si>
    <t>Ssiderea047803</t>
  </si>
  <si>
    <t>Ssiderea048064</t>
  </si>
  <si>
    <t>Ssiderea048220</t>
  </si>
  <si>
    <t>Farnesoic acid 0-methyl transferase</t>
  </si>
  <si>
    <t>Ssiderea048240</t>
  </si>
  <si>
    <t>Fibronectin type 3 domain</t>
  </si>
  <si>
    <t>Ssiderea048517</t>
  </si>
  <si>
    <t>ATP-dependent microtubule motor activity, minus-end-directed</t>
  </si>
  <si>
    <t>Ssiderea048577</t>
  </si>
  <si>
    <t>Ssiderea048596</t>
  </si>
  <si>
    <t>mitochondrial fusion</t>
  </si>
  <si>
    <t>Ssiderea048697</t>
  </si>
  <si>
    <t>Ssiderea049126</t>
  </si>
  <si>
    <t>Ssiderea049144</t>
  </si>
  <si>
    <t>Ssiderea049290</t>
  </si>
  <si>
    <t>Ssiderea049297</t>
  </si>
  <si>
    <t>repeats and IQ motif containing 4</t>
  </si>
  <si>
    <t>Ssiderea049320</t>
  </si>
  <si>
    <t>Ssiderea049321</t>
  </si>
  <si>
    <t>Ssiderea049326</t>
  </si>
  <si>
    <t>Ssiderea049331</t>
  </si>
  <si>
    <t>Ssiderea049356</t>
  </si>
  <si>
    <t>Ssiderea049467</t>
  </si>
  <si>
    <t>mitotic cell cycle checkpoint</t>
  </si>
  <si>
    <t>Ssiderea049613</t>
  </si>
  <si>
    <t>Hairy and enhancer of split-related protein helt</t>
  </si>
  <si>
    <t>Ssiderea049746</t>
  </si>
  <si>
    <t>ion channel activity</t>
  </si>
  <si>
    <t>Ssiderea050127</t>
  </si>
  <si>
    <t>von Willebrand factor (vWF) type A domain</t>
  </si>
  <si>
    <t>Ssiderea050295</t>
  </si>
  <si>
    <t>Ssiderea050493</t>
  </si>
  <si>
    <t>PDZ domain (Also known as DHR or GLGF)</t>
  </si>
  <si>
    <t>Ssiderea050517</t>
  </si>
  <si>
    <t>Ssiderea050672</t>
  </si>
  <si>
    <t>Ssiderea050817</t>
  </si>
  <si>
    <t>Ssiderea050830</t>
  </si>
  <si>
    <t>Domain in Tre-2, BUB2p, and Cdc16p. Probable Rab-GAPs.</t>
  </si>
  <si>
    <t>Ssiderea050832</t>
  </si>
  <si>
    <t>U2 snRNA binding</t>
  </si>
  <si>
    <t>Ssiderea050964</t>
  </si>
  <si>
    <t>Ssiderea051055</t>
  </si>
  <si>
    <t>sodium-coupled neutral amino acid transporter</t>
  </si>
  <si>
    <t>Ssiderea051465</t>
  </si>
  <si>
    <t>acyl-coenzyme A thioesterase</t>
  </si>
  <si>
    <t>Ssiderea051679</t>
  </si>
  <si>
    <t>Ssiderea051714</t>
  </si>
  <si>
    <t>transferase activity</t>
  </si>
  <si>
    <t>Ssiderea051715</t>
  </si>
  <si>
    <t>Ssiderea051716</t>
  </si>
  <si>
    <t>Ssiderea051779</t>
  </si>
  <si>
    <t>Ssiderea051781</t>
  </si>
  <si>
    <t>melanocyte differentiation</t>
  </si>
  <si>
    <t>Ssiderea051854</t>
  </si>
  <si>
    <t>Ssiderea051892</t>
  </si>
  <si>
    <t>Ssiderea052013</t>
  </si>
  <si>
    <t>Ssiderea052173</t>
  </si>
  <si>
    <t>Multidrug resistance-associated protein</t>
  </si>
  <si>
    <t>Ssiderea052262</t>
  </si>
  <si>
    <t>Ssiderea052336</t>
  </si>
  <si>
    <t>Ssiderea052407</t>
  </si>
  <si>
    <t>RWD domain containing 1</t>
  </si>
  <si>
    <t>Ssiderea052544</t>
  </si>
  <si>
    <t>negative regulation of renal albumin absorption</t>
  </si>
  <si>
    <t>Ssiderea052824</t>
  </si>
  <si>
    <t>neurogenic locus notch homolog protein</t>
  </si>
  <si>
    <t>Ssiderea052956</t>
  </si>
  <si>
    <t>Phosphotyrosine-binding domain</t>
  </si>
  <si>
    <t>Ssiderea053074</t>
  </si>
  <si>
    <t>Pyridoxal (Pyridoxine, vitamin B6) kinase</t>
  </si>
  <si>
    <t>Ssiderea053080</t>
  </si>
  <si>
    <t>Malic enzyme</t>
  </si>
  <si>
    <t>Ssiderea053147</t>
  </si>
  <si>
    <t>Ssiderea053221</t>
  </si>
  <si>
    <t>Ssiderea053224</t>
  </si>
  <si>
    <t>Ssiderea053327</t>
  </si>
  <si>
    <t>Ssiderea053371</t>
  </si>
  <si>
    <t>Ssiderea053615</t>
  </si>
  <si>
    <t>myotome development</t>
  </si>
  <si>
    <t>Ssiderea053627</t>
  </si>
  <si>
    <t>Ssiderea053728</t>
  </si>
  <si>
    <t>Ssiderea053828</t>
  </si>
  <si>
    <t>Ssiderea053849</t>
  </si>
  <si>
    <t>Ssiderea053861</t>
  </si>
  <si>
    <t>Flavin containing amine oxidoreductase</t>
  </si>
  <si>
    <t>Ssiderea053903</t>
  </si>
  <si>
    <t>Ssiderea054047</t>
  </si>
  <si>
    <t>negative regulation of nuclear-transcribed mRNA catabolic process, nonsense-mediated decay</t>
  </si>
  <si>
    <t>Ssiderea054148</t>
  </si>
  <si>
    <t>Ssiderea054223</t>
  </si>
  <si>
    <t>chaperone cofactor-dependent protein refolding</t>
  </si>
  <si>
    <t>Ssiderea054233</t>
  </si>
  <si>
    <t>Ssiderea054275</t>
  </si>
  <si>
    <t>very long-chain fatty acid-CoA ligase activity</t>
  </si>
  <si>
    <t>Ssiderea054400</t>
  </si>
  <si>
    <t>Ssiderea054505</t>
  </si>
  <si>
    <t>Ssiderea054509</t>
  </si>
  <si>
    <t>Chromosome 1 open reading frame 35</t>
  </si>
  <si>
    <t>Ssiderea054539</t>
  </si>
  <si>
    <t>Mitogen-activated protein kinase kinase kinase</t>
  </si>
  <si>
    <t>Ssiderea054712</t>
  </si>
  <si>
    <t>Interferon induced with helicase C domain 1</t>
  </si>
  <si>
    <t>Ssiderea054735</t>
  </si>
  <si>
    <t>complement activation</t>
  </si>
  <si>
    <t>Ssiderea054881</t>
  </si>
  <si>
    <t>Ssiderea054891</t>
  </si>
  <si>
    <t>aryl sulfotransferase activity</t>
  </si>
  <si>
    <t>Ssiderea055166</t>
  </si>
  <si>
    <t>Ssiderea055338</t>
  </si>
  <si>
    <t>Ssiderea055365</t>
  </si>
  <si>
    <t>Ssiderea055415</t>
  </si>
  <si>
    <t>Domain found in sea urchin sperm protein, enterokinase, agrin</t>
  </si>
  <si>
    <t>Ssiderea055418</t>
  </si>
  <si>
    <t>Ssiderea055489</t>
  </si>
  <si>
    <t>homologous chromosome movement towards spindle pole involved in homologous chromosome segregation</t>
  </si>
  <si>
    <t>Ssiderea055764</t>
  </si>
  <si>
    <t>DnaJ molecular chaperone homology domain</t>
  </si>
  <si>
    <t>Ssiderea055783</t>
  </si>
  <si>
    <t>Pancreatic secretory granule membrane major glycoprotein</t>
  </si>
  <si>
    <t>Ssiderea055787</t>
  </si>
  <si>
    <t>Ssiderea055826</t>
  </si>
  <si>
    <t>Doublecortin domain-containing protein 2</t>
  </si>
  <si>
    <t>Ssiderea055895</t>
  </si>
  <si>
    <t>P or trefoil or TFF domain</t>
  </si>
  <si>
    <t>Ssiderea055982</t>
  </si>
  <si>
    <t>Ssiderea056079</t>
  </si>
  <si>
    <t>Ssiderea056222</t>
  </si>
  <si>
    <t>Protein tyrosine phosphatase, receptor type</t>
  </si>
  <si>
    <t>Ssiderea056236</t>
  </si>
  <si>
    <t>Ssiderea056252</t>
  </si>
  <si>
    <t>Ssiderea056310</t>
  </si>
  <si>
    <t>Ssiderea056594</t>
  </si>
  <si>
    <t>Ssiderea056713</t>
  </si>
  <si>
    <t>heparin binding</t>
  </si>
  <si>
    <t>Ssiderea056770</t>
  </si>
  <si>
    <t>Ssiderea056776</t>
  </si>
  <si>
    <t>Ssiderea056783</t>
  </si>
  <si>
    <t>Ssiderea056886</t>
  </si>
  <si>
    <t>von Willebrand factor D and EGF</t>
  </si>
  <si>
    <t>Ssiderea056951</t>
  </si>
  <si>
    <t>Ssiderea056972</t>
  </si>
  <si>
    <t>Ssiderea056975</t>
  </si>
  <si>
    <t>Ssiderea056986</t>
  </si>
  <si>
    <t>Ssiderea057044</t>
  </si>
  <si>
    <t>methylated histone binding</t>
  </si>
  <si>
    <t>Ssiderea057095</t>
  </si>
  <si>
    <t>Ssiderea057106</t>
  </si>
  <si>
    <t>Ssiderea057248</t>
  </si>
  <si>
    <t>Ssiderea057290</t>
  </si>
  <si>
    <t>Ssiderea057306</t>
  </si>
  <si>
    <t>Ssiderea057341</t>
  </si>
  <si>
    <t>Ssiderea057390</t>
  </si>
  <si>
    <t>Ssiderea057455</t>
  </si>
  <si>
    <t>Uncharacterized ACR, YdiU/UPF0061 family</t>
  </si>
  <si>
    <t>Ssiderea057714</t>
  </si>
  <si>
    <t>Ssiderea057744</t>
  </si>
  <si>
    <t>Cytochrome P450</t>
  </si>
  <si>
    <t>Ssiderea057815</t>
  </si>
  <si>
    <t>ATP-binding cassette, subfamily B (MDR TAP), member</t>
  </si>
  <si>
    <t>Ssiderea057878</t>
  </si>
  <si>
    <t>Ssiderea058008</t>
  </si>
  <si>
    <t>procollagen-proline 4-dioxygenase activity</t>
  </si>
  <si>
    <t>Ssiderea058012</t>
  </si>
  <si>
    <t>UDP-Gal betaGlcNAc beta 1,4- galactosyltransferase, polypeptide</t>
  </si>
  <si>
    <t>Ssiderea058107</t>
  </si>
  <si>
    <t>HMG domain-containing protein 3</t>
  </si>
  <si>
    <t>Ssiderea058217</t>
  </si>
  <si>
    <t>Lys63-specific deubiquitinase activity</t>
  </si>
  <si>
    <t>Ssiderea058378</t>
  </si>
  <si>
    <t>Ssiderea058415</t>
  </si>
  <si>
    <t>Ssiderea058585</t>
  </si>
  <si>
    <t>Ssiderea058595</t>
  </si>
  <si>
    <t>Ssiderea058633</t>
  </si>
  <si>
    <t>Ssiderea058642</t>
  </si>
  <si>
    <t>Ssiderea058708</t>
  </si>
  <si>
    <t>Ssiderea058718</t>
  </si>
  <si>
    <t>Belongs to the p53 family</t>
  </si>
  <si>
    <t>Ssiderea058808</t>
  </si>
  <si>
    <t>Ssiderea058830</t>
  </si>
  <si>
    <t>Ssiderea059052</t>
  </si>
  <si>
    <t>C-5 cytosine-specific DNA methylase</t>
  </si>
  <si>
    <t>Ssiderea059094</t>
  </si>
  <si>
    <t>Ssiderea059140</t>
  </si>
  <si>
    <t>Ssiderea59311</t>
  </si>
  <si>
    <t>Ssiderea59316</t>
  </si>
  <si>
    <t>transposition, RNA-mediated</t>
  </si>
  <si>
    <t>Ssiderea59347</t>
  </si>
  <si>
    <t>Heat shock chaperonin-binding motif.</t>
  </si>
  <si>
    <t>Ssiderea59378</t>
  </si>
  <si>
    <t>Ssiderea59393</t>
  </si>
  <si>
    <t>Ssiderea59430</t>
  </si>
  <si>
    <t>Ssiderea59566</t>
  </si>
  <si>
    <t>Ssiderea59585</t>
  </si>
  <si>
    <t>Ssiderea59656</t>
  </si>
  <si>
    <t>Ssiderea59681</t>
  </si>
  <si>
    <t>Ssiderea59755</t>
  </si>
  <si>
    <t>Ssiderea59831</t>
  </si>
  <si>
    <t>Ssiderea59890</t>
  </si>
  <si>
    <t>Reverse transcriptase (RNA-dependent DNA polymerase)</t>
  </si>
  <si>
    <t>Ssiderea59934</t>
  </si>
  <si>
    <t>Ssiderea59961</t>
  </si>
  <si>
    <t>Ssiderea59973</t>
  </si>
  <si>
    <t>Ssiderea60027</t>
  </si>
  <si>
    <t>Ssiderea60080</t>
  </si>
  <si>
    <t>Ssiderea60093</t>
  </si>
  <si>
    <t>Ssiderea60155</t>
  </si>
  <si>
    <t>Ssiderea60164</t>
  </si>
  <si>
    <t>Ssiderea60172</t>
  </si>
  <si>
    <t>Ssiderea60216</t>
  </si>
  <si>
    <t>Ssiderea60282</t>
  </si>
  <si>
    <t>Ssiderea60343</t>
  </si>
  <si>
    <t>Ssiderea60368</t>
  </si>
  <si>
    <t>Ssiderea60373</t>
  </si>
  <si>
    <t>Ssiderea60431</t>
  </si>
  <si>
    <t>Ssiderea60445</t>
  </si>
  <si>
    <t>Ssiderea60451</t>
  </si>
  <si>
    <t>Ssiderea60521</t>
  </si>
  <si>
    <t>Ssiderea60764</t>
  </si>
  <si>
    <t>Ssiderea60817</t>
  </si>
  <si>
    <t>Ssiderea60824</t>
  </si>
  <si>
    <t>Ssiderea60845</t>
  </si>
  <si>
    <t>Ssiderea60968</t>
  </si>
  <si>
    <t>Pao retrotransposon peptidase</t>
  </si>
  <si>
    <t>Ssiderea61115</t>
  </si>
  <si>
    <t>Ssiderea61126</t>
  </si>
  <si>
    <t>Ssiderea61142</t>
  </si>
  <si>
    <t>Ssiderea61320</t>
  </si>
  <si>
    <t>Ssiderea61354</t>
  </si>
  <si>
    <t>Ssiderea61447</t>
  </si>
  <si>
    <t>Ssiderea61572</t>
  </si>
  <si>
    <t>Ssiderea61597</t>
  </si>
  <si>
    <t>Ssiderea61711</t>
  </si>
  <si>
    <t>Ssiderea61861</t>
  </si>
  <si>
    <t>Ssiderea61885</t>
  </si>
  <si>
    <t>Ssiderea61898</t>
  </si>
  <si>
    <t>Ssiderea61903</t>
  </si>
  <si>
    <t>Ssiderea61929</t>
  </si>
  <si>
    <t>Ssiderea61936</t>
  </si>
  <si>
    <t>Ssiderea61969</t>
  </si>
  <si>
    <t>Ssiderea62035</t>
  </si>
  <si>
    <t>Ssiderea62059</t>
  </si>
  <si>
    <t>CENP-B N-terminal DNA-binding domain</t>
  </si>
  <si>
    <t>Ssiderea62240</t>
  </si>
  <si>
    <t>Ssiderea62250</t>
  </si>
  <si>
    <t>tumor necrosis factor</t>
  </si>
  <si>
    <t>Ssiderea62253</t>
  </si>
  <si>
    <t>Ssiderea62291</t>
  </si>
  <si>
    <t>Ssiderea62307</t>
  </si>
  <si>
    <t>Ssiderea62414</t>
  </si>
  <si>
    <t>Ssiderea62455</t>
  </si>
  <si>
    <t>distal tubule morphogenesis</t>
  </si>
  <si>
    <t>Ssiderea62488</t>
  </si>
  <si>
    <t>Ssiderea62565</t>
  </si>
  <si>
    <t>Ssiderea62592</t>
  </si>
  <si>
    <t>Ssiderea62629</t>
  </si>
  <si>
    <t>Ssiderea62688</t>
  </si>
  <si>
    <t>Ssiderea62732</t>
  </si>
  <si>
    <t>Ssiderea62762</t>
  </si>
  <si>
    <t>Ssiderea62821</t>
  </si>
  <si>
    <t>Ssiderea62829</t>
  </si>
  <si>
    <t>Ssiderea62831</t>
  </si>
  <si>
    <t>Ssiderea000261</t>
  </si>
  <si>
    <t>DNA-binding transcription factor activity, RNA polymerase II-specific</t>
  </si>
  <si>
    <t>Ssiderea000744</t>
  </si>
  <si>
    <t>Ssiderea001107</t>
  </si>
  <si>
    <t>Ssiderea001161</t>
  </si>
  <si>
    <t>Ssiderea001853</t>
  </si>
  <si>
    <t>Ssiderea001879</t>
  </si>
  <si>
    <t>Ssiderea001916</t>
  </si>
  <si>
    <t>Ssiderea001966</t>
  </si>
  <si>
    <t>Zinc finger B-box</t>
  </si>
  <si>
    <t>Ssiderea002005</t>
  </si>
  <si>
    <t>Ssiderea002091</t>
  </si>
  <si>
    <t>C2H2-type zinc finger</t>
  </si>
  <si>
    <t>Ssiderea002138</t>
  </si>
  <si>
    <t>Ssiderea002234</t>
  </si>
  <si>
    <t>Ssiderea002366</t>
  </si>
  <si>
    <t>Ssiderea002426</t>
  </si>
  <si>
    <t>Ssiderea002543</t>
  </si>
  <si>
    <t>cell division</t>
  </si>
  <si>
    <t>Ssiderea002690</t>
  </si>
  <si>
    <t>Ssiderea002967</t>
  </si>
  <si>
    <t>Ssiderea003090</t>
  </si>
  <si>
    <t>Ssiderea003396</t>
  </si>
  <si>
    <t>Ssiderea003700</t>
  </si>
  <si>
    <t>Ssiderea003722</t>
  </si>
  <si>
    <t>Ssiderea003894</t>
  </si>
  <si>
    <t>Ssiderea004205</t>
  </si>
  <si>
    <t>Serine threonine-protein phosphatase</t>
  </si>
  <si>
    <t>Ssiderea004288</t>
  </si>
  <si>
    <t>Ssiderea004321</t>
  </si>
  <si>
    <t>Ssiderea004697</t>
  </si>
  <si>
    <t>SH3/SH2 adaptor activity</t>
  </si>
  <si>
    <t>Ssiderea004889</t>
  </si>
  <si>
    <t>negative regulation of Arp2/3 complex-mediated actin nucleation</t>
  </si>
  <si>
    <t>Ssiderea004937</t>
  </si>
  <si>
    <t>Ssiderea005086</t>
  </si>
  <si>
    <t>Ssiderea005170</t>
  </si>
  <si>
    <t>Ssiderea005592</t>
  </si>
  <si>
    <t>DEK proto-oncogene</t>
  </si>
  <si>
    <t>Ssiderea006076</t>
  </si>
  <si>
    <t>Ssiderea006451</t>
  </si>
  <si>
    <t>ST6 (alpha-N-acetyl-neuraminyl-2,3-beta-galactosyl-1,3)-N-acetylgalactosaminide alpha-2,6-sialyltransferase 4</t>
  </si>
  <si>
    <t>Ssiderea006565</t>
  </si>
  <si>
    <t>Ssiderea006568</t>
  </si>
  <si>
    <t>Ssiderea006663</t>
  </si>
  <si>
    <t>Ssiderea006718</t>
  </si>
  <si>
    <t>Ssiderea006737</t>
  </si>
  <si>
    <t>Ssiderea006810</t>
  </si>
  <si>
    <t>lysosomal lumen pH elevation</t>
  </si>
  <si>
    <t>Ssiderea006828</t>
  </si>
  <si>
    <t>protection from non-homologous end joining at telomere</t>
  </si>
  <si>
    <t>Ssiderea006859</t>
  </si>
  <si>
    <t>Ssiderea006963</t>
  </si>
  <si>
    <t>Ssiderea006965</t>
  </si>
  <si>
    <t>Ssiderea007020</t>
  </si>
  <si>
    <t>metal ion binding</t>
  </si>
  <si>
    <t>Ssiderea007174</t>
  </si>
  <si>
    <t>Ssiderea007183</t>
  </si>
  <si>
    <t>Ssiderea007320</t>
  </si>
  <si>
    <t>Ssiderea007382</t>
  </si>
  <si>
    <t>Ssiderea007427</t>
  </si>
  <si>
    <t>Ssiderea007435</t>
  </si>
  <si>
    <t>Ssiderea007617</t>
  </si>
  <si>
    <t>Ssiderea007654</t>
  </si>
  <si>
    <t>Ssiderea007782</t>
  </si>
  <si>
    <t>Ssiderea007807</t>
  </si>
  <si>
    <t>Ssiderea008152</t>
  </si>
  <si>
    <t>Ssiderea008159</t>
  </si>
  <si>
    <t>Ssiderea008329</t>
  </si>
  <si>
    <t>Ssiderea008750</t>
  </si>
  <si>
    <t>Ssiderea008934</t>
  </si>
  <si>
    <t>Ssiderea008970</t>
  </si>
  <si>
    <t>CDK-activating kinase assembly factor</t>
  </si>
  <si>
    <t>Ssiderea008985</t>
  </si>
  <si>
    <t>Ssiderea009023</t>
  </si>
  <si>
    <t>Ssiderea009025</t>
  </si>
  <si>
    <t>negative regulation of DNA replication</t>
  </si>
  <si>
    <t>Ssiderea009026</t>
  </si>
  <si>
    <t>Ssiderea009049</t>
  </si>
  <si>
    <t>Ssiderea009157</t>
  </si>
  <si>
    <t>Ssiderea009162</t>
  </si>
  <si>
    <t>Tumor necrosis factor (ligand) superfamily, member</t>
  </si>
  <si>
    <t>Ssiderea009188</t>
  </si>
  <si>
    <t>Ssiderea009191</t>
  </si>
  <si>
    <t>Ssiderea009196</t>
  </si>
  <si>
    <t>Ssiderea009336</t>
  </si>
  <si>
    <t>Hemicentin-1</t>
  </si>
  <si>
    <t>Ssiderea009358</t>
  </si>
  <si>
    <t>signaling receptor binding</t>
  </si>
  <si>
    <t>Ssiderea009444</t>
  </si>
  <si>
    <t>Ssiderea009483</t>
  </si>
  <si>
    <t>Ssiderea009522</t>
  </si>
  <si>
    <t>retinol dehydrogenase activity</t>
  </si>
  <si>
    <t>Ssiderea009523</t>
  </si>
  <si>
    <t>Ssiderea009670</t>
  </si>
  <si>
    <t>Cobalamin binding. It is involved in the biological process described with cobalamin transport</t>
  </si>
  <si>
    <t>Ssiderea009736</t>
  </si>
  <si>
    <t>Ssiderea010100</t>
  </si>
  <si>
    <t>Ssiderea010720</t>
  </si>
  <si>
    <t>Ssiderea011073</t>
  </si>
  <si>
    <t>Ssiderea011220</t>
  </si>
  <si>
    <t>Ssiderea011419</t>
  </si>
  <si>
    <t>Ssiderea011465</t>
  </si>
  <si>
    <t>arachidonate 5-lipoxygenase activity</t>
  </si>
  <si>
    <t>Ssiderea011584</t>
  </si>
  <si>
    <t>Ssiderea011949</t>
  </si>
  <si>
    <t>regulation of canonical Wnt signaling pathway</t>
  </si>
  <si>
    <t>Ssiderea011958</t>
  </si>
  <si>
    <t>Ssiderea011980</t>
  </si>
  <si>
    <t>Ssiderea012259</t>
  </si>
  <si>
    <t>Ssiderea012290</t>
  </si>
  <si>
    <t>response to defense-related nitric oxide production by other organism involved in symbiotic interaction</t>
  </si>
  <si>
    <t>Ssiderea012406</t>
  </si>
  <si>
    <t>Ssiderea012723</t>
  </si>
  <si>
    <t>Belongs to the mitochondrial carrier (TC 2.A.29) family</t>
  </si>
  <si>
    <t>Ssiderea012976</t>
  </si>
  <si>
    <t>chromatin disassembly</t>
  </si>
  <si>
    <t>Ssiderea013036</t>
  </si>
  <si>
    <t>Belongs to the glycosyl hydrolase 31 family</t>
  </si>
  <si>
    <t>Ssiderea013138</t>
  </si>
  <si>
    <t>Ssiderea013640</t>
  </si>
  <si>
    <t>Ssiderea013642</t>
  </si>
  <si>
    <t>Vesicular inhibitory amino acid</t>
  </si>
  <si>
    <t>Ssiderea013810</t>
  </si>
  <si>
    <t>Ssiderea013891</t>
  </si>
  <si>
    <t>Ssiderea013912</t>
  </si>
  <si>
    <t>regulation of nitrosative stress-induced intrinsic apoptotic signaling pathway</t>
  </si>
  <si>
    <t>Ssiderea013935</t>
  </si>
  <si>
    <t>Dienelactone hydrolase family</t>
  </si>
  <si>
    <t>Ssiderea014166</t>
  </si>
  <si>
    <t>Ssiderea015352</t>
  </si>
  <si>
    <t>hydrolase activity</t>
  </si>
  <si>
    <t>Ssiderea015433</t>
  </si>
  <si>
    <t>Ssiderea015688</t>
  </si>
  <si>
    <t>Ssiderea015912</t>
  </si>
  <si>
    <t>Ssiderea016097</t>
  </si>
  <si>
    <t>LanC lantibiotic synthetase component C-like 3 (bacterial)</t>
  </si>
  <si>
    <t>Ssiderea016226</t>
  </si>
  <si>
    <t>Ssiderea016286</t>
  </si>
  <si>
    <t>Ssiderea016494</t>
  </si>
  <si>
    <t>Ssiderea016706</t>
  </si>
  <si>
    <t>Ssiderea017479</t>
  </si>
  <si>
    <t>Ssiderea017517</t>
  </si>
  <si>
    <t>fibronectin type III and laminin G domains</t>
  </si>
  <si>
    <t>Ssiderea017732</t>
  </si>
  <si>
    <t>Ssiderea017733</t>
  </si>
  <si>
    <t>Ssiderea017734</t>
  </si>
  <si>
    <t>Ssiderea017743</t>
  </si>
  <si>
    <t>Ssiderea017841</t>
  </si>
  <si>
    <t>Ssiderea017967</t>
  </si>
  <si>
    <t>holocytochrome-c synthase activity</t>
  </si>
  <si>
    <t>Ssiderea018006</t>
  </si>
  <si>
    <t>Ssiderea018397</t>
  </si>
  <si>
    <t>Ssiderea018481</t>
  </si>
  <si>
    <t>lathosterol oxidase activity</t>
  </si>
  <si>
    <t>Ssiderea018606</t>
  </si>
  <si>
    <t>Ssiderea018639</t>
  </si>
  <si>
    <t>intracellular cholesterol transport</t>
  </si>
  <si>
    <t>Ssiderea018808</t>
  </si>
  <si>
    <t>Ssiderea018810</t>
  </si>
  <si>
    <t>Peyer's patch morphogenesis</t>
  </si>
  <si>
    <t>Ssiderea018828</t>
  </si>
  <si>
    <t>NAD(P)H-binding</t>
  </si>
  <si>
    <t>Ssiderea018973</t>
  </si>
  <si>
    <t>Ssiderea018990</t>
  </si>
  <si>
    <t>protein heterodimerization activity</t>
  </si>
  <si>
    <t>Ssiderea019217</t>
  </si>
  <si>
    <t>Ssiderea019309</t>
  </si>
  <si>
    <t>Ssiderea019943</t>
  </si>
  <si>
    <t>positive regulation of histone H3-K36 methylation</t>
  </si>
  <si>
    <t>Ssiderea020235</t>
  </si>
  <si>
    <t>Ssiderea020347</t>
  </si>
  <si>
    <t>Ssiderea020477</t>
  </si>
  <si>
    <t>Ssiderea020495</t>
  </si>
  <si>
    <t>Ssiderea020988</t>
  </si>
  <si>
    <t>Ssiderea021039</t>
  </si>
  <si>
    <t>Ssiderea021044</t>
  </si>
  <si>
    <t>Ssiderea021107</t>
  </si>
  <si>
    <t>Ssiderea021421</t>
  </si>
  <si>
    <t>Tyrosine-protein kinase transmembrane receptor ROR2</t>
  </si>
  <si>
    <t>Ssiderea021665</t>
  </si>
  <si>
    <t>Ssiderea021826</t>
  </si>
  <si>
    <t>Ssiderea021831</t>
  </si>
  <si>
    <t>Ssiderea021902</t>
  </si>
  <si>
    <t>Ssiderea021983</t>
  </si>
  <si>
    <t>Ssiderea022281</t>
  </si>
  <si>
    <t>Ssiderea022318</t>
  </si>
  <si>
    <t>Ssiderea022417</t>
  </si>
  <si>
    <t>Ssiderea022486</t>
  </si>
  <si>
    <t>Ssiderea022695</t>
  </si>
  <si>
    <t>pseudouridine 5'-phosphatase activity</t>
  </si>
  <si>
    <t>Ssiderea022747</t>
  </si>
  <si>
    <t>Ssiderea022864</t>
  </si>
  <si>
    <t>Neural cell adhesion molecule</t>
  </si>
  <si>
    <t>Ssiderea023003</t>
  </si>
  <si>
    <t>Extracellular matrix protein</t>
  </si>
  <si>
    <t>Ssiderea023126</t>
  </si>
  <si>
    <t>Ssiderea023221</t>
  </si>
  <si>
    <t>Ssiderea023349</t>
  </si>
  <si>
    <t>DNA nucleotidylexotransferase activity</t>
  </si>
  <si>
    <t>Ssiderea023364</t>
  </si>
  <si>
    <t>non-membrane spanning protein tyrosine kinase activity</t>
  </si>
  <si>
    <t>Ssiderea023648</t>
  </si>
  <si>
    <t>Ssiderea024129</t>
  </si>
  <si>
    <t>Belongs to the sodium solute symporter (SSF) (TC 2.A.21) family</t>
  </si>
  <si>
    <t>Ssiderea024166</t>
  </si>
  <si>
    <t>Protein of unknown function DUF72</t>
  </si>
  <si>
    <t>Ssiderea024554</t>
  </si>
  <si>
    <t>phytanoyl-CoA dioxygenase activity</t>
  </si>
  <si>
    <t>Ssiderea024754</t>
  </si>
  <si>
    <t>Ssiderea024813</t>
  </si>
  <si>
    <t>glycine amidinotransferase</t>
  </si>
  <si>
    <t>Ssiderea025267</t>
  </si>
  <si>
    <t>Domain present in PSD-95, Dlg, and ZO-1/2.</t>
  </si>
  <si>
    <t>Ssiderea025794</t>
  </si>
  <si>
    <t>Receptor tyrosine phosphatase type r2a</t>
  </si>
  <si>
    <t>Ssiderea025906</t>
  </si>
  <si>
    <t>Ssiderea025912</t>
  </si>
  <si>
    <t>transcription initiation from RNA polymerase II promoter</t>
  </si>
  <si>
    <t>Ssiderea025990</t>
  </si>
  <si>
    <t>Ssiderea026015</t>
  </si>
  <si>
    <t>Ssiderea026050</t>
  </si>
  <si>
    <t>Ssiderea026350</t>
  </si>
  <si>
    <t>Ssiderea026686</t>
  </si>
  <si>
    <t>Ssiderea026694</t>
  </si>
  <si>
    <t>Ssiderea026904</t>
  </si>
  <si>
    <t>Ssiderea026954</t>
  </si>
  <si>
    <t>Ssiderea027033</t>
  </si>
  <si>
    <t>Ssiderea027610</t>
  </si>
  <si>
    <t>Ssiderea027674</t>
  </si>
  <si>
    <t>Ssiderea027777</t>
  </si>
  <si>
    <t>Adenylyl- / guanylyl cyclase, catalytic domain</t>
  </si>
  <si>
    <t>Ssiderea027829</t>
  </si>
  <si>
    <t>Ssiderea027900</t>
  </si>
  <si>
    <t>voltage-gated sodium channel activity</t>
  </si>
  <si>
    <t>Ssiderea027950</t>
  </si>
  <si>
    <t>Ssiderea028078</t>
  </si>
  <si>
    <t>Ssiderea028434</t>
  </si>
  <si>
    <t>Ssiderea028492</t>
  </si>
  <si>
    <t>protein phosphatase regulator activity</t>
  </si>
  <si>
    <t>Ssiderea028526</t>
  </si>
  <si>
    <t>Ssiderea028819</t>
  </si>
  <si>
    <t>complement activation, lectin pathway</t>
  </si>
  <si>
    <t>Ssiderea028833</t>
  </si>
  <si>
    <t>Ssiderea029247</t>
  </si>
  <si>
    <t>Ssiderea029713</t>
  </si>
  <si>
    <t>Ssiderea029844</t>
  </si>
  <si>
    <t>Ssiderea029846</t>
  </si>
  <si>
    <t>Ssiderea030041</t>
  </si>
  <si>
    <t>Ssiderea030042</t>
  </si>
  <si>
    <t>Ssiderea030302</t>
  </si>
  <si>
    <t>Folate receptor family</t>
  </si>
  <si>
    <t>Ssiderea030632</t>
  </si>
  <si>
    <t>Ssiderea030651</t>
  </si>
  <si>
    <t>Ssiderea030710</t>
  </si>
  <si>
    <t>Ssiderea030985</t>
  </si>
  <si>
    <t>Ssiderea031066</t>
  </si>
  <si>
    <t>Ssiderea031448</t>
  </si>
  <si>
    <t>Ssiderea031502</t>
  </si>
  <si>
    <t>Ssiderea031537</t>
  </si>
  <si>
    <t>Specifically deglycosylates the denatured form of N- linked glycoproteins in the cytoplasm and assists their proteasome-mediated degradation. Cleaves the beta-aspartyl- glucosamine (GlcNAc) of the glycan and the amide side chain of Asn, converting Asn to Asp. Prefers proteins containing high- mannose over those bearing complex type oligosaccharides. Can recognize misfolded proteins in the endoplasmic reticulum that are exported to the cytosol to be destroyed and deglycosylate them, while it has no activity toward native proteins. Deglycosylation is a prerequisite for subsequent proteasome-mediated degradation of some, but not all, misfolded glycoproteins</t>
  </si>
  <si>
    <t>Ssiderea031553</t>
  </si>
  <si>
    <t>Ssiderea031574</t>
  </si>
  <si>
    <t>Ssiderea031592</t>
  </si>
  <si>
    <t>Ssiderea031692</t>
  </si>
  <si>
    <t>LETM1 domain containing 1</t>
  </si>
  <si>
    <t>Ssiderea031743</t>
  </si>
  <si>
    <t>determination of stomach left/right asymmetry</t>
  </si>
  <si>
    <t>Ssiderea031931</t>
  </si>
  <si>
    <t>Ssiderea032171</t>
  </si>
  <si>
    <t>Ssiderea032250</t>
  </si>
  <si>
    <t>Ssiderea032352</t>
  </si>
  <si>
    <t>Ssiderea032491</t>
  </si>
  <si>
    <t>Ssiderea032502</t>
  </si>
  <si>
    <t>Ssiderea032816</t>
  </si>
  <si>
    <t>Ssiderea033082</t>
  </si>
  <si>
    <t>Ssiderea033289</t>
  </si>
  <si>
    <t>RNA binding</t>
  </si>
  <si>
    <t>Ssiderea033477</t>
  </si>
  <si>
    <t>Ssiderea033524</t>
  </si>
  <si>
    <t>Ssiderea033639</t>
  </si>
  <si>
    <t>Ssiderea033838</t>
  </si>
  <si>
    <t>Ssiderea034143</t>
  </si>
  <si>
    <t>Ssiderea034156</t>
  </si>
  <si>
    <t>Ssiderea034283</t>
  </si>
  <si>
    <t>Ssiderea034505</t>
  </si>
  <si>
    <t>Ssiderea034545</t>
  </si>
  <si>
    <t>Ssiderea034578</t>
  </si>
  <si>
    <t>Ssiderea034995</t>
  </si>
  <si>
    <t>tumor necrosis factor receptor binding</t>
  </si>
  <si>
    <t>Ssiderea035207</t>
  </si>
  <si>
    <t>Ssiderea035259</t>
  </si>
  <si>
    <t>Ssiderea035261</t>
  </si>
  <si>
    <t>Ssiderea035314</t>
  </si>
  <si>
    <t>PTK6 protein tyrosine kinase</t>
  </si>
  <si>
    <t>Ssiderea035315</t>
  </si>
  <si>
    <t>Ssiderea035390</t>
  </si>
  <si>
    <t>nutrient reservoir activity</t>
  </si>
  <si>
    <t>Ssiderea035521</t>
  </si>
  <si>
    <t>Ssiderea035586</t>
  </si>
  <si>
    <t>Belongs to the protein-tyrosine phosphatase family. Non-receptor class myotubularin subfamily</t>
  </si>
  <si>
    <t>Ssiderea035646</t>
  </si>
  <si>
    <t>Ssiderea036092</t>
  </si>
  <si>
    <t>Ssiderea036101</t>
  </si>
  <si>
    <t>Ssiderea036254</t>
  </si>
  <si>
    <t>recombinational repair</t>
  </si>
  <si>
    <t>Ssiderea036721</t>
  </si>
  <si>
    <t>Ssiderea036818</t>
  </si>
  <si>
    <t>Ssiderea036881</t>
  </si>
  <si>
    <t>Ssiderea037047</t>
  </si>
  <si>
    <t>Ssiderea037401</t>
  </si>
  <si>
    <t>identical protein binding</t>
  </si>
  <si>
    <t>Ssiderea037904</t>
  </si>
  <si>
    <t>Ssiderea038001</t>
  </si>
  <si>
    <t>Ssiderea038033</t>
  </si>
  <si>
    <t>Ssiderea038246</t>
  </si>
  <si>
    <t>Ssiderea038311</t>
  </si>
  <si>
    <t>positive regulation of Arp2/3 complex-mediated actin nucleation</t>
  </si>
  <si>
    <t>Ssiderea038424</t>
  </si>
  <si>
    <t>Ssiderea038513</t>
  </si>
  <si>
    <t>Ssiderea038540</t>
  </si>
  <si>
    <t>Ssiderea038632</t>
  </si>
  <si>
    <t>Ssiderea038648</t>
  </si>
  <si>
    <t>Ssiderea038847</t>
  </si>
  <si>
    <t>Ssiderea038854</t>
  </si>
  <si>
    <t>tripartite motif containing 71, E3 ubiquitin protein ligase</t>
  </si>
  <si>
    <t>Ssiderea038962</t>
  </si>
  <si>
    <t>Bardet-Biedl syndrome 4</t>
  </si>
  <si>
    <t>Ssiderea039115</t>
  </si>
  <si>
    <t>Ssiderea039175</t>
  </si>
  <si>
    <t>Ssiderea039227</t>
  </si>
  <si>
    <t>Ssiderea039506</t>
  </si>
  <si>
    <t>binding of sperm to zona pellucida</t>
  </si>
  <si>
    <t>Ssiderea039605</t>
  </si>
  <si>
    <t>phosphoethanolamine N-methyltransferase</t>
  </si>
  <si>
    <t>Ssiderea039623</t>
  </si>
  <si>
    <t>HELP motif</t>
  </si>
  <si>
    <t>Ssiderea039744</t>
  </si>
  <si>
    <t>Ssiderea039926</t>
  </si>
  <si>
    <t>Ssiderea039935</t>
  </si>
  <si>
    <t>Ssiderea040898</t>
  </si>
  <si>
    <t>Ssiderea041210</t>
  </si>
  <si>
    <t>Ssiderea041257</t>
  </si>
  <si>
    <t>Ssiderea041337</t>
  </si>
  <si>
    <t>Ssiderea041532</t>
  </si>
  <si>
    <t>Ssiderea041622</t>
  </si>
  <si>
    <t>Ssiderea042200</t>
  </si>
  <si>
    <t>BTB And C-terminal Kelch</t>
  </si>
  <si>
    <t>Ssiderea042386</t>
  </si>
  <si>
    <t>HMG box domain containing 3</t>
  </si>
  <si>
    <t>Ssiderea042649</t>
  </si>
  <si>
    <t>Lipoxygenase</t>
  </si>
  <si>
    <t>Ssiderea042655</t>
  </si>
  <si>
    <t>Ssiderea042804</t>
  </si>
  <si>
    <t>Histone H1</t>
  </si>
  <si>
    <t>Ssiderea043041</t>
  </si>
  <si>
    <t>Ssiderea043085</t>
  </si>
  <si>
    <t>Ssiderea043316</t>
  </si>
  <si>
    <t>Ssiderea043459</t>
  </si>
  <si>
    <t>Ssiderea043482</t>
  </si>
  <si>
    <t>Ssiderea043956</t>
  </si>
  <si>
    <t>Ssiderea044482</t>
  </si>
  <si>
    <t>Belongs to the small heat shock protein (HSP20) family</t>
  </si>
  <si>
    <t>Ssiderea044483</t>
  </si>
  <si>
    <t>Ssiderea044708</t>
  </si>
  <si>
    <t>Ssiderea044734</t>
  </si>
  <si>
    <t>Ssiderea044870</t>
  </si>
  <si>
    <t>Ssiderea044913</t>
  </si>
  <si>
    <t>Ssiderea045388</t>
  </si>
  <si>
    <t>Trypsin-like serine protease</t>
  </si>
  <si>
    <t>Ssiderea045632</t>
  </si>
  <si>
    <t>Ssiderea045796</t>
  </si>
  <si>
    <t>Ssiderea045838</t>
  </si>
  <si>
    <t>Ssiderea045841</t>
  </si>
  <si>
    <t>Ssiderea045978</t>
  </si>
  <si>
    <t>BRCA1 interacting protein C-terminal helicase 1</t>
  </si>
  <si>
    <t>Ssiderea045999</t>
  </si>
  <si>
    <t>Ssiderea046340</t>
  </si>
  <si>
    <t>IMP dehydrogenase activity</t>
  </si>
  <si>
    <t>Ssiderea046764</t>
  </si>
  <si>
    <t>Ssiderea046967</t>
  </si>
  <si>
    <t>Ssiderea047003</t>
  </si>
  <si>
    <t>Ssiderea047138</t>
  </si>
  <si>
    <t>Ssiderea047183</t>
  </si>
  <si>
    <t>Tripartite motif-containing protein</t>
  </si>
  <si>
    <t>Ssiderea047590</t>
  </si>
  <si>
    <t>clustering of voltage-gated sodium channels</t>
  </si>
  <si>
    <t>Ssiderea047591</t>
  </si>
  <si>
    <t>Ssiderea047607</t>
  </si>
  <si>
    <t>Ssiderea047867</t>
  </si>
  <si>
    <t>Ssiderea047913</t>
  </si>
  <si>
    <t>Ssiderea047925</t>
  </si>
  <si>
    <t>Ssiderea047931</t>
  </si>
  <si>
    <t>Ssiderea047942</t>
  </si>
  <si>
    <t>Ssiderea048506</t>
  </si>
  <si>
    <t>inositol hexakisphosphate 6-kinase activity</t>
  </si>
  <si>
    <t>Ssiderea048618</t>
  </si>
  <si>
    <t>Ssiderea048749</t>
  </si>
  <si>
    <t>Ssiderea048803</t>
  </si>
  <si>
    <t>Ssiderea048817</t>
  </si>
  <si>
    <t>Ssiderea048834</t>
  </si>
  <si>
    <t>Ssiderea048843</t>
  </si>
  <si>
    <t>GABA-A receptor activity</t>
  </si>
  <si>
    <t>Ssiderea048941</t>
  </si>
  <si>
    <t>Ssiderea049008</t>
  </si>
  <si>
    <t>Ssiderea049012</t>
  </si>
  <si>
    <t>Ssiderea049034</t>
  </si>
  <si>
    <t>Ssiderea049036</t>
  </si>
  <si>
    <t>Ssiderea049067</t>
  </si>
  <si>
    <t>Ssiderea049260</t>
  </si>
  <si>
    <t>receptor localization to synapse</t>
  </si>
  <si>
    <t>Ssiderea049435</t>
  </si>
  <si>
    <t>UPF0554 protein C2orf43 homolog</t>
  </si>
  <si>
    <t>Ssiderea049798</t>
  </si>
  <si>
    <t>Ssiderea049997</t>
  </si>
  <si>
    <t>Ssiderea050053</t>
  </si>
  <si>
    <t>fructose-bisphosphate aldolase</t>
  </si>
  <si>
    <t>Ssiderea050623</t>
  </si>
  <si>
    <t>Nucleus accumbens associated 1, BEN and BTB (POZ) domain containing</t>
  </si>
  <si>
    <t>Ssiderea050930</t>
  </si>
  <si>
    <t>Ssiderea051110</t>
  </si>
  <si>
    <t>DNA-directed DNA polymerase activity</t>
  </si>
  <si>
    <t>Ssiderea051186</t>
  </si>
  <si>
    <t>Ssiderea051572</t>
  </si>
  <si>
    <t>HNK-1 sulfotransferase activity</t>
  </si>
  <si>
    <t>Ssiderea051796</t>
  </si>
  <si>
    <t>Glycosyl hydrolase family 20, catalytic domain</t>
  </si>
  <si>
    <t>Ssiderea051914</t>
  </si>
  <si>
    <t>Ssiderea051932</t>
  </si>
  <si>
    <t>coagulation factor V</t>
  </si>
  <si>
    <t>Ssiderea052157</t>
  </si>
  <si>
    <t>Ssiderea052159</t>
  </si>
  <si>
    <t>Lipoxygenase homology 2 (beta barrel) domain</t>
  </si>
  <si>
    <t>Ssiderea052362</t>
  </si>
  <si>
    <t>Ssiderea052518</t>
  </si>
  <si>
    <t>Ssiderea052656</t>
  </si>
  <si>
    <t>Ssiderea053017</t>
  </si>
  <si>
    <t>Ssiderea053115</t>
  </si>
  <si>
    <t>Structural maintenance of chromosomes</t>
  </si>
  <si>
    <t>Ssiderea053364</t>
  </si>
  <si>
    <t>Ssiderea053696</t>
  </si>
  <si>
    <t>Ssiderea053724</t>
  </si>
  <si>
    <t>Ssiderea054582</t>
  </si>
  <si>
    <t>Belongs to the G-protein coupled receptor 2 family</t>
  </si>
  <si>
    <t>Ssiderea054683</t>
  </si>
  <si>
    <t>Ssiderea055324</t>
  </si>
  <si>
    <t>regulation of systemic arterial blood pressure by aortic arch baroreceptor feedback</t>
  </si>
  <si>
    <t>Ssiderea056118</t>
  </si>
  <si>
    <t>Ssiderea056460</t>
  </si>
  <si>
    <t>Ssiderea056771</t>
  </si>
  <si>
    <t>Ssiderea056809</t>
  </si>
  <si>
    <t>Ssiderea057323</t>
  </si>
  <si>
    <t>Hydrolase activity, acting on carbon-nitrogen (but not peptide) bonds, in linear amides. It is involved in the biological process described with nitrogen compound metabolic process</t>
  </si>
  <si>
    <t>Ssiderea057794</t>
  </si>
  <si>
    <t>Peptidase family M28</t>
  </si>
  <si>
    <t>Ssiderea057909</t>
  </si>
  <si>
    <t>Ssiderea057978</t>
  </si>
  <si>
    <t>Ssiderea058022</t>
  </si>
  <si>
    <t>Ssiderea058081</t>
  </si>
  <si>
    <t>Ssiderea058082</t>
  </si>
  <si>
    <t>Si ch211-69l10.4</t>
  </si>
  <si>
    <t>Ssiderea058118</t>
  </si>
  <si>
    <t>Myb/SANT-like DNA-binding domain</t>
  </si>
  <si>
    <t>Ssiderea058353</t>
  </si>
  <si>
    <t>Ssiderea058589</t>
  </si>
  <si>
    <t>Ssiderea058877</t>
  </si>
  <si>
    <t>positive regulation of glutamate neurotransmitter secretion in response to membrane depolarization</t>
  </si>
  <si>
    <t>Ssiderea058965</t>
  </si>
  <si>
    <t>Ssiderea058971</t>
  </si>
  <si>
    <t>Ssiderea059105</t>
  </si>
  <si>
    <t>Translocase of inner mitochondrial membrane 21</t>
  </si>
  <si>
    <t>Ssiderea059158</t>
  </si>
  <si>
    <t>Ssiderea059167</t>
  </si>
  <si>
    <t>Ssiderea59194</t>
  </si>
  <si>
    <t>Ssiderea59438</t>
  </si>
  <si>
    <t>Ssiderea59477</t>
  </si>
  <si>
    <t>Ssiderea59537</t>
  </si>
  <si>
    <t>Ssiderea59705</t>
  </si>
  <si>
    <t>Ssiderea59793</t>
  </si>
  <si>
    <t>Ssiderea59845</t>
  </si>
  <si>
    <t>Ssiderea59853</t>
  </si>
  <si>
    <t>Ssiderea59859</t>
  </si>
  <si>
    <t>Ssiderea59860</t>
  </si>
  <si>
    <t>Ssiderea59884</t>
  </si>
  <si>
    <t>Ssiderea59895</t>
  </si>
  <si>
    <t>Ssiderea59897</t>
  </si>
  <si>
    <t>Ssiderea60036</t>
  </si>
  <si>
    <t>Ssiderea60042</t>
  </si>
  <si>
    <t>Ssiderea60182</t>
  </si>
  <si>
    <t>Ssiderea60183</t>
  </si>
  <si>
    <t>Ssiderea60348</t>
  </si>
  <si>
    <t>Ssiderea60552</t>
  </si>
  <si>
    <t>Ssiderea60684</t>
  </si>
  <si>
    <t>Ssiderea60964</t>
  </si>
  <si>
    <t>Ssiderea60971</t>
  </si>
  <si>
    <t>Ssiderea61137</t>
  </si>
  <si>
    <t>Ssiderea61144</t>
  </si>
  <si>
    <t>Ssiderea61192</t>
  </si>
  <si>
    <t>Ssiderea61286</t>
  </si>
  <si>
    <t>Ssiderea61326</t>
  </si>
  <si>
    <t>Ssiderea61334</t>
  </si>
  <si>
    <t>Ssiderea61461</t>
  </si>
  <si>
    <t>Ssiderea61470</t>
  </si>
  <si>
    <t>Ssiderea61644</t>
  </si>
  <si>
    <t>Ssiderea61670</t>
  </si>
  <si>
    <t>Ssiderea61730</t>
  </si>
  <si>
    <t>Ssiderea61839</t>
  </si>
  <si>
    <t>nuclease HARBI1-like</t>
  </si>
  <si>
    <t>Ssiderea61932</t>
  </si>
  <si>
    <t>Ssiderea61934</t>
  </si>
  <si>
    <t>Ssiderea62146</t>
  </si>
  <si>
    <t>Ssiderea62228</t>
  </si>
  <si>
    <t>Ssiderea62302</t>
  </si>
  <si>
    <t>Ssiderea62321</t>
  </si>
  <si>
    <t>Ssiderea62437</t>
  </si>
  <si>
    <t>Ssiderea62446</t>
  </si>
  <si>
    <t>Ssiderea62465</t>
  </si>
  <si>
    <t>Ssiderea62527</t>
  </si>
  <si>
    <t>Ssiderea62585</t>
  </si>
  <si>
    <t>Ssiderea62739</t>
  </si>
  <si>
    <t>Ssiderea62799</t>
  </si>
  <si>
    <t>retrotransposon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</si>
</sst>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rgb="FF000000"/>
      <name val="Times New Roman"/>
      <family val="1"/>
    </font>
    <font>
      <b/>
      <sz val="12"/>
      <color theme="1"/>
      <name val="Times New Roman"/>
      <family val="1"/>
    </font>
    <font>
      <b/>
      <sz val="12"/>
      <color theme="1"/>
      <name val="Aptos Narrow"/>
      <scheme val="minor"/>
    </font>
    <font>
      <i/>
      <sz val="12"/>
      <color theme="1"/>
      <name val="Times New Roman"/>
      <family val="1"/>
    </font>
    <font>
      <sz val="12"/>
      <color theme="1"/>
      <name val="Times New Roman"/>
      <family val="1"/>
    </font>
    <font>
      <sz val="12"/>
      <color rgb="FF000000"/>
      <name val="Times New Roman"/>
      <family val="1"/>
    </font>
    <font>
      <sz val="12"/>
      <color theme="1"/>
      <name val="Aptos Narrow"/>
      <scheme val="minor"/>
    </font>
  </fonts>
  <fills count="2">
    <fill>
      <patternFill patternType="none"/>
    </fill>
    <fill>
      <patternFill patternType="gray125"/>
    </fill>
  </fills>
  <borders count="10">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bottom/>
      <diagonal/>
    </border>
    <border>
      <left style="thin">
        <color rgb="FF999999"/>
      </left>
      <right style="thin">
        <color rgb="FF999999"/>
      </right>
      <top/>
      <bottom/>
      <diagonal/>
    </border>
    <border>
      <left style="thin">
        <color indexed="65"/>
      </left>
      <right/>
      <top style="thin">
        <color rgb="FF999999"/>
      </top>
      <bottom/>
      <diagonal/>
    </border>
    <border>
      <left style="thin">
        <color rgb="FF999999"/>
      </left>
      <right/>
      <top style="thin">
        <color rgb="FF999999"/>
      </top>
      <bottom style="thin">
        <color rgb="FF999999"/>
      </bottom>
      <diagonal/>
    </border>
    <border>
      <left style="thin">
        <color indexed="65"/>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1">
    <xf numFmtId="0" fontId="0" fillId="0" borderId="0" xfId="0"/>
    <xf numFmtId="0" fontId="1" fillId="0" borderId="0" xfId="0" applyFont="1"/>
    <xf numFmtId="0" fontId="2" fillId="0" borderId="0" xfId="0" applyFont="1"/>
    <xf numFmtId="0" fontId="3" fillId="0" borderId="0" xfId="0" applyFont="1"/>
    <xf numFmtId="0" fontId="0" fillId="0" borderId="1" xfId="0" applyBorder="1"/>
    <xf numFmtId="0" fontId="0" fillId="0" borderId="2" xfId="0" applyBorder="1"/>
    <xf numFmtId="0" fontId="4" fillId="0" borderId="0" xfId="0" applyFont="1"/>
    <xf numFmtId="0" fontId="5" fillId="0" borderId="0" xfId="0" applyFont="1"/>
    <xf numFmtId="0" fontId="6" fillId="0" borderId="0" xfId="0" applyFont="1" applyAlignment="1">
      <alignment horizontal="right"/>
    </xf>
    <xf numFmtId="0" fontId="6" fillId="0" borderId="0" xfId="0" applyFont="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9" fontId="5" fillId="0" borderId="0" xfId="0" applyNumberFormat="1" applyFont="1"/>
    <xf numFmtId="9" fontId="7" fillId="0" borderId="0" xfId="0" applyNumberFormat="1" applyFont="1"/>
    <xf numFmtId="0" fontId="7" fillId="0" borderId="0" xfId="0" applyFont="1"/>
    <xf numFmtId="0" fontId="0" fillId="0" borderId="1" xfId="0" pivotButton="1" applyBorder="1"/>
  </cellXfs>
  <cellStyles count="1">
    <cellStyle name="Normal" xfId="0" builtinId="0"/>
  </cellStyles>
  <dxfs count="2">
    <dxf>
      <fill>
        <patternFill patternType="solid">
          <fgColor rgb="FFB6D7A8"/>
          <bgColor rgb="FFB6D7A8"/>
        </patternFill>
      </fill>
    </dxf>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urban%20resilience%20tables.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ichael Studivan" refreshedDate="46115.636438078705" refreshedVersion="8" recordCount="3381" xr:uid="{D28463ED-C796-E142-AF0F-BC1AD700FBF8}">
  <cacheSource type="worksheet">
    <worksheetSource ref="A1:G3382" sheet="Dataset S1 commongenes site" r:id="rId2"/>
  </cacheSource>
  <cacheFields count="7">
    <cacheField name="Species" numFmtId="0">
      <sharedItems count="2">
        <s v="Orbicella faveolata"/>
        <s v="Siderastrea siderea"/>
      </sharedItems>
    </cacheField>
    <cacheField name="Comparison" numFmtId="0">
      <sharedItems count="2">
        <s v="Urban vs Emerald Reef"/>
        <s v="Urban vs Rainbow Reef"/>
      </sharedItems>
    </cacheField>
    <cacheField name="Gene ID" numFmtId="0">
      <sharedItems/>
    </cacheField>
    <cacheField name="Star Island lpv" numFmtId="0">
      <sharedItems containsSemiMixedTypes="0" containsString="0" containsNumber="1" minValue="-16.927612" maxValue="15.1661451"/>
    </cacheField>
    <cacheField name="MacArthur North lpv" numFmtId="0">
      <sharedItems containsSemiMixedTypes="0" containsString="0" containsNumber="1" minValue="-23.504940000000001" maxValue="29.201173600000001"/>
    </cacheField>
    <cacheField name="Relationship" numFmtId="0">
      <sharedItems/>
    </cacheField>
    <cacheField name="Gene Annotati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81">
  <r>
    <x v="0"/>
    <x v="0"/>
    <s v="Ofaveolata000014"/>
    <n v="1.3848503299999999"/>
    <n v="2.8311262099999999"/>
    <s v="Direct"/>
    <s v="NA"/>
  </r>
  <r>
    <x v="0"/>
    <x v="0"/>
    <s v="Ofaveolata000049"/>
    <n v="-1.0496188"/>
    <n v="-2.1903969999999999"/>
    <s v="Direct"/>
    <s v="NA"/>
  </r>
  <r>
    <x v="0"/>
    <x v="0"/>
    <s v="Ofaveolata000062"/>
    <n v="-3.3506049999999998"/>
    <n v="-2.3227500999999999"/>
    <s v="Direct"/>
    <s v="cell septum assembly"/>
  </r>
  <r>
    <x v="0"/>
    <x v="0"/>
    <s v="Ofaveolata000164"/>
    <n v="-4.3264405999999997"/>
    <n v="-2.1129834000000001"/>
    <s v="Direct"/>
    <s v="NA"/>
  </r>
  <r>
    <x v="0"/>
    <x v="0"/>
    <s v="Ofaveolata000236"/>
    <n v="1.18882854"/>
    <n v="1.58025142"/>
    <s v="Direct"/>
    <s v="NA"/>
  </r>
  <r>
    <x v="0"/>
    <x v="0"/>
    <s v="Ofaveolata000275"/>
    <n v="1.3852279700000001"/>
    <n v="1.2888416300000001"/>
    <s v="Direct"/>
    <s v="NA"/>
  </r>
  <r>
    <x v="0"/>
    <x v="0"/>
    <s v="Ofaveolata000276"/>
    <n v="-1.5412064000000001"/>
    <n v="-4.7136369"/>
    <s v="Direct"/>
    <s v="MafB19-like deaminase"/>
  </r>
  <r>
    <x v="0"/>
    <x v="0"/>
    <s v="Ofaveolata000339"/>
    <n v="-1.6371047000000001"/>
    <n v="-1.7897205"/>
    <s v="Direct"/>
    <s v="positive regulation of bone development"/>
  </r>
  <r>
    <x v="0"/>
    <x v="0"/>
    <s v="Ofaveolata000351"/>
    <n v="1.0410138900000001"/>
    <n v="7.4201081100000001"/>
    <s v="Direct"/>
    <s v="NA"/>
  </r>
  <r>
    <x v="0"/>
    <x v="0"/>
    <s v="Ofaveolata000390"/>
    <n v="-1.7655577"/>
    <n v="-2.1578662999999998"/>
    <s v="Direct"/>
    <s v="NA"/>
  </r>
  <r>
    <x v="0"/>
    <x v="0"/>
    <s v="Ofaveolata000461"/>
    <n v="1.8435829399999999"/>
    <n v="4.8288361100000001"/>
    <s v="Direct"/>
    <s v="NA"/>
  </r>
  <r>
    <x v="0"/>
    <x v="0"/>
    <s v="Ofaveolata000526"/>
    <n v="-1.82565"/>
    <n v="-1.4088101"/>
    <s v="Direct"/>
    <s v="NA"/>
  </r>
  <r>
    <x v="0"/>
    <x v="0"/>
    <s v="Ofaveolata000539"/>
    <n v="-1.4153232"/>
    <n v="-2.4542313999999998"/>
    <s v="Direct"/>
    <s v="NA"/>
  </r>
  <r>
    <x v="0"/>
    <x v="0"/>
    <s v="Ofaveolata000556"/>
    <n v="1.6908605800000001"/>
    <n v="4.5601133899999997"/>
    <s v="Direct"/>
    <s v="G-protein coupled receptor activity"/>
  </r>
  <r>
    <x v="0"/>
    <x v="0"/>
    <s v="Ofaveolata000560"/>
    <n v="-2.2601141999999999"/>
    <n v="1.1775829600000001"/>
    <s v="Inverse"/>
    <s v="NA"/>
  </r>
  <r>
    <x v="0"/>
    <x v="0"/>
    <s v="Ofaveolata000579"/>
    <n v="1.9059719900000001"/>
    <n v="1.5893831199999999"/>
    <s v="Direct"/>
    <s v="tetratricopeptide repeat protein 14"/>
  </r>
  <r>
    <x v="0"/>
    <x v="0"/>
    <s v="Ofaveolata000715"/>
    <n v="1.9295597200000001"/>
    <n v="1.0115157299999999"/>
    <s v="Direct"/>
    <s v="NA"/>
  </r>
  <r>
    <x v="0"/>
    <x v="0"/>
    <s v="Ofaveolata000728"/>
    <n v="1.0477375499999999"/>
    <n v="1.23043832"/>
    <s v="Direct"/>
    <s v="translation regulator activity"/>
  </r>
  <r>
    <x v="0"/>
    <x v="0"/>
    <s v="Ofaveolata000830"/>
    <n v="-1.2383824999999999"/>
    <n v="-14.622786"/>
    <s v="Direct"/>
    <s v="NA"/>
  </r>
  <r>
    <x v="0"/>
    <x v="0"/>
    <s v="Ofaveolata000836"/>
    <n v="2.1834490899999999"/>
    <n v="10.2267492"/>
    <s v="Direct"/>
    <s v="assembly factor 2"/>
  </r>
  <r>
    <x v="0"/>
    <x v="0"/>
    <s v="Ofaveolata000855"/>
    <n v="-1.2286473"/>
    <n v="-1.2970725000000001"/>
    <s v="Direct"/>
    <s v="E3 ubiquitin-protein ligase"/>
  </r>
  <r>
    <x v="0"/>
    <x v="0"/>
    <s v="Ofaveolata000877"/>
    <n v="1.3552131700000001"/>
    <n v="2.6491916999999998"/>
    <s v="Direct"/>
    <s v="homeobox"/>
  </r>
  <r>
    <x v="0"/>
    <x v="0"/>
    <s v="Ofaveolata000882"/>
    <n v="-1.0218883000000001"/>
    <n v="-2.5722960000000001"/>
    <s v="Direct"/>
    <s v="cortical actin cytoskeleton organization"/>
  </r>
  <r>
    <x v="0"/>
    <x v="0"/>
    <s v="Ofaveolata000918"/>
    <n v="1.3377136300000001"/>
    <n v="7.6179934100000004"/>
    <s v="Direct"/>
    <s v="Solute carrier organic anion transporter family, member"/>
  </r>
  <r>
    <x v="0"/>
    <x v="0"/>
    <s v="Ofaveolata001125"/>
    <n v="-1.7848343"/>
    <n v="-5.7346706000000003"/>
    <s v="Direct"/>
    <s v="NA"/>
  </r>
  <r>
    <x v="0"/>
    <x v="0"/>
    <s v="Ofaveolata001142"/>
    <n v="-1.9056583"/>
    <n v="-6.9685812"/>
    <s v="Direct"/>
    <s v="7 transmembrane receptor (rhodopsin family)"/>
  </r>
  <r>
    <x v="0"/>
    <x v="0"/>
    <s v="Ofaveolata001244"/>
    <n v="1.4188925400000001"/>
    <n v="5.6471522299999997"/>
    <s v="Direct"/>
    <s v="fibroblast growth factor-activated receptor activity"/>
  </r>
  <r>
    <x v="0"/>
    <x v="0"/>
    <s v="Ofaveolata001258"/>
    <n v="1.2941144099999999"/>
    <n v="1.34434626"/>
    <s v="Direct"/>
    <s v="homophilic cell adhesion via plasma membrane adhesion molecules"/>
  </r>
  <r>
    <x v="0"/>
    <x v="0"/>
    <s v="Ofaveolata001445"/>
    <n v="-1.2514943000000001"/>
    <n v="-4.3489966000000004"/>
    <s v="Direct"/>
    <s v="protein transport"/>
  </r>
  <r>
    <x v="0"/>
    <x v="0"/>
    <s v="Ofaveolata001684"/>
    <n v="-1.4401134"/>
    <n v="-3.9045866999999999"/>
    <s v="Direct"/>
    <s v="NA"/>
  </r>
  <r>
    <x v="0"/>
    <x v="0"/>
    <s v="Ofaveolata001761"/>
    <n v="-2.7934899"/>
    <n v="-2.4438347999999999"/>
    <s v="Direct"/>
    <s v="acidic dipeptidase"/>
  </r>
  <r>
    <x v="0"/>
    <x v="0"/>
    <s v="Ofaveolata001784"/>
    <n v="-1.4011328999999999"/>
    <n v="-2.6755637999999999"/>
    <s v="Direct"/>
    <s v="non-haem dioxygenase in morphine synthesis N-terminal"/>
  </r>
  <r>
    <x v="0"/>
    <x v="0"/>
    <s v="Ofaveolata001906"/>
    <n v="1.22636094"/>
    <n v="2.2625965300000002"/>
    <s v="Direct"/>
    <s v="dCMP deaminase activity. It is involved in the biological process described with pyrimidine nucleotide metabolic process"/>
  </r>
  <r>
    <x v="0"/>
    <x v="0"/>
    <s v="Ofaveolata001924"/>
    <n v="1.3870265100000001"/>
    <n v="3.7765607299999999"/>
    <s v="Direct"/>
    <s v="NA"/>
  </r>
  <r>
    <x v="0"/>
    <x v="0"/>
    <s v="Ofaveolata002015"/>
    <n v="-1.477346"/>
    <n v="-3.3453284000000001"/>
    <s v="Direct"/>
    <s v="arachidonic acid secretion"/>
  </r>
  <r>
    <x v="0"/>
    <x v="0"/>
    <s v="Ofaveolata002169"/>
    <n v="1.8869709100000001"/>
    <n v="2.3139914300000002"/>
    <s v="Direct"/>
    <s v="myosin regulatory light chain interacting protein"/>
  </r>
  <r>
    <x v="0"/>
    <x v="0"/>
    <s v="Ofaveolata002367"/>
    <n v="2.9320787899999998"/>
    <n v="4.2054940800000002"/>
    <s v="Direct"/>
    <s v="calcium ion-regulated exocytosis of neurotransmitter"/>
  </r>
  <r>
    <x v="0"/>
    <x v="0"/>
    <s v="Ofaveolata002465"/>
    <n v="2.4902937700000001"/>
    <n v="1.8271912699999999"/>
    <s v="Direct"/>
    <s v="member RAS oncogene family"/>
  </r>
  <r>
    <x v="0"/>
    <x v="0"/>
    <s v="Ofaveolata002516"/>
    <n v="1.24983555"/>
    <n v="1.7274721"/>
    <s v="Direct"/>
    <s v="Catalyzes the three sequential steps of the methylation pathway of phosphatidylcholine biosynthesis, the SAM-dependent methylation of phosphatidylethanolamine (PE) to phosphatidylmonomethylethanolamine (PMME), PMME to phosphatidyldimethylethanolamine (PDM"/>
  </r>
  <r>
    <x v="0"/>
    <x v="0"/>
    <s v="Ofaveolata002540"/>
    <n v="-4.1788827"/>
    <n v="-1.0208914"/>
    <s v="Direct"/>
    <s v="NA"/>
  </r>
  <r>
    <x v="0"/>
    <x v="0"/>
    <s v="Ofaveolata002566"/>
    <n v="-1.6970862"/>
    <n v="-7.1916966999999996"/>
    <s v="Direct"/>
    <s v="store-operated calcium channel activity"/>
  </r>
  <r>
    <x v="0"/>
    <x v="0"/>
    <s v="Ofaveolata002578"/>
    <n v="-1.2728495"/>
    <n v="-1.6722973000000001"/>
    <s v="Direct"/>
    <s v="NA"/>
  </r>
  <r>
    <x v="0"/>
    <x v="0"/>
    <s v="Ofaveolata002609"/>
    <n v="-2.0141987000000001"/>
    <n v="-1.8910285"/>
    <s v="Direct"/>
    <s v="NA"/>
  </r>
  <r>
    <x v="0"/>
    <x v="0"/>
    <s v="Ofaveolata002685"/>
    <n v="-1.1737892000000001"/>
    <n v="-5.2380931999999998"/>
    <s v="Direct"/>
    <s v="NA"/>
  </r>
  <r>
    <x v="0"/>
    <x v="0"/>
    <s v="Ofaveolata002686"/>
    <n v="-1.9968551000000001"/>
    <n v="-2.1400215999999999"/>
    <s v="Direct"/>
    <s v="NA"/>
  </r>
  <r>
    <x v="0"/>
    <x v="0"/>
    <s v="Ofaveolata002688"/>
    <n v="-2.5078505999999998"/>
    <n v="-3.9818956000000001"/>
    <s v="Direct"/>
    <s v="NA"/>
  </r>
  <r>
    <x v="0"/>
    <x v="0"/>
    <s v="Ofaveolata002694"/>
    <n v="-2.2444853999999999"/>
    <n v="-1.763838"/>
    <s v="Direct"/>
    <s v="NA"/>
  </r>
  <r>
    <x v="0"/>
    <x v="0"/>
    <s v="Ofaveolata002788"/>
    <n v="-1.574465"/>
    <n v="-5.8617714999999997"/>
    <s v="Direct"/>
    <s v="NA"/>
  </r>
  <r>
    <x v="0"/>
    <x v="0"/>
    <s v="Ofaveolata002830"/>
    <n v="1.5278222100000001"/>
    <n v="2.0098088000000001"/>
    <s v="Direct"/>
    <s v="Folate receptor"/>
  </r>
  <r>
    <x v="0"/>
    <x v="0"/>
    <s v="Ofaveolata002833"/>
    <n v="-1.4173091"/>
    <n v="-1.1987223"/>
    <s v="Direct"/>
    <s v="Sulfide quinone"/>
  </r>
  <r>
    <x v="0"/>
    <x v="0"/>
    <s v="Ofaveolata002861"/>
    <n v="-3.3860168000000002"/>
    <n v="-3.6229499000000001"/>
    <s v="Direct"/>
    <s v="G-protein coupled receptor activity"/>
  </r>
  <r>
    <x v="0"/>
    <x v="0"/>
    <s v="Ofaveolata002949"/>
    <n v="1.99490878"/>
    <n v="1.08471513"/>
    <s v="Direct"/>
    <s v="Enoyl-(Acyl carrier protein) reductase"/>
  </r>
  <r>
    <x v="0"/>
    <x v="0"/>
    <s v="Ofaveolata003072"/>
    <n v="-4.3782551999999999"/>
    <n v="-5.4951249000000004"/>
    <s v="Direct"/>
    <s v="NA"/>
  </r>
  <r>
    <x v="0"/>
    <x v="0"/>
    <s v="Ofaveolata003089"/>
    <n v="-1.4999106"/>
    <n v="-1.0904885"/>
    <s v="Direct"/>
    <s v="cell cycle"/>
  </r>
  <r>
    <x v="0"/>
    <x v="0"/>
    <s v="Ofaveolata003133"/>
    <n v="1.5613072100000001"/>
    <n v="4.2135334799999997"/>
    <s v="Direct"/>
    <s v="ephrin receptor activity"/>
  </r>
  <r>
    <x v="0"/>
    <x v="0"/>
    <s v="Ofaveolata003204"/>
    <n v="-1.4153232"/>
    <n v="-4.0781466999999996"/>
    <s v="Direct"/>
    <s v="NA"/>
  </r>
  <r>
    <x v="0"/>
    <x v="0"/>
    <s v="Ofaveolata003208"/>
    <n v="-2.7827847000000001"/>
    <n v="-2.8084357"/>
    <s v="Direct"/>
    <s v="NA"/>
  </r>
  <r>
    <x v="0"/>
    <x v="0"/>
    <s v="Ofaveolata003209"/>
    <n v="-1.4421849"/>
    <n v="-2.1468254999999998"/>
    <s v="Direct"/>
    <s v="zinc ion binding"/>
  </r>
  <r>
    <x v="0"/>
    <x v="0"/>
    <s v="Ofaveolata003273"/>
    <n v="-6.0709660999999997"/>
    <n v="-5.5595474999999999"/>
    <s v="Direct"/>
    <s v="NA"/>
  </r>
  <r>
    <x v="0"/>
    <x v="0"/>
    <s v="Ofaveolata003282"/>
    <n v="-2.9998326999999998"/>
    <n v="-3.4433313000000001"/>
    <s v="Direct"/>
    <s v="NA"/>
  </r>
  <r>
    <x v="0"/>
    <x v="0"/>
    <s v="Ofaveolata003364"/>
    <n v="-1.824748"/>
    <n v="-4.5394199000000004"/>
    <s v="Direct"/>
    <s v="NA"/>
  </r>
  <r>
    <x v="0"/>
    <x v="0"/>
    <s v="Ofaveolata003365"/>
    <n v="-1.8218015999999999"/>
    <n v="-3.8615835000000001"/>
    <s v="Direct"/>
    <s v="cytochrome P450"/>
  </r>
  <r>
    <x v="0"/>
    <x v="0"/>
    <s v="Ofaveolata003500"/>
    <n v="2.3006106399999999"/>
    <n v="3.1735640599999999"/>
    <s v="Direct"/>
    <s v="amine oxidase"/>
  </r>
  <r>
    <x v="0"/>
    <x v="0"/>
    <s v="Ofaveolata003511"/>
    <n v="1.4881129500000001"/>
    <n v="1.1160238099999999"/>
    <s v="Direct"/>
    <s v="NA"/>
  </r>
  <r>
    <x v="0"/>
    <x v="0"/>
    <s v="Ofaveolata003551"/>
    <n v="-3.9139800999999999"/>
    <n v="-6.3943164000000001"/>
    <s v="Direct"/>
    <s v="NA"/>
  </r>
  <r>
    <x v="0"/>
    <x v="0"/>
    <s v="Ofaveolata003558"/>
    <n v="1.3651442300000001"/>
    <n v="4.4682941500000002"/>
    <s v="Direct"/>
    <s v="NA"/>
  </r>
  <r>
    <x v="0"/>
    <x v="0"/>
    <s v="Ofaveolata003565"/>
    <n v="-2.6454312999999998"/>
    <n v="-1.2864196999999999"/>
    <s v="Direct"/>
    <s v="3 iron, 4 sulfur cluster binding"/>
  </r>
  <r>
    <x v="0"/>
    <x v="0"/>
    <s v="Ofaveolata003605"/>
    <n v="-1.1890845999999999"/>
    <n v="-9.6549399000000005"/>
    <s v="Direct"/>
    <s v="NA"/>
  </r>
  <r>
    <x v="0"/>
    <x v="0"/>
    <s v="Ofaveolata003626"/>
    <n v="1.3494366200000001"/>
    <n v="1.2497211100000001"/>
    <s v="Direct"/>
    <s v="Ubiquitin carboxyl-terminal hydrolase"/>
  </r>
  <r>
    <x v="0"/>
    <x v="0"/>
    <s v="Ofaveolata003675"/>
    <n v="-1.3848503000000001"/>
    <n v="-1.3983460999999999"/>
    <s v="Direct"/>
    <s v="NA"/>
  </r>
  <r>
    <x v="0"/>
    <x v="0"/>
    <s v="Ofaveolata003682"/>
    <n v="4.46041357"/>
    <n v="7.4509773499999996"/>
    <s v="Direct"/>
    <s v="NA"/>
  </r>
  <r>
    <x v="0"/>
    <x v="0"/>
    <s v="Ofaveolata003751"/>
    <n v="-1.6486928000000001"/>
    <n v="-4.7315477000000001"/>
    <s v="Direct"/>
    <s v="Tachylectin"/>
  </r>
  <r>
    <x v="0"/>
    <x v="0"/>
    <s v="Ofaveolata003761"/>
    <n v="1.70550263"/>
    <n v="3.7441521299999998"/>
    <s v="Direct"/>
    <s v="methylenetetrahydrofolate reductase (NAD(P)H) activity"/>
  </r>
  <r>
    <x v="0"/>
    <x v="0"/>
    <s v="Ofaveolata003804"/>
    <n v="1.3234512199999999"/>
    <n v="8.7115959699999994"/>
    <s v="Direct"/>
    <s v="NA"/>
  </r>
  <r>
    <x v="0"/>
    <x v="0"/>
    <s v="Ofaveolata003864"/>
    <n v="1.0188392100000001"/>
    <n v="2.0187128200000002"/>
    <s v="Direct"/>
    <s v="NA"/>
  </r>
  <r>
    <x v="0"/>
    <x v="0"/>
    <s v="Ofaveolata003898"/>
    <n v="-1.8205191999999999"/>
    <n v="-3.3992111999999999"/>
    <s v="Direct"/>
    <s v="NA"/>
  </r>
  <r>
    <x v="0"/>
    <x v="0"/>
    <s v="Ofaveolata003910"/>
    <n v="2.4857655300000001"/>
    <n v="15.5750782"/>
    <s v="Direct"/>
    <s v="NA"/>
  </r>
  <r>
    <x v="0"/>
    <x v="0"/>
    <s v="Ofaveolata003915"/>
    <n v="1.0884174"/>
    <n v="5.5538309100000003"/>
    <s v="Direct"/>
    <s v="FG-GAP repeat"/>
  </r>
  <r>
    <x v="0"/>
    <x v="0"/>
    <s v="Ofaveolata003916"/>
    <n v="1.3848503299999999"/>
    <n v="5.0481776199999997"/>
    <s v="Direct"/>
    <s v="protein import into peroxisome matrix"/>
  </r>
  <r>
    <x v="0"/>
    <x v="0"/>
    <s v="Ofaveolata003918"/>
    <n v="1.0779872399999999"/>
    <n v="7.3936959199999999"/>
    <s v="Direct"/>
    <s v="polysaccharide catabolic process"/>
  </r>
  <r>
    <x v="0"/>
    <x v="0"/>
    <s v="Ofaveolata003927"/>
    <n v="-1.1463525000000001"/>
    <n v="-1.7538528"/>
    <s v="Direct"/>
    <s v="ubiquitin-dependent ERAD pathway"/>
  </r>
  <r>
    <x v="0"/>
    <x v="0"/>
    <s v="Ofaveolata003951"/>
    <n v="-1.9172347000000001"/>
    <n v="-6.0703345999999998"/>
    <s v="Direct"/>
    <s v="NA"/>
  </r>
  <r>
    <x v="0"/>
    <x v="0"/>
    <s v="Ofaveolata004001"/>
    <n v="1.6979859900000001"/>
    <n v="1.3149286499999999"/>
    <s v="Direct"/>
    <s v="NA"/>
  </r>
  <r>
    <x v="0"/>
    <x v="0"/>
    <s v="Ofaveolata004071"/>
    <n v="1.0876580199999999"/>
    <n v="1.6794775"/>
    <s v="Direct"/>
    <s v="NA"/>
  </r>
  <r>
    <x v="0"/>
    <x v="0"/>
    <s v="Ofaveolata004091"/>
    <n v="-2.6892005000000001"/>
    <n v="-3.2756685999999999"/>
    <s v="Direct"/>
    <s v="myosin light chain kinase activity"/>
  </r>
  <r>
    <x v="0"/>
    <x v="0"/>
    <s v="Ofaveolata004098"/>
    <n v="-1.0369778999999999"/>
    <n v="-2.3561158999999998"/>
    <s v="Direct"/>
    <s v="erythroblast transformation specific domain"/>
  </r>
  <r>
    <x v="0"/>
    <x v="0"/>
    <s v="Ofaveolata004174"/>
    <n v="1.12855397"/>
    <n v="3.55042217"/>
    <s v="Direct"/>
    <s v="NA"/>
  </r>
  <r>
    <x v="0"/>
    <x v="0"/>
    <s v="Ofaveolata004305"/>
    <n v="-1.1895492999999999"/>
    <n v="-1.7475825"/>
    <s v="Direct"/>
    <s v="ABC-2 type transporter"/>
  </r>
  <r>
    <x v="0"/>
    <x v="0"/>
    <s v="Ofaveolata004379"/>
    <n v="-1.5056252999999999"/>
    <n v="-3.3290478000000001"/>
    <s v="Direct"/>
    <s v="Olfactomedin-like 2A"/>
  </r>
  <r>
    <x v="0"/>
    <x v="0"/>
    <s v="Ofaveolata004422"/>
    <n v="-1.8228294"/>
    <n v="-4.5902652000000002"/>
    <s v="Direct"/>
    <s v="NA"/>
  </r>
  <r>
    <x v="0"/>
    <x v="0"/>
    <s v="Ofaveolata004466"/>
    <n v="-1.2972374"/>
    <n v="-1.7796763"/>
    <s v="Direct"/>
    <s v="Leukocyte cysteine proteinase inhibitor 1-like"/>
  </r>
  <r>
    <x v="0"/>
    <x v="0"/>
    <s v="Ofaveolata004483"/>
    <n v="-1.3494366"/>
    <n v="-1.5886823000000001"/>
    <s v="Direct"/>
    <s v="RNA splicing"/>
  </r>
  <r>
    <x v="0"/>
    <x v="0"/>
    <s v="Ofaveolata004497"/>
    <n v="-3.0414812000000002"/>
    <n v="-3.4931779999999999"/>
    <s v="Direct"/>
    <s v="mRNA methylation"/>
  </r>
  <r>
    <x v="0"/>
    <x v="0"/>
    <s v="Ofaveolata004517"/>
    <n v="-1.2942838000000001"/>
    <n v="-4.4064987000000002"/>
    <s v="Direct"/>
    <s v="NA"/>
  </r>
  <r>
    <x v="0"/>
    <x v="0"/>
    <s v="Ofaveolata004521"/>
    <n v="-2.5624459000000002"/>
    <n v="-7.0929244000000002"/>
    <s v="Direct"/>
    <s v="NA"/>
  </r>
  <r>
    <x v="0"/>
    <x v="0"/>
    <s v="Ofaveolata004522"/>
    <n v="-1.3353626999999999"/>
    <n v="-5.2092228"/>
    <s v="Direct"/>
    <s v="NA"/>
  </r>
  <r>
    <x v="0"/>
    <x v="0"/>
    <s v="Ofaveolata004539"/>
    <n v="-2.3729827000000001"/>
    <n v="-1.8679342999999999"/>
    <s v="Direct"/>
    <s v="telomeric repeat-containing RNA binding"/>
  </r>
  <r>
    <x v="0"/>
    <x v="0"/>
    <s v="Ofaveolata004555"/>
    <n v="1.4055139299999999"/>
    <n v="3.85881009"/>
    <s v="Direct"/>
    <s v="NA"/>
  </r>
  <r>
    <x v="0"/>
    <x v="0"/>
    <s v="Ofaveolata004574"/>
    <n v="1.1064981300000001"/>
    <n v="1.12272824"/>
    <s v="Direct"/>
    <s v="NA"/>
  </r>
  <r>
    <x v="0"/>
    <x v="0"/>
    <s v="Ofaveolata004632"/>
    <n v="-1.9825865"/>
    <n v="-1.4411301000000001"/>
    <s v="Direct"/>
    <s v="Atrial natriuretic peptide receptor"/>
  </r>
  <r>
    <x v="0"/>
    <x v="0"/>
    <s v="Ofaveolata004705"/>
    <n v="-5.8834194999999996"/>
    <n v="-3.4639541"/>
    <s v="Direct"/>
    <s v="NA"/>
  </r>
  <r>
    <x v="0"/>
    <x v="0"/>
    <s v="Ofaveolata004759"/>
    <n v="-1.3459383"/>
    <n v="-1.3285947"/>
    <s v="Direct"/>
    <s v="NA"/>
  </r>
  <r>
    <x v="0"/>
    <x v="0"/>
    <s v="Ofaveolata004774"/>
    <n v="1.3459382799999999"/>
    <n v="-3.0143650000000002"/>
    <s v="Inverse"/>
    <s v="NA"/>
  </r>
  <r>
    <x v="0"/>
    <x v="0"/>
    <s v="Ofaveolata004811"/>
    <n v="-1.3066062000000001"/>
    <n v="-6.0995077000000002"/>
    <s v="Direct"/>
    <s v="NA"/>
  </r>
  <r>
    <x v="0"/>
    <x v="0"/>
    <s v="Ofaveolata004818"/>
    <n v="-1.5311011000000001"/>
    <n v="-5.0079181000000004"/>
    <s v="Direct"/>
    <s v="NA"/>
  </r>
  <r>
    <x v="0"/>
    <x v="0"/>
    <s v="Ofaveolata004832"/>
    <n v="2.7827847299999999"/>
    <n v="1.88308046"/>
    <s v="Direct"/>
    <s v="NA"/>
  </r>
  <r>
    <x v="0"/>
    <x v="0"/>
    <s v="Ofaveolata004859"/>
    <n v="-2.59945"/>
    <n v="-4.4485004999999997"/>
    <s v="Direct"/>
    <s v="NA"/>
  </r>
  <r>
    <x v="0"/>
    <x v="0"/>
    <s v="Ofaveolata004870"/>
    <n v="-1.9511797"/>
    <n v="-2.7920617000000001"/>
    <s v="Direct"/>
    <s v="NA"/>
  </r>
  <r>
    <x v="0"/>
    <x v="0"/>
    <s v="Ofaveolata004958"/>
    <n v="2.1477373100000001"/>
    <n v="7.9377910299999996"/>
    <s v="Direct"/>
    <s v="protein xylosyltransferase activity"/>
  </r>
  <r>
    <x v="0"/>
    <x v="0"/>
    <s v="Ofaveolata004983"/>
    <n v="2.4765486499999998"/>
    <n v="3.6941266100000001"/>
    <s v="Direct"/>
    <s v="NA"/>
  </r>
  <r>
    <x v="0"/>
    <x v="0"/>
    <s v="Ofaveolata005006"/>
    <n v="-3.3026412000000001"/>
    <n v="-5.6294529000000004"/>
    <s v="Direct"/>
    <s v="fibroblast growth factor binding"/>
  </r>
  <r>
    <x v="0"/>
    <x v="0"/>
    <s v="Ofaveolata005127"/>
    <n v="-11.094051"/>
    <n v="-7.6691824999999998"/>
    <s v="Direct"/>
    <s v="metalloendopeptidase activity"/>
  </r>
  <r>
    <x v="0"/>
    <x v="0"/>
    <s v="Ofaveolata005179"/>
    <n v="-1.0989834999999999"/>
    <n v="-2.3692484999999999"/>
    <s v="Direct"/>
    <s v="Neurotransmitter-gated ion-channel ligand binding domain"/>
  </r>
  <r>
    <x v="0"/>
    <x v="0"/>
    <s v="Ofaveolata005234"/>
    <n v="1.43690684"/>
    <n v="2.0610180599999999"/>
    <s v="Direct"/>
    <s v="small ribosomal subunit rRNA binding"/>
  </r>
  <r>
    <x v="0"/>
    <x v="0"/>
    <s v="Ofaveolata005325"/>
    <n v="-1.0319"/>
    <n v="-7.1168106"/>
    <s v="Direct"/>
    <s v="sequestering of actin monomers"/>
  </r>
  <r>
    <x v="0"/>
    <x v="0"/>
    <s v="Ofaveolata005554"/>
    <n v="1.48354053"/>
    <n v="1.4100961400000001"/>
    <s v="Direct"/>
    <s v="NA"/>
  </r>
  <r>
    <x v="0"/>
    <x v="0"/>
    <s v="Ofaveolata005637"/>
    <n v="2.8885203100000001"/>
    <n v="6.0424470499999998"/>
    <s v="Direct"/>
    <s v="acyl-L-homoserine-lactone lactonohydrolase activity"/>
  </r>
  <r>
    <x v="0"/>
    <x v="0"/>
    <s v="Ofaveolata005644"/>
    <n v="1.16247696"/>
    <n v="1.85358957"/>
    <s v="Direct"/>
    <s v="NA"/>
  </r>
  <r>
    <x v="0"/>
    <x v="0"/>
    <s v="Ofaveolata005794"/>
    <n v="-1.2422662"/>
    <n v="-6.3450261000000001"/>
    <s v="Direct"/>
    <s v="protein homooligomerization"/>
  </r>
  <r>
    <x v="0"/>
    <x v="0"/>
    <s v="Ofaveolata005888"/>
    <n v="-3.0573901999999999"/>
    <n v="-4.3348773999999999"/>
    <s v="Direct"/>
    <s v="denticleless E3 ubiquitin protein ligase homolog (Drosophila)"/>
  </r>
  <r>
    <x v="0"/>
    <x v="0"/>
    <s v="Ofaveolata005963"/>
    <n v="1.7990142099999999"/>
    <n v="3.6541566400000001"/>
    <s v="Direct"/>
    <s v="Zinc-dependent metalloprotease"/>
  </r>
  <r>
    <x v="0"/>
    <x v="0"/>
    <s v="Ofaveolata006009"/>
    <n v="-1.5080260999999999"/>
    <n v="-1.9502666"/>
    <s v="Direct"/>
    <s v="regulation of mitotic cell cycle"/>
  </r>
  <r>
    <x v="0"/>
    <x v="0"/>
    <s v="Ofaveolata006010"/>
    <n v="2.1812181599999998"/>
    <n v="1.78217369"/>
    <s v="Direct"/>
    <s v="Catalyzes the hydrolysis of N-formyl-L-kynurenine to L- kynurenine, the second step in the kynurenine pathway of tryptophan degradation. Kynurenine may be further oxidized to nicotinic acid, NAD(H) and NADP(H). Required for elimination of toxic metabolite"/>
  </r>
  <r>
    <x v="0"/>
    <x v="0"/>
    <s v="Ofaveolata006036"/>
    <n v="2.52081819"/>
    <n v="3.8693981499999999"/>
    <s v="Direct"/>
    <s v="NA"/>
  </r>
  <r>
    <x v="0"/>
    <x v="0"/>
    <s v="Ofaveolata006080"/>
    <n v="-5.8834194999999996"/>
    <n v="-5.0926562999999998"/>
    <s v="Direct"/>
    <s v="TNF receptor-associated factor BIRC3 binding domain"/>
  </r>
  <r>
    <x v="0"/>
    <x v="0"/>
    <s v="Ofaveolata006094"/>
    <n v="1.19586697"/>
    <n v="1.13384314"/>
    <s v="Direct"/>
    <s v="phosphatidylinositol-3-phosphate binding"/>
  </r>
  <r>
    <x v="0"/>
    <x v="0"/>
    <s v="Ofaveolata006101"/>
    <n v="-1.0967304"/>
    <n v="-3.4911623999999999"/>
    <s v="Direct"/>
    <s v="NA"/>
  </r>
  <r>
    <x v="0"/>
    <x v="0"/>
    <s v="Ofaveolata006118"/>
    <n v="-1.3066062000000001"/>
    <n v="-1.1949327000000001"/>
    <s v="Direct"/>
    <s v="UDP-sugar diphosphatase activity"/>
  </r>
  <r>
    <x v="0"/>
    <x v="0"/>
    <s v="Ofaveolata006126"/>
    <n v="1.22416276"/>
    <n v="-1.6145206999999999"/>
    <s v="Inverse"/>
    <s v="NA"/>
  </r>
  <r>
    <x v="0"/>
    <x v="0"/>
    <s v="Ofaveolata006157"/>
    <n v="-1.6091599000000001"/>
    <n v="-3.7396436"/>
    <s v="Direct"/>
    <s v="NA"/>
  </r>
  <r>
    <x v="0"/>
    <x v="0"/>
    <s v="Ofaveolata006193"/>
    <n v="1.3870265100000001"/>
    <n v="8.1009506600000005"/>
    <s v="Direct"/>
    <s v="NA"/>
  </r>
  <r>
    <x v="0"/>
    <x v="0"/>
    <s v="Ofaveolata006215"/>
    <n v="2.5961663499999998"/>
    <n v="6.5856905599999997"/>
    <s v="Direct"/>
    <s v="NA"/>
  </r>
  <r>
    <x v="0"/>
    <x v="0"/>
    <s v="Ofaveolata006236"/>
    <n v="-4.5551382"/>
    <n v="-3.5306905"/>
    <s v="Direct"/>
    <s v="NA"/>
  </r>
  <r>
    <x v="0"/>
    <x v="0"/>
    <s v="Ofaveolata006314"/>
    <n v="1.7977526699999999"/>
    <n v="8.1202271800000005"/>
    <s v="Direct"/>
    <s v="polycystic kidney disease protein 1-like"/>
  </r>
  <r>
    <x v="0"/>
    <x v="0"/>
    <s v="Ofaveolata006376"/>
    <n v="-1.5299948000000001"/>
    <n v="-1.7170154"/>
    <s v="Direct"/>
    <s v="NA"/>
  </r>
  <r>
    <x v="0"/>
    <x v="0"/>
    <s v="Ofaveolata006385"/>
    <n v="1.8179299799999999"/>
    <n v="7.0013766500000001"/>
    <s v="Direct"/>
    <s v="NA"/>
  </r>
  <r>
    <x v="0"/>
    <x v="0"/>
    <s v="Ofaveolata006433"/>
    <n v="-6.2102950000000003"/>
    <n v="-6.6841748000000001"/>
    <s v="Direct"/>
    <s v="NA"/>
  </r>
  <r>
    <x v="0"/>
    <x v="0"/>
    <s v="Ofaveolata006440"/>
    <n v="-2.1074978999999998"/>
    <n v="-1.2753591"/>
    <s v="Direct"/>
    <s v="NA"/>
  </r>
  <r>
    <x v="0"/>
    <x v="0"/>
    <s v="Ofaveolata006629"/>
    <n v="-1.7429808"/>
    <n v="-2.4524447"/>
    <s v="Direct"/>
    <s v="NAD/NADP octopine/nopaline dehydrogenase, alpha-helical domain"/>
  </r>
  <r>
    <x v="0"/>
    <x v="0"/>
    <s v="Ofaveolata006864"/>
    <n v="-1.1820614"/>
    <n v="-1.4707743"/>
    <s v="Direct"/>
    <s v="NA"/>
  </r>
  <r>
    <x v="0"/>
    <x v="0"/>
    <s v="Ofaveolata006878"/>
    <n v="-1.2799897"/>
    <n v="-13.206531999999999"/>
    <s v="Direct"/>
    <s v="NA"/>
  </r>
  <r>
    <x v="0"/>
    <x v="0"/>
    <s v="Ofaveolata006892"/>
    <n v="1.1895492700000001"/>
    <n v="2.38995559"/>
    <s v="Direct"/>
    <s v="NA"/>
  </r>
  <r>
    <x v="0"/>
    <x v="0"/>
    <s v="Ofaveolata007058"/>
    <n v="1.67981384"/>
    <n v="1.71278537"/>
    <s v="Direct"/>
    <s v="NA"/>
  </r>
  <r>
    <x v="0"/>
    <x v="0"/>
    <s v="Ofaveolata007085"/>
    <n v="-1.0080566"/>
    <n v="-2.9109189"/>
    <s v="Direct"/>
    <s v="NA"/>
  </r>
  <r>
    <x v="0"/>
    <x v="0"/>
    <s v="Ofaveolata007089"/>
    <n v="-1.172159"/>
    <n v="-2.5619550000000002"/>
    <s v="Direct"/>
    <s v="D-glutamate cyclase activity"/>
  </r>
  <r>
    <x v="0"/>
    <x v="0"/>
    <s v="Ofaveolata007117"/>
    <n v="1.6305035000000001"/>
    <n v="-1.0889234999999999"/>
    <s v="Inverse"/>
    <s v="kinetochore-associated protein 1"/>
  </r>
  <r>
    <x v="0"/>
    <x v="0"/>
    <s v="Ofaveolata007289"/>
    <n v="-1.1025543"/>
    <n v="-1.9398067999999999"/>
    <s v="Direct"/>
    <s v="NA"/>
  </r>
  <r>
    <x v="0"/>
    <x v="0"/>
    <s v="Ofaveolata007369"/>
    <n v="1.0211802299999999"/>
    <n v="5.6991065299999999"/>
    <s v="Direct"/>
    <s v="NA"/>
  </r>
  <r>
    <x v="0"/>
    <x v="0"/>
    <s v="Ofaveolata007406"/>
    <n v="-2.4981711"/>
    <n v="-8.5834997000000008"/>
    <s v="Direct"/>
    <s v="NA"/>
  </r>
  <r>
    <x v="0"/>
    <x v="0"/>
    <s v="Ofaveolata007437"/>
    <n v="-1.3750004"/>
    <n v="-5.5592667999999996"/>
    <s v="Direct"/>
    <s v="acetyl-CoA metabolic process"/>
  </r>
  <r>
    <x v="0"/>
    <x v="0"/>
    <s v="Ofaveolata007471"/>
    <n v="-2.5542945000000001"/>
    <n v="-2.0620400999999999"/>
    <s v="Direct"/>
    <s v="structural constituent of eye lens"/>
  </r>
  <r>
    <x v="0"/>
    <x v="0"/>
    <s v="Ofaveolata007472"/>
    <n v="1.4867733700000001"/>
    <n v="1.0872814"/>
    <s v="Direct"/>
    <s v="serine threonine"/>
  </r>
  <r>
    <x v="0"/>
    <x v="0"/>
    <s v="Ofaveolata007504"/>
    <n v="4.2132947100000004"/>
    <n v="4.4453234500000001"/>
    <s v="Direct"/>
    <s v="Thrombospondin type 1 repeats"/>
  </r>
  <r>
    <x v="0"/>
    <x v="0"/>
    <s v="Ofaveolata007580"/>
    <n v="1.77388298"/>
    <n v="5.2896767000000002"/>
    <s v="Direct"/>
    <s v="BTB/POZ domain"/>
  </r>
  <r>
    <x v="0"/>
    <x v="0"/>
    <s v="Ofaveolata007632"/>
    <n v="3.92667213"/>
    <n v="6.5459741899999999"/>
    <s v="Direct"/>
    <s v="NA"/>
  </r>
  <r>
    <x v="0"/>
    <x v="0"/>
    <s v="Ofaveolata007703"/>
    <n v="1.58381415"/>
    <n v="8.9851816699999993"/>
    <s v="Direct"/>
    <s v="coreceptor activity involved in Wnt signaling pathway, planar cell polarity pathway"/>
  </r>
  <r>
    <x v="0"/>
    <x v="0"/>
    <s v="Ofaveolata007726"/>
    <n v="-2.2942170000000002"/>
    <n v="-6.0971320999999996"/>
    <s v="Direct"/>
    <s v="NA"/>
  </r>
  <r>
    <x v="0"/>
    <x v="0"/>
    <s v="Ofaveolata007733"/>
    <n v="-1.1491414"/>
    <n v="-1.2497210999999999"/>
    <s v="Direct"/>
    <s v="NA"/>
  </r>
  <r>
    <x v="0"/>
    <x v="0"/>
    <s v="Ofaveolata007735"/>
    <n v="-2.1478169999999999"/>
    <n v="-1.1413758000000001"/>
    <s v="Direct"/>
    <s v="Testis-expressed sequence 30 protein"/>
  </r>
  <r>
    <x v="0"/>
    <x v="0"/>
    <s v="Ofaveolata007736"/>
    <n v="-1.3215907"/>
    <n v="-2.3385794"/>
    <s v="Direct"/>
    <s v="NA"/>
  </r>
  <r>
    <x v="0"/>
    <x v="0"/>
    <s v="Ofaveolata007809"/>
    <n v="5.8022330100000001"/>
    <n v="10.6095322"/>
    <s v="Direct"/>
    <s v="Dispatched homolog 1"/>
  </r>
  <r>
    <x v="0"/>
    <x v="0"/>
    <s v="Ofaveolata007823"/>
    <n v="-1.4069474"/>
    <n v="-2.9445502000000001"/>
    <s v="Direct"/>
    <s v="toxin transport"/>
  </r>
  <r>
    <x v="0"/>
    <x v="0"/>
    <s v="Ofaveolata007882"/>
    <n v="1.02575113"/>
    <n v="1.9766785099999999"/>
    <s v="Direct"/>
    <s v="Claspin isoform"/>
  </r>
  <r>
    <x v="0"/>
    <x v="0"/>
    <s v="Ofaveolata007900"/>
    <n v="1.3511190399999999"/>
    <n v="5.4980153100000004"/>
    <s v="Direct"/>
    <s v="L-2-hydroxyglutarate dehydrogenase"/>
  </r>
  <r>
    <x v="0"/>
    <x v="0"/>
    <s v="Ofaveolata008057"/>
    <n v="1.4625209100000001"/>
    <n v="4.3949748399999997"/>
    <s v="Direct"/>
    <s v="positive regulation of inhibitory postsynaptic potential"/>
  </r>
  <r>
    <x v="0"/>
    <x v="0"/>
    <s v="Ofaveolata008168"/>
    <n v="3.2083629"/>
    <n v="6.3883310900000003"/>
    <s v="Direct"/>
    <s v="NA"/>
  </r>
  <r>
    <x v="0"/>
    <x v="0"/>
    <s v="Ofaveolata008214"/>
    <n v="5.8834194799999997"/>
    <n v="3.7522265400000001"/>
    <s v="Direct"/>
    <s v="NA"/>
  </r>
  <r>
    <x v="0"/>
    <x v="0"/>
    <s v="Ofaveolata008240"/>
    <n v="2.6641517000000001"/>
    <n v="4.6913777999999997"/>
    <s v="Direct"/>
    <s v="protein-DNA loading ATPase activity"/>
  </r>
  <r>
    <x v="0"/>
    <x v="0"/>
    <s v="Ofaveolata008243"/>
    <n v="-2.5555411000000001"/>
    <n v="-1.9097881000000001"/>
    <s v="Direct"/>
    <s v="Neuronal pentraxin 2b"/>
  </r>
  <r>
    <x v="0"/>
    <x v="0"/>
    <s v="Ofaveolata008273"/>
    <n v="2.7272905299999999"/>
    <n v="3.2157735700000001"/>
    <s v="Direct"/>
    <s v="Carboxylesterase family"/>
  </r>
  <r>
    <x v="0"/>
    <x v="0"/>
    <s v="Ofaveolata008303"/>
    <n v="1.4180192700000001"/>
    <n v="2.3335569999999999"/>
    <s v="Direct"/>
    <s v="regulation of MAPK export from nucleus"/>
  </r>
  <r>
    <x v="0"/>
    <x v="0"/>
    <s v="Ofaveolata008306"/>
    <n v="1.1895492700000001"/>
    <n v="3.9126482899999999"/>
    <s v="Direct"/>
    <s v="NA"/>
  </r>
  <r>
    <x v="0"/>
    <x v="0"/>
    <s v="Ofaveolata008311"/>
    <n v="6.1059367"/>
    <n v="11.9045291"/>
    <s v="Direct"/>
    <s v="calcium ion binding"/>
  </r>
  <r>
    <x v="0"/>
    <x v="0"/>
    <s v="Ofaveolata008505"/>
    <n v="-1.6775665"/>
    <n v="-1.0584484000000001"/>
    <s v="Direct"/>
    <s v="Poly (ADP-ribose) polymerase"/>
  </r>
  <r>
    <x v="0"/>
    <x v="0"/>
    <s v="Ofaveolata008507"/>
    <n v="-2.1340127"/>
    <n v="-3.8419118000000001"/>
    <s v="Direct"/>
    <s v="NA"/>
  </r>
  <r>
    <x v="0"/>
    <x v="0"/>
    <s v="Ofaveolata008573"/>
    <n v="-1.3852279999999999"/>
    <n v="-12.584982"/>
    <s v="Direct"/>
    <s v="Zinc-finger (CX5CX6HX5H) motif"/>
  </r>
  <r>
    <x v="0"/>
    <x v="0"/>
    <s v="Ofaveolata008625"/>
    <n v="3.2260716999999999"/>
    <n v="1.53189946"/>
    <s v="Direct"/>
    <s v="dyslexia-associated protein"/>
  </r>
  <r>
    <x v="0"/>
    <x v="0"/>
    <s v="Ofaveolata008630"/>
    <n v="4.0587574599999998"/>
    <n v="1.5893334699999999"/>
    <s v="Direct"/>
    <s v="LicD family"/>
  </r>
  <r>
    <x v="0"/>
    <x v="0"/>
    <s v="Ofaveolata008648"/>
    <n v="1.22337089"/>
    <n v="1.3590943799999999"/>
    <s v="Direct"/>
    <s v="NA"/>
  </r>
  <r>
    <x v="0"/>
    <x v="0"/>
    <s v="Ofaveolata008666"/>
    <n v="1.48410669"/>
    <n v="-4.182944"/>
    <s v="Inverse"/>
    <s v="NA"/>
  </r>
  <r>
    <x v="0"/>
    <x v="0"/>
    <s v="Ofaveolata008732"/>
    <n v="-2.1812182"/>
    <n v="-1.0718496"/>
    <s v="Direct"/>
    <s v="NA"/>
  </r>
  <r>
    <x v="0"/>
    <x v="0"/>
    <s v="Ofaveolata008922"/>
    <n v="1.0693553200000001"/>
    <n v="1.4276255600000001"/>
    <s v="Direct"/>
    <s v="NA"/>
  </r>
  <r>
    <x v="0"/>
    <x v="0"/>
    <s v="Ofaveolata008925"/>
    <n v="1.01600413"/>
    <n v="1.23655475"/>
    <s v="Direct"/>
    <s v="NA"/>
  </r>
  <r>
    <x v="0"/>
    <x v="0"/>
    <s v="Ofaveolata008980"/>
    <n v="-1.2291553"/>
    <n v="-1.4304098000000001"/>
    <s v="Direct"/>
    <s v="positive regulation of interleukin-13 biosynthetic process"/>
  </r>
  <r>
    <x v="0"/>
    <x v="0"/>
    <s v="Ofaveolata009089"/>
    <n v="-1.9675901"/>
    <n v="-2.5150044"/>
    <s v="Direct"/>
    <s v="NA"/>
  </r>
  <r>
    <x v="0"/>
    <x v="0"/>
    <s v="Ofaveolata009131"/>
    <n v="1.0211802299999999"/>
    <n v="1.95597463"/>
    <s v="Direct"/>
    <s v="NA"/>
  </r>
  <r>
    <x v="0"/>
    <x v="0"/>
    <s v="Ofaveolata009424"/>
    <n v="8.6664355099999995"/>
    <n v="6.7506576999999997"/>
    <s v="Direct"/>
    <s v="NA"/>
  </r>
  <r>
    <x v="0"/>
    <x v="0"/>
    <s v="Ofaveolata009557"/>
    <n v="1.10448642"/>
    <n v="2.3084889899999999"/>
    <s v="Direct"/>
    <s v="NA"/>
  </r>
  <r>
    <x v="0"/>
    <x v="0"/>
    <s v="Ofaveolata009601"/>
    <n v="-2.2167091000000001"/>
    <n v="-1.5129918"/>
    <s v="Direct"/>
    <s v="NA"/>
  </r>
  <r>
    <x v="0"/>
    <x v="0"/>
    <s v="Ofaveolata009609"/>
    <n v="-1.4820723"/>
    <n v="-1.4265600000000001"/>
    <s v="Direct"/>
    <s v="RNA binding motif protein"/>
  </r>
  <r>
    <x v="0"/>
    <x v="0"/>
    <s v="Ofaveolata009671"/>
    <n v="-1.0899939000000001"/>
    <n v="-1.4266992000000001"/>
    <s v="Direct"/>
    <s v="NA"/>
  </r>
  <r>
    <x v="0"/>
    <x v="0"/>
    <s v="Ofaveolata009704"/>
    <n v="-1.6560325"/>
    <n v="-1.8639443"/>
    <s v="Direct"/>
    <s v="anaerobic respiration"/>
  </r>
  <r>
    <x v="0"/>
    <x v="0"/>
    <s v="Ofaveolata009742"/>
    <n v="1.5697892099999999"/>
    <n v="1.21136149"/>
    <s v="Direct"/>
    <s v="NA"/>
  </r>
  <r>
    <x v="0"/>
    <x v="0"/>
    <s v="Ofaveolata009751"/>
    <n v="1.07383389"/>
    <n v="11.6081705"/>
    <s v="Direct"/>
    <s v="intracellular protein transport"/>
  </r>
  <r>
    <x v="0"/>
    <x v="0"/>
    <s v="Ofaveolata009759"/>
    <n v="1.4673840300000001"/>
    <n v="10.119721200000001"/>
    <s v="Direct"/>
    <s v="nicotinate nucleotide biosynthetic process"/>
  </r>
  <r>
    <x v="0"/>
    <x v="0"/>
    <s v="Ofaveolata009785"/>
    <n v="3.1779679700000001"/>
    <n v="5.4359440499999998"/>
    <s v="Direct"/>
    <s v="NADP-retinol dehydrogenase activity"/>
  </r>
  <r>
    <x v="0"/>
    <x v="0"/>
    <s v="Ofaveolata009795"/>
    <n v="-2.0088482000000001"/>
    <n v="-1.6813984"/>
    <s v="Direct"/>
    <s v="NA"/>
  </r>
  <r>
    <x v="0"/>
    <x v="0"/>
    <s v="Ofaveolata009975"/>
    <n v="-1.0891356999999999"/>
    <n v="-1.2182956"/>
    <s v="Direct"/>
    <s v="NA"/>
  </r>
  <r>
    <x v="0"/>
    <x v="0"/>
    <s v="Ofaveolata010034"/>
    <n v="1.8525631199999999"/>
    <n v="12.8179236"/>
    <s v="Direct"/>
    <s v="NA"/>
  </r>
  <r>
    <x v="0"/>
    <x v="0"/>
    <s v="Ofaveolata010068"/>
    <n v="1.67981384"/>
    <n v="2.41344768"/>
    <s v="Direct"/>
    <s v="tachykinin receptor activity"/>
  </r>
  <r>
    <x v="0"/>
    <x v="0"/>
    <s v="Ofaveolata010074"/>
    <n v="1.1800766"/>
    <n v="4.1770471699999998"/>
    <s v="Direct"/>
    <s v="lipid transport"/>
  </r>
  <r>
    <x v="0"/>
    <x v="0"/>
    <s v="Ofaveolata010088"/>
    <n v="1.1364848599999999"/>
    <n v="1.0319018099999999"/>
    <s v="Direct"/>
    <s v="process utilizing autophagic mechanism"/>
  </r>
  <r>
    <x v="0"/>
    <x v="0"/>
    <s v="Ofaveolata010224"/>
    <n v="-2.3880035999999998"/>
    <n v="-5.8833694000000003"/>
    <s v="Direct"/>
    <s v="NA"/>
  </r>
  <r>
    <x v="0"/>
    <x v="0"/>
    <s v="Ofaveolata010246"/>
    <n v="2.2380121399999999"/>
    <n v="-1.5218488999999999"/>
    <s v="Inverse"/>
    <s v="DNA-directed RNA polymerase III subunit"/>
  </r>
  <r>
    <x v="0"/>
    <x v="0"/>
    <s v="Ofaveolata010265"/>
    <n v="-1.3998415"/>
    <n v="-12.73874"/>
    <s v="Direct"/>
    <s v="ATPase activity"/>
  </r>
  <r>
    <x v="0"/>
    <x v="0"/>
    <s v="Ofaveolata010383"/>
    <n v="1.3995664999999999"/>
    <n v="4.7923529499999997"/>
    <s v="Direct"/>
    <s v="6-phosphofructo-2-kinase activity"/>
  </r>
  <r>
    <x v="0"/>
    <x v="0"/>
    <s v="Ofaveolata010399"/>
    <n v="1.1957464799999999"/>
    <n v="1.78319261"/>
    <s v="Direct"/>
    <s v="organic anion transmembrane transporter activity"/>
  </r>
  <r>
    <x v="0"/>
    <x v="0"/>
    <s v="Ofaveolata010474"/>
    <n v="1.9716568000000001"/>
    <n v="4.0589744100000003"/>
    <s v="Direct"/>
    <s v="NA"/>
  </r>
  <r>
    <x v="0"/>
    <x v="0"/>
    <s v="Ofaveolata010559"/>
    <n v="-3.9077199999999999"/>
    <n v="-2.1688333000000002"/>
    <s v="Direct"/>
    <s v="NA"/>
  </r>
  <r>
    <x v="0"/>
    <x v="0"/>
    <s v="Ofaveolata010622"/>
    <n v="1.4153232"/>
    <n v="8.4160681400000001"/>
    <s v="Direct"/>
    <s v="Leucine-rich repeat protein"/>
  </r>
  <r>
    <x v="0"/>
    <x v="0"/>
    <s v="Ofaveolata010661"/>
    <n v="-1.1330981"/>
    <n v="-4.2358228999999996"/>
    <s v="Direct"/>
    <s v="NA"/>
  </r>
  <r>
    <x v="0"/>
    <x v="0"/>
    <s v="Ofaveolata010678"/>
    <n v="1.8924459300000001"/>
    <n v="2.3507995400000001"/>
    <s v="Direct"/>
    <s v="Solute carrier family 39 (zinc transporter), member 14"/>
  </r>
  <r>
    <x v="0"/>
    <x v="0"/>
    <s v="Ofaveolata010679"/>
    <n v="1.2022635399999999"/>
    <n v="1.03443193"/>
    <s v="Direct"/>
    <s v="ZIP Zinc transporter"/>
  </r>
  <r>
    <x v="0"/>
    <x v="0"/>
    <s v="Ofaveolata010685"/>
    <n v="3.0212460600000002"/>
    <n v="3.2198362899999999"/>
    <s v="Direct"/>
    <s v="NA"/>
  </r>
  <r>
    <x v="0"/>
    <x v="0"/>
    <s v="Ofaveolata010751"/>
    <n v="4.46233609"/>
    <n v="7.80037088"/>
    <s v="Direct"/>
    <s v="NA"/>
  </r>
  <r>
    <x v="0"/>
    <x v="0"/>
    <s v="Ofaveolata010805"/>
    <n v="-1.4369068"/>
    <n v="-2.3531414000000002"/>
    <s v="Direct"/>
    <s v="NA"/>
  </r>
  <r>
    <x v="0"/>
    <x v="0"/>
    <s v="Ofaveolata010838"/>
    <n v="2.6422900399999998"/>
    <n v="2.15087312"/>
    <s v="Direct"/>
    <s v="cell-matrix adhesion"/>
  </r>
  <r>
    <x v="0"/>
    <x v="0"/>
    <s v="Ofaveolata010856"/>
    <n v="1.35124212"/>
    <n v="4.9793984900000003"/>
    <s v="Direct"/>
    <s v="RNA polymerase"/>
  </r>
  <r>
    <x v="0"/>
    <x v="0"/>
    <s v="Ofaveolata010866"/>
    <n v="-2.9486555000000001"/>
    <n v="-13.244130999999999"/>
    <s v="Direct"/>
    <s v="NA"/>
  </r>
  <r>
    <x v="0"/>
    <x v="0"/>
    <s v="Ofaveolata010902"/>
    <n v="2.5354853799999999"/>
    <n v="9.5730140600000002"/>
    <s v="Direct"/>
    <s v="NA"/>
  </r>
  <r>
    <x v="0"/>
    <x v="0"/>
    <s v="Ofaveolata010913"/>
    <n v="-1.5697892"/>
    <n v="-3.2896054000000001"/>
    <s v="Direct"/>
    <s v="Valosin containing protein (p97) p47 complex interacting protein 1"/>
  </r>
  <r>
    <x v="0"/>
    <x v="0"/>
    <s v="Ofaveolata010925"/>
    <n v="-3.9989145000000001"/>
    <n v="-5.8942598999999998"/>
    <s v="Direct"/>
    <s v="NA"/>
  </r>
  <r>
    <x v="0"/>
    <x v="0"/>
    <s v="Ofaveolata011135"/>
    <n v="4.5852728200000001"/>
    <n v="3.8419118499999998"/>
    <s v="Direct"/>
    <s v="NA"/>
  </r>
  <r>
    <x v="0"/>
    <x v="0"/>
    <s v="Ofaveolata011256"/>
    <n v="-2.7934899"/>
    <n v="-2.1065269999999998"/>
    <s v="Direct"/>
    <s v="phosphatidylserine binding"/>
  </r>
  <r>
    <x v="0"/>
    <x v="0"/>
    <s v="Ofaveolata011272"/>
    <n v="1.8205191700000001"/>
    <n v="2.0459141299999999"/>
    <s v="Direct"/>
    <s v="NA"/>
  </r>
  <r>
    <x v="0"/>
    <x v="0"/>
    <s v="Ofaveolata011371"/>
    <n v="1.78703699"/>
    <n v="4.0770369300000002"/>
    <s v="Direct"/>
    <s v="NA"/>
  </r>
  <r>
    <x v="0"/>
    <x v="0"/>
    <s v="Ofaveolata011372"/>
    <n v="1.9573239899999999"/>
    <n v="1.23547254"/>
    <s v="Direct"/>
    <s v="NA"/>
  </r>
  <r>
    <x v="0"/>
    <x v="0"/>
    <s v="Ofaveolata011377"/>
    <n v="1.33672777"/>
    <n v="1.3658348499999999"/>
    <s v="Direct"/>
    <s v="heterogeneous nuclear ribonucleoprotein"/>
  </r>
  <r>
    <x v="0"/>
    <x v="0"/>
    <s v="Ofaveolata011382"/>
    <n v="-1.2422662"/>
    <n v="-2.0453731999999998"/>
    <s v="Direct"/>
    <s v="positive regulation of DNA-binding transcription factor activity"/>
  </r>
  <r>
    <x v="0"/>
    <x v="0"/>
    <s v="Ofaveolata011407"/>
    <n v="-1.8242693999999999"/>
    <n v="-14.044271"/>
    <s v="Direct"/>
    <s v="N-acetyl-beta-glucosaminyl-glycoprotein 4-beta-N-acetylgalactosaminyltransferase activity"/>
  </r>
  <r>
    <x v="0"/>
    <x v="0"/>
    <s v="Ofaveolata011415"/>
    <n v="3.7841004599999999"/>
    <n v="5.73515979"/>
    <s v="Direct"/>
    <s v="NA"/>
  </r>
  <r>
    <x v="0"/>
    <x v="0"/>
    <s v="Ofaveolata011417"/>
    <n v="1.0032612299999999"/>
    <n v="2.8087290500000002"/>
    <s v="Direct"/>
    <s v="NA"/>
  </r>
  <r>
    <x v="0"/>
    <x v="0"/>
    <s v="Ofaveolata011443"/>
    <n v="1.5894104499999999"/>
    <n v="4.6710986300000004"/>
    <s v="Direct"/>
    <s v="Transcriptional regulator, SIX1, N-terminal SD domain"/>
  </r>
  <r>
    <x v="0"/>
    <x v="0"/>
    <s v="Ofaveolata011468"/>
    <n v="1.0032632800000001"/>
    <n v="1.0806741500000001"/>
    <s v="Direct"/>
    <s v="NA"/>
  </r>
  <r>
    <x v="0"/>
    <x v="0"/>
    <s v="Ofaveolata011478"/>
    <n v="1.4188925400000001"/>
    <n v="4.0919789199999999"/>
    <s v="Direct"/>
    <s v="NA"/>
  </r>
  <r>
    <x v="0"/>
    <x v="0"/>
    <s v="Ofaveolata011557"/>
    <n v="1.5613072100000001"/>
    <n v="1.4515678999999999"/>
    <s v="Direct"/>
    <s v="NA"/>
  </r>
  <r>
    <x v="0"/>
    <x v="0"/>
    <s v="Ofaveolata011609"/>
    <n v="1.2663247099999999"/>
    <n v="5.8094796100000003"/>
    <s v="Direct"/>
    <s v="NA"/>
  </r>
  <r>
    <x v="0"/>
    <x v="0"/>
    <s v="Ofaveolata011639"/>
    <n v="-1.3750004"/>
    <n v="-2.778578"/>
    <s v="Direct"/>
    <s v="NA"/>
  </r>
  <r>
    <x v="0"/>
    <x v="0"/>
    <s v="Ofaveolata011648"/>
    <n v="-1.5696558"/>
    <n v="-1.3240267999999999"/>
    <s v="Direct"/>
    <s v="Persulfide dioxygenase ETHE1"/>
  </r>
  <r>
    <x v="0"/>
    <x v="0"/>
    <s v="Ofaveolata011736"/>
    <n v="1.6530229599999999"/>
    <n v="2.38182369"/>
    <s v="Direct"/>
    <s v="NA"/>
  </r>
  <r>
    <x v="0"/>
    <x v="0"/>
    <s v="Ofaveolata011737"/>
    <n v="1.0804114499999999"/>
    <n v="7.3936959199999999"/>
    <s v="Direct"/>
    <s v="THAP domain containing"/>
  </r>
  <r>
    <x v="0"/>
    <x v="0"/>
    <s v="Ofaveolata011822"/>
    <n v="-1.3436303000000001"/>
    <n v="-1.3407783"/>
    <s v="Direct"/>
    <s v="NA"/>
  </r>
  <r>
    <x v="0"/>
    <x v="0"/>
    <s v="Ofaveolata011945"/>
    <n v="1.00889144"/>
    <n v="3.39292952"/>
    <s v="Direct"/>
    <s v="NA"/>
  </r>
  <r>
    <x v="0"/>
    <x v="0"/>
    <s v="Ofaveolata012133"/>
    <n v="1.2954907899999999"/>
    <n v="2.35564354"/>
    <s v="Direct"/>
    <s v="NA"/>
  </r>
  <r>
    <x v="0"/>
    <x v="0"/>
    <s v="Ofaveolata012179"/>
    <n v="1.00356563"/>
    <n v="1.96231887"/>
    <s v="Direct"/>
    <s v="NA"/>
  </r>
  <r>
    <x v="0"/>
    <x v="0"/>
    <s v="Ofaveolata012253"/>
    <n v="1.1841260899999999"/>
    <n v="8.7115959699999994"/>
    <s v="Direct"/>
    <s v="NA"/>
  </r>
  <r>
    <x v="0"/>
    <x v="0"/>
    <s v="Ofaveolata012289"/>
    <n v="1.1469393999999999"/>
    <n v="2.35964916"/>
    <s v="Direct"/>
    <s v="dipeptidyl-peptidase activity"/>
  </r>
  <r>
    <x v="0"/>
    <x v="0"/>
    <s v="Ofaveolata012297"/>
    <n v="-3.0512381"/>
    <n v="-3.9316344999999999"/>
    <s v="Direct"/>
    <s v="NA"/>
  </r>
  <r>
    <x v="0"/>
    <x v="0"/>
    <s v="Ofaveolata012310"/>
    <n v="-1.5445248"/>
    <n v="-1.6563333"/>
    <s v="Direct"/>
    <s v="U6 snRNA 3'-end processing"/>
  </r>
  <r>
    <x v="0"/>
    <x v="0"/>
    <s v="Ofaveolata012311"/>
    <n v="2.99983266"/>
    <n v="5.4531673100000004"/>
    <s v="Direct"/>
    <s v="NA"/>
  </r>
  <r>
    <x v="0"/>
    <x v="0"/>
    <s v="Ofaveolata012351"/>
    <n v="1.1513301199999999"/>
    <n v="4.0225286499999999"/>
    <s v="Direct"/>
    <s v="NA"/>
  </r>
  <r>
    <x v="0"/>
    <x v="0"/>
    <s v="Ofaveolata012389"/>
    <n v="-1.4550055"/>
    <n v="-3.0163465"/>
    <s v="Direct"/>
    <s v="NA"/>
  </r>
  <r>
    <x v="0"/>
    <x v="0"/>
    <s v="Ofaveolata012401"/>
    <n v="2.8178263800000001"/>
    <n v="-1.2629253"/>
    <s v="Inverse"/>
    <s v="NA"/>
  </r>
  <r>
    <x v="0"/>
    <x v="0"/>
    <s v="Ofaveolata012490"/>
    <n v="1.9023012699999999"/>
    <n v="2.0048975499999999"/>
    <s v="Direct"/>
    <s v="NA"/>
  </r>
  <r>
    <x v="0"/>
    <x v="0"/>
    <s v="Ofaveolata012498"/>
    <n v="-3.4576756999999998"/>
    <n v="-7.6709432"/>
    <s v="Direct"/>
    <s v="NA"/>
  </r>
  <r>
    <x v="0"/>
    <x v="0"/>
    <s v="Ofaveolata012651"/>
    <n v="-1.8217266999999999"/>
    <n v="-1.7404662"/>
    <s v="Direct"/>
    <s v="zinc ion binding"/>
  </r>
  <r>
    <x v="0"/>
    <x v="0"/>
    <s v="Ofaveolata012652"/>
    <n v="2.56987897"/>
    <n v="1.1369405400000001"/>
    <s v="Direct"/>
    <s v="NA"/>
  </r>
  <r>
    <x v="0"/>
    <x v="0"/>
    <s v="Ofaveolata012658"/>
    <n v="3.2637029800000001"/>
    <n v="1.5152311700000001"/>
    <s v="Direct"/>
    <s v="SUMO conjugating enzyme activity"/>
  </r>
  <r>
    <x v="0"/>
    <x v="0"/>
    <s v="Ofaveolata012670"/>
    <n v="-1.574465"/>
    <n v="-6.2044663"/>
    <s v="Direct"/>
    <s v="NA"/>
  </r>
  <r>
    <x v="0"/>
    <x v="0"/>
    <s v="Ofaveolata012682"/>
    <n v="-3.1468631"/>
    <n v="-8.9173448000000004"/>
    <s v="Direct"/>
    <s v="NA"/>
  </r>
  <r>
    <x v="0"/>
    <x v="0"/>
    <s v="Ofaveolata012800"/>
    <n v="2.1880100699999998"/>
    <n v="3.2868841799999999"/>
    <s v="Direct"/>
    <s v="NA"/>
  </r>
  <r>
    <x v="0"/>
    <x v="0"/>
    <s v="Ofaveolata012823"/>
    <n v="-1.4005158"/>
    <n v="-15.901203000000001"/>
    <s v="Direct"/>
    <s v="SCY1-like protein 2"/>
  </r>
  <r>
    <x v="0"/>
    <x v="0"/>
    <s v="Ofaveolata012847"/>
    <n v="-2.0714201999999999"/>
    <n v="-6.0375084000000001"/>
    <s v="Direct"/>
    <s v="sequence-specific DNA binding"/>
  </r>
  <r>
    <x v="0"/>
    <x v="0"/>
    <s v="Ofaveolata012851"/>
    <n v="2.11377719"/>
    <n v="3.78613643"/>
    <s v="Direct"/>
    <s v="NA"/>
  </r>
  <r>
    <x v="0"/>
    <x v="0"/>
    <s v="Ofaveolata012864"/>
    <n v="1.5646716700000001"/>
    <n v="7.14459088"/>
    <s v="Direct"/>
    <s v="NA"/>
  </r>
  <r>
    <x v="0"/>
    <x v="0"/>
    <s v="Ofaveolata012950"/>
    <n v="2.7827847299999999"/>
    <n v="2.1803750399999999"/>
    <s v="Direct"/>
    <s v="cationic amino acid transporter"/>
  </r>
  <r>
    <x v="0"/>
    <x v="0"/>
    <s v="Ofaveolata012975"/>
    <n v="-1.0038516"/>
    <n v="-1.5367105999999999"/>
    <s v="Direct"/>
    <s v="NA"/>
  </r>
  <r>
    <x v="0"/>
    <x v="0"/>
    <s v="Ofaveolata013004"/>
    <n v="4.2500965600000002"/>
    <n v="11.8514231"/>
    <s v="Direct"/>
    <s v="Rieske-like [2Fe-2S] domain"/>
  </r>
  <r>
    <x v="0"/>
    <x v="0"/>
    <s v="Ofaveolata013028"/>
    <n v="3.1779679700000001"/>
    <n v="6.5191915800000002"/>
    <s v="Direct"/>
    <s v="NA"/>
  </r>
  <r>
    <x v="0"/>
    <x v="0"/>
    <s v="Ofaveolata013096"/>
    <n v="1.40100077"/>
    <n v="5.06737971"/>
    <s v="Direct"/>
    <s v="vesicle-mediated transport"/>
  </r>
  <r>
    <x v="0"/>
    <x v="0"/>
    <s v="Ofaveolata013116"/>
    <n v="3.45073987"/>
    <n v="7.7812281700000003"/>
    <s v="Direct"/>
    <s v="sulfuric ester hydrolase activity"/>
  </r>
  <r>
    <x v="0"/>
    <x v="0"/>
    <s v="Ofaveolata013158"/>
    <n v="-1.1680721999999999"/>
    <n v="-2.1991253999999998"/>
    <s v="Direct"/>
    <s v="cAMP-dependent protein kinase regulator activity"/>
  </r>
  <r>
    <x v="0"/>
    <x v="0"/>
    <s v="Ofaveolata013242"/>
    <n v="-4.3046952000000003"/>
    <n v="-1.1464327999999999"/>
    <s v="Direct"/>
    <s v="NA"/>
  </r>
  <r>
    <x v="0"/>
    <x v="0"/>
    <s v="Ofaveolata013273"/>
    <n v="1.5744650099999999"/>
    <n v="8.0320163299999994"/>
    <s v="Direct"/>
    <s v="ethanolamine kinase activity"/>
  </r>
  <r>
    <x v="0"/>
    <x v="0"/>
    <s v="Ofaveolata013317"/>
    <n v="1.6317358399999999"/>
    <n v="5.1882449900000003"/>
    <s v="Direct"/>
    <s v="NA"/>
  </r>
  <r>
    <x v="0"/>
    <x v="0"/>
    <s v="Ofaveolata013427"/>
    <n v="-2.2167091000000001"/>
    <n v="-5.6283193999999996"/>
    <s v="Direct"/>
    <s v="Metalloendopeptidase activity. It is involved in the biological process described with proteolysis"/>
  </r>
  <r>
    <x v="0"/>
    <x v="0"/>
    <s v="Ofaveolata013458"/>
    <n v="1.55849952"/>
    <n v="5.40635142"/>
    <s v="Direct"/>
    <s v="thyroid hormone transmembrane transporter activity"/>
  </r>
  <r>
    <x v="0"/>
    <x v="0"/>
    <s v="Ofaveolata013470"/>
    <n v="1.2206058399999999"/>
    <n v="1.75895793"/>
    <s v="Direct"/>
    <s v="NA"/>
  </r>
  <r>
    <x v="0"/>
    <x v="0"/>
    <s v="Ofaveolata013569"/>
    <n v="-1.9748458"/>
    <n v="-3.3391600000000001"/>
    <s v="Direct"/>
    <s v="complement activation, classical pathway"/>
  </r>
  <r>
    <x v="0"/>
    <x v="0"/>
    <s v="Ofaveolata013610"/>
    <n v="1.0804114499999999"/>
    <n v="4.3521845099999998"/>
    <s v="Direct"/>
    <s v="NA"/>
  </r>
  <r>
    <x v="0"/>
    <x v="0"/>
    <s v="Ofaveolata013996"/>
    <n v="1.6163358800000001"/>
    <n v="11.4726499"/>
    <s v="Direct"/>
    <s v="Asparagine-linked glycosylation 1 homolog (yeast, beta-1,4-mannosyltransferase)"/>
  </r>
  <r>
    <x v="0"/>
    <x v="0"/>
    <s v="Ofaveolata014082"/>
    <n v="-1.2728495"/>
    <n v="-7.2842751999999997"/>
    <s v="Direct"/>
    <s v="NA"/>
  </r>
  <r>
    <x v="0"/>
    <x v="0"/>
    <s v="Ofaveolata014124"/>
    <n v="-1.2982228"/>
    <n v="-2.4264513999999999"/>
    <s v="Direct"/>
    <s v="DBH-like monooxygenase protein 1"/>
  </r>
  <r>
    <x v="0"/>
    <x v="0"/>
    <s v="Ofaveolata014228"/>
    <n v="-1.3651442"/>
    <n v="-1.2446727"/>
    <s v="Direct"/>
    <s v="NA"/>
  </r>
  <r>
    <x v="0"/>
    <x v="0"/>
    <s v="Ofaveolata014240"/>
    <n v="-6.9692314"/>
    <n v="-5.8076129999999999"/>
    <s v="Direct"/>
    <s v="NA"/>
  </r>
  <r>
    <x v="0"/>
    <x v="0"/>
    <s v="Ofaveolata014318"/>
    <n v="-1.8683083"/>
    <n v="-1.5381773000000001"/>
    <s v="Direct"/>
    <s v="NA"/>
  </r>
  <r>
    <x v="0"/>
    <x v="0"/>
    <s v="Ofaveolata014336"/>
    <n v="1.09611232"/>
    <n v="1.03443193"/>
    <s v="Direct"/>
    <s v="rRNA binding"/>
  </r>
  <r>
    <x v="0"/>
    <x v="0"/>
    <s v="Ofaveolata014340"/>
    <n v="2.8592979700000001"/>
    <n v="2.15595165"/>
    <s v="Direct"/>
    <s v="NA"/>
  </r>
  <r>
    <x v="0"/>
    <x v="0"/>
    <s v="Ofaveolata014381"/>
    <n v="-1.4885451000000001"/>
    <n v="-3.2447808999999999"/>
    <s v="Direct"/>
    <s v="NA"/>
  </r>
  <r>
    <x v="0"/>
    <x v="0"/>
    <s v="Ofaveolata014511"/>
    <n v="1.8927358299999999"/>
    <n v="8.6092807699999998"/>
    <s v="Direct"/>
    <s v="NA"/>
  </r>
  <r>
    <x v="0"/>
    <x v="0"/>
    <s v="Ofaveolata014657"/>
    <n v="-1.6855260999999999"/>
    <n v="-3.8842734999999999"/>
    <s v="Direct"/>
    <s v="Retinoschisin"/>
  </r>
  <r>
    <x v="0"/>
    <x v="0"/>
    <s v="Ofaveolata014826"/>
    <n v="-1.4540404"/>
    <n v="-4.5998994"/>
    <s v="Direct"/>
    <s v="DNA topoisomerase type I activity"/>
  </r>
  <r>
    <x v="0"/>
    <x v="0"/>
    <s v="Ofaveolata014903"/>
    <n v="1.49482918"/>
    <n v="3.3293679900000002"/>
    <s v="Direct"/>
    <s v="G-protein coupled receptor activity"/>
  </r>
  <r>
    <x v="0"/>
    <x v="0"/>
    <s v="Ofaveolata014934"/>
    <n v="-2.5315690000000002"/>
    <n v="-3.0098383000000002"/>
    <s v="Direct"/>
    <s v="NA"/>
  </r>
  <r>
    <x v="0"/>
    <x v="0"/>
    <s v="Ofaveolata014950"/>
    <n v="-1.4230738999999999"/>
    <n v="-5.6010032000000001"/>
    <s v="Direct"/>
    <s v="NA"/>
  </r>
  <r>
    <x v="0"/>
    <x v="0"/>
    <s v="Ofaveolata014961"/>
    <n v="1.2422661800000001"/>
    <n v="1.34102524"/>
    <s v="Direct"/>
    <s v="Erythrocyte membrane protein band 4.1 like"/>
  </r>
  <r>
    <x v="0"/>
    <x v="0"/>
    <s v="Ofaveolata015107"/>
    <n v="4.7713969199999999"/>
    <n v="6.4684597400000001"/>
    <s v="Direct"/>
    <s v="Component of the transcription regulatory histone acetylation (HAT) complex SAGA, a multiprotein complex that activates transcription by remodeling chromatin and mediating histone acetylation and deubiquitination. Within the SAGA complex, participates in "/>
  </r>
  <r>
    <x v="0"/>
    <x v="0"/>
    <s v="Ofaveolata015273"/>
    <n v="-1.7010457999999999"/>
    <n v="-1.5189649000000001"/>
    <s v="Direct"/>
    <s v="potassium voltage-gated channel, subfamily H"/>
  </r>
  <r>
    <x v="0"/>
    <x v="0"/>
    <s v="Ofaveolata015311"/>
    <n v="1.8477085900000001"/>
    <n v="1.4707743"/>
    <s v="Direct"/>
    <s v="amyloid-beta metabolic process"/>
  </r>
  <r>
    <x v="0"/>
    <x v="0"/>
    <s v="Ofaveolata015386"/>
    <n v="-1.5310144000000001"/>
    <n v="-2.5702408000000001"/>
    <s v="Direct"/>
    <s v="BIR domain binding"/>
  </r>
  <r>
    <x v="0"/>
    <x v="0"/>
    <s v="Ofaveolata015576"/>
    <n v="-1.0926811000000001"/>
    <n v="-1.7414780000000001"/>
    <s v="Direct"/>
    <s v="myosin light chain kinase activity"/>
  </r>
  <r>
    <x v="0"/>
    <x v="0"/>
    <s v="Ofaveolata015669"/>
    <n v="-4.3064615000000002"/>
    <n v="-2.5380820000000002"/>
    <s v="Direct"/>
    <s v="NA"/>
  </r>
  <r>
    <x v="0"/>
    <x v="0"/>
    <s v="Ofaveolata016004"/>
    <n v="-1.0457240999999999"/>
    <n v="-3.5619774999999998"/>
    <s v="Direct"/>
    <s v="sodium-dependent L-ascorbate transmembrane transporter activity"/>
  </r>
  <r>
    <x v="0"/>
    <x v="0"/>
    <s v="Ofaveolata016005"/>
    <n v="-2.1076188999999999"/>
    <n v="-8.2694471000000007"/>
    <s v="Direct"/>
    <s v="sodium-dependent L-ascorbate transmembrane transporter activity"/>
  </r>
  <r>
    <x v="0"/>
    <x v="0"/>
    <s v="Ofaveolata016011"/>
    <n v="-1.3215907"/>
    <n v="-1.5103712"/>
    <s v="Direct"/>
    <s v="sodium-dependent L-ascorbate transmembrane transporter activity"/>
  </r>
  <r>
    <x v="0"/>
    <x v="0"/>
    <s v="Ofaveolata016018"/>
    <n v="-1.8421381999999999"/>
    <n v="-1.6743428"/>
    <s v="Direct"/>
    <s v="Universal stress protein family"/>
  </r>
  <r>
    <x v="0"/>
    <x v="0"/>
    <s v="Ofaveolata016232"/>
    <n v="-1.5187432000000001"/>
    <n v="-2.8611086000000001"/>
    <s v="Direct"/>
    <s v="development of secondary male sexual characteristics"/>
  </r>
  <r>
    <x v="0"/>
    <x v="0"/>
    <s v="Ofaveolata016276"/>
    <n v="-2.7827847000000001"/>
    <n v="-3.1623093999999998"/>
    <s v="Direct"/>
    <s v="NA"/>
  </r>
  <r>
    <x v="0"/>
    <x v="0"/>
    <s v="Ofaveolata016297"/>
    <n v="-1.4625208999999999"/>
    <n v="-4.0375372"/>
    <s v="Direct"/>
    <s v="NA"/>
  </r>
  <r>
    <x v="0"/>
    <x v="0"/>
    <s v="Ofaveolata016365"/>
    <n v="1.1568874600000001"/>
    <n v="1.8943589300000001"/>
    <s v="Direct"/>
    <s v="NA"/>
  </r>
  <r>
    <x v="0"/>
    <x v="0"/>
    <s v="Ofaveolata016366"/>
    <n v="2.5533463599999999"/>
    <n v="1.4641619800000001"/>
    <s v="Direct"/>
    <s v="NA"/>
  </r>
  <r>
    <x v="0"/>
    <x v="0"/>
    <s v="Ofaveolata016430"/>
    <n v="1.2071453999999999"/>
    <n v="1.5257765299999999"/>
    <s v="Direct"/>
    <s v="NA"/>
  </r>
  <r>
    <x v="0"/>
    <x v="0"/>
    <s v="Ofaveolata016488"/>
    <n v="1.74847899"/>
    <n v="2.6985456000000001"/>
    <s v="Direct"/>
    <s v="Methyltransferase domain"/>
  </r>
  <r>
    <x v="0"/>
    <x v="0"/>
    <s v="Ofaveolata016489"/>
    <n v="1.4452771900000001"/>
    <n v="2.3227500600000002"/>
    <s v="Direct"/>
    <s v="Methyltransferase domain"/>
  </r>
  <r>
    <x v="0"/>
    <x v="0"/>
    <s v="Ofaveolata016568"/>
    <n v="3.20637704"/>
    <n v="7.2437204099999999"/>
    <s v="Direct"/>
    <s v="NA"/>
  </r>
  <r>
    <x v="0"/>
    <x v="0"/>
    <s v="Ofaveolata016671"/>
    <n v="-1.0332003999999999"/>
    <n v="-3.9656826000000001"/>
    <s v="Direct"/>
    <s v="NADH dehydrogenase ubiquinone 1 alpha subcomplex subunit 4"/>
  </r>
  <r>
    <x v="0"/>
    <x v="0"/>
    <s v="Ofaveolata016708"/>
    <n v="2.3729826599999999"/>
    <n v="1.1243900099999999"/>
    <s v="Direct"/>
    <s v="plasmacytoid dendritic cell antigen processing and presentation"/>
  </r>
  <r>
    <x v="0"/>
    <x v="0"/>
    <s v="Ofaveolata017123"/>
    <n v="-1.9748458"/>
    <n v="-1.2331228000000001"/>
    <s v="Direct"/>
    <s v="NA"/>
  </r>
  <r>
    <x v="0"/>
    <x v="0"/>
    <s v="Ofaveolata017231"/>
    <n v="-2.0499236999999999"/>
    <n v="-2.1368722"/>
    <s v="Direct"/>
    <s v="NA"/>
  </r>
  <r>
    <x v="0"/>
    <x v="0"/>
    <s v="Ofaveolata017262"/>
    <n v="-1.3778798000000001"/>
    <n v="-2.5750248"/>
    <s v="Direct"/>
    <s v="NA"/>
  </r>
  <r>
    <x v="0"/>
    <x v="0"/>
    <s v="Ofaveolata017330"/>
    <n v="-2.6800928000000002"/>
    <n v="-3.8311012999999998"/>
    <s v="Direct"/>
    <s v="DNA replication initiation"/>
  </r>
  <r>
    <x v="0"/>
    <x v="0"/>
    <s v="Ofaveolata017413"/>
    <n v="1.5707154000000001"/>
    <n v="1.45699932"/>
    <s v="Direct"/>
    <s v="four-way junction helicase activity"/>
  </r>
  <r>
    <x v="0"/>
    <x v="0"/>
    <s v="Ofaveolata017416"/>
    <n v="-1.9597547"/>
    <n v="-5.7881451000000004"/>
    <s v="Direct"/>
    <s v="alpha-(1-&gt;3)-fucosyltransferase activity"/>
  </r>
  <r>
    <x v="0"/>
    <x v="0"/>
    <s v="Ofaveolata017447"/>
    <n v="-2.5524203000000001"/>
    <n v="-13.618753999999999"/>
    <s v="Direct"/>
    <s v="regulator of chromosome condensation (RCC1) and BTB (POZ) domain containing protein"/>
  </r>
  <r>
    <x v="0"/>
    <x v="0"/>
    <s v="Ofaveolata017458"/>
    <n v="-2.8735455999999999"/>
    <n v="-1.3588382999999999"/>
    <s v="Direct"/>
    <s v="NA"/>
  </r>
  <r>
    <x v="0"/>
    <x v="0"/>
    <s v="Ofaveolata017480"/>
    <n v="-2.7400058999999999"/>
    <n v="-4.5402829999999996"/>
    <s v="Direct"/>
    <s v="NA"/>
  </r>
  <r>
    <x v="0"/>
    <x v="0"/>
    <s v="Ofaveolata017573"/>
    <n v="3.3140354599999999"/>
    <n v="11.255945000000001"/>
    <s v="Direct"/>
    <s v="zinc ion binding"/>
  </r>
  <r>
    <x v="0"/>
    <x v="0"/>
    <s v="Ofaveolata017583"/>
    <n v="2.0068581499999998"/>
    <n v="1.7635283799999999"/>
    <s v="Direct"/>
    <s v="NA"/>
  </r>
  <r>
    <x v="0"/>
    <x v="0"/>
    <s v="Ofaveolata017642"/>
    <n v="1.5279137300000001"/>
    <n v="5.0644815200000002"/>
    <s v="Direct"/>
    <s v="mRNA-containing ribonucleoprotein complex export from nucleus"/>
  </r>
  <r>
    <x v="0"/>
    <x v="0"/>
    <s v="Ofaveolata017643"/>
    <n v="1.5788409699999999"/>
    <n v="6.1298857499999997"/>
    <s v="Direct"/>
    <s v="WD40 repeats"/>
  </r>
  <r>
    <x v="0"/>
    <x v="0"/>
    <s v="Ofaveolata017647"/>
    <n v="1.46793197"/>
    <n v="1.75889969"/>
    <s v="Direct"/>
    <s v="Rhomboid domain containing 1"/>
  </r>
  <r>
    <x v="0"/>
    <x v="0"/>
    <s v="Ofaveolata017689"/>
    <n v="-1.4956803000000001"/>
    <n v="-1.7220762999999999"/>
    <s v="Direct"/>
    <s v="NA"/>
  </r>
  <r>
    <x v="0"/>
    <x v="0"/>
    <s v="Ofaveolata017732"/>
    <n v="-2.1905806999999999"/>
    <n v="-3.29697"/>
    <s v="Direct"/>
    <s v="NA"/>
  </r>
  <r>
    <x v="0"/>
    <x v="0"/>
    <s v="Ofaveolata017736"/>
    <n v="1.3870265100000001"/>
    <n v="8.3779965799999996"/>
    <s v="Direct"/>
    <s v="NA"/>
  </r>
  <r>
    <x v="0"/>
    <x v="0"/>
    <s v="Ofaveolata017750"/>
    <n v="-1.3559323000000001"/>
    <n v="-4.3499055999999996"/>
    <s v="Direct"/>
    <s v="NA"/>
  </r>
  <r>
    <x v="0"/>
    <x v="0"/>
    <s v="Ofaveolata017763"/>
    <n v="-1.7776194000000001"/>
    <n v="-1.7646546999999999"/>
    <s v="Direct"/>
    <s v="NA"/>
  </r>
  <r>
    <x v="0"/>
    <x v="0"/>
    <s v="Ofaveolata017766"/>
    <n v="1.17852757"/>
    <n v="1.4175353500000001"/>
    <s v="Direct"/>
    <s v="NA"/>
  </r>
  <r>
    <x v="0"/>
    <x v="0"/>
    <s v="Ofaveolata017773"/>
    <n v="-2.3064431000000001"/>
    <n v="-4.3857562000000003"/>
    <s v="Direct"/>
    <s v="NA"/>
  </r>
  <r>
    <x v="0"/>
    <x v="0"/>
    <s v="Ofaveolata017812"/>
    <n v="1.3377136300000001"/>
    <n v="2.7062826800000002"/>
    <s v="Direct"/>
    <s v="nucleic acid-templated transcription"/>
  </r>
  <r>
    <x v="0"/>
    <x v="0"/>
    <s v="Ofaveolata017873"/>
    <n v="-2.2436915000000002"/>
    <n v="-3.3539227999999999"/>
    <s v="Direct"/>
    <s v="NA"/>
  </r>
  <r>
    <x v="0"/>
    <x v="0"/>
    <s v="Ofaveolata017889"/>
    <n v="-1.0032633"/>
    <n v="-2.5836399999999999"/>
    <s v="Direct"/>
    <s v="SAM dependent carboxyl methyltransferase"/>
  </r>
  <r>
    <x v="0"/>
    <x v="0"/>
    <s v="Ofaveolata017953"/>
    <n v="2.5354853799999999"/>
    <n v="1.0337875599999999"/>
    <s v="Direct"/>
    <s v="NA"/>
  </r>
  <r>
    <x v="0"/>
    <x v="0"/>
    <s v="Ofaveolata017981"/>
    <n v="-1.1613945000000001"/>
    <n v="-1.9014966"/>
    <s v="Direct"/>
    <s v="Potassium channel tetramerization domain containing 7"/>
  </r>
  <r>
    <x v="0"/>
    <x v="0"/>
    <s v="Ofaveolata017995"/>
    <n v="-1.2213522999999999"/>
    <n v="-1.5543125"/>
    <s v="Direct"/>
    <s v="NA"/>
  </r>
  <r>
    <x v="0"/>
    <x v="0"/>
    <s v="Ofaveolata018028"/>
    <n v="-1.1895492999999999"/>
    <n v="-4.4269829999999999"/>
    <s v="Direct"/>
    <s v="NA"/>
  </r>
  <r>
    <x v="0"/>
    <x v="0"/>
    <s v="Ofaveolata018066"/>
    <n v="2.6454312899999999"/>
    <n v="9.0595595200000005"/>
    <s v="Direct"/>
    <s v="NA"/>
  </r>
  <r>
    <x v="0"/>
    <x v="0"/>
    <s v="Ofaveolata018127"/>
    <n v="1.6280121999999999"/>
    <n v="5.8086102500000001"/>
    <s v="Direct"/>
    <s v="NA"/>
  </r>
  <r>
    <x v="0"/>
    <x v="0"/>
    <s v="Ofaveolata018240"/>
    <n v="2.6007417799999999"/>
    <n v="3.8053299900000002"/>
    <s v="Direct"/>
    <s v="NA"/>
  </r>
  <r>
    <x v="0"/>
    <x v="0"/>
    <s v="Ofaveolata018279"/>
    <n v="-1.1330981"/>
    <n v="-2.0013809999999999"/>
    <s v="Direct"/>
    <s v="CybS, succinate dehydrogenase cytochrome B small subunit"/>
  </r>
  <r>
    <x v="0"/>
    <x v="0"/>
    <s v="Ofaveolata018307"/>
    <n v="1.2277157299999999"/>
    <n v="13.116210799999999"/>
    <s v="Direct"/>
    <s v="NA"/>
  </r>
  <r>
    <x v="0"/>
    <x v="0"/>
    <s v="Ofaveolata018368"/>
    <n v="1.3952324899999999"/>
    <n v="2.15007065"/>
    <s v="Direct"/>
    <s v="NADPH:quinone reductase activity"/>
  </r>
  <r>
    <x v="0"/>
    <x v="0"/>
    <s v="Ofaveolata018415"/>
    <n v="1.6970862200000001"/>
    <n v="5.4694923900000001"/>
    <s v="Direct"/>
    <s v="Olfactomedin 1"/>
  </r>
  <r>
    <x v="0"/>
    <x v="0"/>
    <s v="Ofaveolata018480"/>
    <n v="-4.8766325999999998"/>
    <n v="-1.8277928000000001"/>
    <s v="Direct"/>
    <s v="NA"/>
  </r>
  <r>
    <x v="0"/>
    <x v="0"/>
    <s v="Ofaveolata018519"/>
    <n v="-3.0414812000000002"/>
    <n v="-5.3096218999999998"/>
    <s v="Direct"/>
    <s v="NA"/>
  </r>
  <r>
    <x v="0"/>
    <x v="0"/>
    <s v="Ofaveolata018586"/>
    <n v="1.23051366"/>
    <n v="1.5594651500000001"/>
    <s v="Direct"/>
    <s v="NA"/>
  </r>
  <r>
    <x v="0"/>
    <x v="0"/>
    <s v="Ofaveolata018602"/>
    <n v="-1.2478442999999999"/>
    <n v="1.3248479900000001"/>
    <s v="Inverse"/>
    <s v="NA"/>
  </r>
  <r>
    <x v="0"/>
    <x v="0"/>
    <s v="Ofaveolata018619"/>
    <n v="-1.9603067999999999"/>
    <n v="-4.6885022000000003"/>
    <s v="Direct"/>
    <s v="NA"/>
  </r>
  <r>
    <x v="0"/>
    <x v="0"/>
    <s v="Ofaveolata018628"/>
    <n v="-1.6560325"/>
    <n v="-2.6268756"/>
    <s v="Direct"/>
    <s v="NA"/>
  </r>
  <r>
    <x v="0"/>
    <x v="0"/>
    <s v="Ofaveolata018679"/>
    <n v="-1.0072995"/>
    <n v="-3.3203398000000002"/>
    <s v="Direct"/>
    <s v="NA"/>
  </r>
  <r>
    <x v="0"/>
    <x v="0"/>
    <s v="Ofaveolata018727"/>
    <n v="1.1513301199999999"/>
    <n v="3.4091341399999999"/>
    <s v="Direct"/>
    <s v="NA"/>
  </r>
  <r>
    <x v="0"/>
    <x v="0"/>
    <s v="Ofaveolata018748"/>
    <n v="1.9121191"/>
    <n v="3.5676075699999998"/>
    <s v="Direct"/>
    <s v="Hydrolase activity. It is involved in the biological process described with metabolic process"/>
  </r>
  <r>
    <x v="0"/>
    <x v="0"/>
    <s v="Ofaveolata018828"/>
    <n v="5.5058400699999996"/>
    <n v="1.1012402699999999"/>
    <s v="Direct"/>
    <s v="NA"/>
  </r>
  <r>
    <x v="0"/>
    <x v="0"/>
    <s v="Ofaveolata018831"/>
    <n v="2.4055529"/>
    <n v="3.3795899"/>
    <s v="Direct"/>
    <s v="telomere formation via telomerase"/>
  </r>
  <r>
    <x v="0"/>
    <x v="0"/>
    <s v="Ofaveolata018989"/>
    <n v="-1.4540404"/>
    <n v="-2.9598323"/>
    <s v="Direct"/>
    <s v="Belongs to the DHHC palmitoyltransferase family"/>
  </r>
  <r>
    <x v="0"/>
    <x v="0"/>
    <s v="Ofaveolata019063"/>
    <n v="-1.3246905"/>
    <n v="-1.3569697000000001"/>
    <s v="Direct"/>
    <s v="NA"/>
  </r>
  <r>
    <x v="0"/>
    <x v="0"/>
    <s v="Ofaveolata019126"/>
    <n v="1.0046472"/>
    <n v="1.93552222"/>
    <s v="Direct"/>
    <s v="Belongs to the UDP-glycosyltransferase family"/>
  </r>
  <r>
    <x v="0"/>
    <x v="0"/>
    <s v="Ofaveolata019214"/>
    <n v="1.03315892"/>
    <n v="1.6771123800000001"/>
    <s v="Direct"/>
    <s v="NA"/>
  </r>
  <r>
    <x v="0"/>
    <x v="0"/>
    <s v="Ofaveolata019245"/>
    <n v="-1.1577861"/>
    <n v="-3.6832737999999998"/>
    <s v="Direct"/>
    <s v="NA"/>
  </r>
  <r>
    <x v="0"/>
    <x v="0"/>
    <s v="Ofaveolata019249"/>
    <n v="1.38627663"/>
    <n v="2.4742190900000001"/>
    <s v="Direct"/>
    <s v="NA"/>
  </r>
  <r>
    <x v="0"/>
    <x v="0"/>
    <s v="Ofaveolata019317"/>
    <n v="-1.6972830999999999"/>
    <n v="-15.155748000000001"/>
    <s v="Direct"/>
    <s v="NA"/>
  </r>
  <r>
    <x v="0"/>
    <x v="0"/>
    <s v="Ofaveolata019335"/>
    <n v="4.0310660699999996"/>
    <n v="2.25941328"/>
    <s v="Direct"/>
    <s v="metalloendopeptidase activity"/>
  </r>
  <r>
    <x v="0"/>
    <x v="0"/>
    <s v="Ofaveolata019428"/>
    <n v="-1.4907661999999999"/>
    <n v="-1.560846"/>
    <s v="Direct"/>
    <s v="NA"/>
  </r>
  <r>
    <x v="0"/>
    <x v="0"/>
    <s v="Ofaveolata019616"/>
    <n v="1.04855264"/>
    <n v="2.2810049700000001"/>
    <s v="Direct"/>
    <s v="Ribosomal RNA processing 8, methyltransferase, homolog (yeast)"/>
  </r>
  <r>
    <x v="0"/>
    <x v="0"/>
    <s v="Ofaveolata019846"/>
    <n v="-1.6079275"/>
    <n v="-1.3685638"/>
    <s v="Direct"/>
    <s v="NA"/>
  </r>
  <r>
    <x v="0"/>
    <x v="0"/>
    <s v="Ofaveolata019850"/>
    <n v="-4.8291230000000001"/>
    <n v="-4.3615823000000002"/>
    <s v="Direct"/>
    <s v="NA"/>
  </r>
  <r>
    <x v="0"/>
    <x v="0"/>
    <s v="Ofaveolata019852"/>
    <n v="-1.8683083"/>
    <n v="1.13300873"/>
    <s v="Inverse"/>
    <s v="NA"/>
  </r>
  <r>
    <x v="0"/>
    <x v="0"/>
    <s v="Ofaveolata019863"/>
    <n v="-5.7814893999999999"/>
    <n v="-4.8533179999999998"/>
    <s v="Direct"/>
    <s v="NA"/>
  </r>
  <r>
    <x v="0"/>
    <x v="0"/>
    <s v="Ofaveolata019864"/>
    <n v="-2.7934899"/>
    <n v="-1.0798781"/>
    <s v="Direct"/>
    <s v="NA"/>
  </r>
  <r>
    <x v="0"/>
    <x v="0"/>
    <s v="Ofaveolata019918"/>
    <n v="-1.5149934"/>
    <n v="-1.2806362"/>
    <s v="Direct"/>
    <s v="Rho guanyl-nucleotide exchange factor activity"/>
  </r>
  <r>
    <x v="0"/>
    <x v="0"/>
    <s v="Ofaveolata019995"/>
    <n v="1.02575646"/>
    <n v="1.20889048"/>
    <s v="Direct"/>
    <s v="GTPase activator activity"/>
  </r>
  <r>
    <x v="0"/>
    <x v="0"/>
    <s v="Ofaveolata020229"/>
    <n v="-1.5788409999999999"/>
    <n v="-6.9046399999999997"/>
    <s v="Direct"/>
    <s v="NA"/>
  </r>
  <r>
    <x v="0"/>
    <x v="0"/>
    <s v="Ofaveolata020679"/>
    <n v="1.9134592699999999"/>
    <n v="1.3785320599999999"/>
    <s v="Direct"/>
    <s v="NA"/>
  </r>
  <r>
    <x v="0"/>
    <x v="0"/>
    <s v="Ofaveolata020795"/>
    <n v="-2.4047223"/>
    <n v="-3.0130935999999999"/>
    <s v="Direct"/>
    <s v="NA"/>
  </r>
  <r>
    <x v="0"/>
    <x v="0"/>
    <s v="Ofaveolata020861"/>
    <n v="-1.6387126999999999"/>
    <n v="-1.4404908000000001"/>
    <s v="Direct"/>
    <s v="NA"/>
  </r>
  <r>
    <x v="0"/>
    <x v="0"/>
    <s v="Ofaveolata020869"/>
    <n v="-1.2153556000000001"/>
    <n v="-1.6814107"/>
    <s v="Direct"/>
    <s v="NA"/>
  </r>
  <r>
    <x v="0"/>
    <x v="0"/>
    <s v="Ofaveolata020872"/>
    <n v="-1.0852820999999999"/>
    <n v="-1.7170186999999999"/>
    <s v="Direct"/>
    <s v="NA"/>
  </r>
  <r>
    <x v="0"/>
    <x v="0"/>
    <s v="Ofaveolata020991"/>
    <n v="-1.0926811000000001"/>
    <n v="-1.0978983"/>
    <s v="Direct"/>
    <s v="Glutamate/Leucine/Phenylalanine/Valine dehydrogenase"/>
  </r>
  <r>
    <x v="0"/>
    <x v="0"/>
    <s v="Ofaveolata021033"/>
    <n v="5.68978728"/>
    <n v="9.9676388300000003"/>
    <s v="Direct"/>
    <s v="NA"/>
  </r>
  <r>
    <x v="0"/>
    <x v="0"/>
    <s v="Ofaveolata021148"/>
    <n v="-2.7403099000000002"/>
    <n v="-3.2301910999999999"/>
    <s v="Direct"/>
    <s v="NA"/>
  </r>
  <r>
    <x v="0"/>
    <x v="0"/>
    <s v="Ofaveolata021157"/>
    <n v="1.2725232399999999"/>
    <n v="4.8387236199999997"/>
    <s v="Direct"/>
    <s v="NA"/>
  </r>
  <r>
    <x v="0"/>
    <x v="0"/>
    <s v="Ofaveolata021227"/>
    <n v="1.3401383600000001"/>
    <n v="2.0569663500000002"/>
    <s v="Direct"/>
    <s v="metalloendopeptidase activity"/>
  </r>
  <r>
    <x v="0"/>
    <x v="0"/>
    <s v="Ofaveolata021270"/>
    <n v="7.0711388199999998"/>
    <n v="20.078575900000001"/>
    <s v="Direct"/>
    <s v="NA"/>
  </r>
  <r>
    <x v="0"/>
    <x v="0"/>
    <s v="Ofaveolata021328"/>
    <n v="1.5613072100000001"/>
    <n v="2.15595165"/>
    <s v="Direct"/>
    <s v="Belongs to the CD36 family"/>
  </r>
  <r>
    <x v="0"/>
    <x v="0"/>
    <s v="Ofaveolata021347"/>
    <n v="-1.3852279999999999"/>
    <n v="-3.6141546999999998"/>
    <s v="Direct"/>
    <s v="NA"/>
  </r>
  <r>
    <x v="0"/>
    <x v="0"/>
    <s v="Ofaveolata021379"/>
    <n v="-1.4045935000000001"/>
    <n v="-2.7092288"/>
    <s v="Direct"/>
    <s v="protein kinase activity"/>
  </r>
  <r>
    <x v="0"/>
    <x v="0"/>
    <s v="Ofaveolata021402"/>
    <n v="6.9712265100000002"/>
    <n v="11.0897162"/>
    <s v="Direct"/>
    <s v="urate homeostasis"/>
  </r>
  <r>
    <x v="0"/>
    <x v="0"/>
    <s v="Ofaveolata021411"/>
    <n v="12.0528472"/>
    <n v="13.959160799999999"/>
    <s v="Direct"/>
    <s v="NA"/>
  </r>
  <r>
    <x v="0"/>
    <x v="0"/>
    <s v="Ofaveolata021412"/>
    <n v="5.8834194799999997"/>
    <n v="7.6120228399999998"/>
    <s v="Direct"/>
    <s v="Epidermal growth factor-like domain."/>
  </r>
  <r>
    <x v="0"/>
    <x v="0"/>
    <s v="Ofaveolata021416"/>
    <n v="4.7713969199999999"/>
    <n v="6.5816798500000004"/>
    <s v="Direct"/>
    <s v="Epidermal growth factor-like domain."/>
  </r>
  <r>
    <x v="0"/>
    <x v="0"/>
    <s v="Ofaveolata021476"/>
    <n v="1.33536268"/>
    <n v="3.21595136"/>
    <s v="Direct"/>
    <s v="NA"/>
  </r>
  <r>
    <x v="0"/>
    <x v="0"/>
    <s v="Ofaveolata021516"/>
    <n v="-1.7844249000000001"/>
    <n v="-2.3204349"/>
    <s v="Direct"/>
    <s v="glucuronosyltransferase activity"/>
  </r>
  <r>
    <x v="0"/>
    <x v="0"/>
    <s v="Ofaveolata021570"/>
    <n v="1.0638471300000001"/>
    <n v="7.3387563"/>
    <s v="Direct"/>
    <s v="NA"/>
  </r>
  <r>
    <x v="0"/>
    <x v="0"/>
    <s v="Ofaveolata021680"/>
    <n v="2.0134637500000001"/>
    <n v="1.13534069"/>
    <s v="Direct"/>
    <s v="NA"/>
  </r>
  <r>
    <x v="0"/>
    <x v="0"/>
    <s v="Ofaveolata021813"/>
    <n v="-1.9603067999999999"/>
    <n v="-3.0161669999999998"/>
    <s v="Direct"/>
    <s v="NA"/>
  </r>
  <r>
    <x v="0"/>
    <x v="0"/>
    <s v="Ofaveolata021825"/>
    <n v="1.0610506500000001"/>
    <n v="2.45336658"/>
    <s v="Direct"/>
    <s v="COMM domain-containing protein"/>
  </r>
  <r>
    <x v="0"/>
    <x v="0"/>
    <s v="Ofaveolata021897"/>
    <n v="-1.7786710999999999"/>
    <n v="-1.6572020000000001"/>
    <s v="Direct"/>
    <s v="Responsible for the deiodination of T4 (3,5,3',5'- tetraiodothyronine)"/>
  </r>
  <r>
    <x v="0"/>
    <x v="0"/>
    <s v="Ofaveolata021924"/>
    <n v="-5.8834194999999996"/>
    <n v="-2.9873172000000001"/>
    <s v="Direct"/>
    <s v="Kinesin family"/>
  </r>
  <r>
    <x v="0"/>
    <x v="0"/>
    <s v="Ofaveolata021926"/>
    <n v="-1.6995032999999999"/>
    <n v="-2.5032147"/>
    <s v="Direct"/>
    <s v="NA"/>
  </r>
  <r>
    <x v="0"/>
    <x v="0"/>
    <s v="Ofaveolata021928"/>
    <n v="-3.2969816999999999"/>
    <n v="-2.9823911999999999"/>
    <s v="Direct"/>
    <s v="NA"/>
  </r>
  <r>
    <x v="0"/>
    <x v="0"/>
    <s v="Ofaveolata022104"/>
    <n v="1.8660982699999999"/>
    <n v="2.64809779"/>
    <s v="Direct"/>
    <s v="factor receptor"/>
  </r>
  <r>
    <x v="0"/>
    <x v="0"/>
    <s v="Ofaveolata022109"/>
    <n v="-2.4129402999999998"/>
    <n v="-1.7120834"/>
    <s v="Direct"/>
    <s v="NA"/>
  </r>
  <r>
    <x v="0"/>
    <x v="0"/>
    <s v="Ofaveolata022113"/>
    <n v="1.9722036700000001"/>
    <n v="2.0912571099999999"/>
    <s v="Direct"/>
    <s v="NA"/>
  </r>
  <r>
    <x v="0"/>
    <x v="0"/>
    <s v="Ofaveolata022115"/>
    <n v="6.7191023200000002"/>
    <n v="7.9218212000000001"/>
    <s v="Direct"/>
    <s v="NA"/>
  </r>
  <r>
    <x v="0"/>
    <x v="0"/>
    <s v="Ofaveolata022127"/>
    <n v="-1.9603067999999999"/>
    <n v="-1.9247513999999999"/>
    <s v="Direct"/>
    <s v="NA"/>
  </r>
  <r>
    <x v="0"/>
    <x v="0"/>
    <s v="Ofaveolata022129"/>
    <n v="-1.5732995999999999"/>
    <n v="-2.4191859999999998"/>
    <s v="Direct"/>
    <s v="fibroblast growth factor-activated receptor activity"/>
  </r>
  <r>
    <x v="0"/>
    <x v="0"/>
    <s v="Ofaveolata022131"/>
    <n v="-1.9668216999999999"/>
    <n v="-4.5549720000000002"/>
    <s v="Direct"/>
    <s v="NA"/>
  </r>
  <r>
    <x v="0"/>
    <x v="0"/>
    <s v="Ofaveolata022213"/>
    <n v="1.89429552"/>
    <n v="1.81192653"/>
    <s v="Direct"/>
    <s v="Belongs to the glycosyl hydrolase 18 family"/>
  </r>
  <r>
    <x v="0"/>
    <x v="0"/>
    <s v="Ofaveolata022239"/>
    <n v="-1.2813513999999999"/>
    <n v="-5.5051078000000002"/>
    <s v="Direct"/>
    <s v="NA"/>
  </r>
  <r>
    <x v="0"/>
    <x v="0"/>
    <s v="Ofaveolata022246"/>
    <n v="-1.8037936000000001"/>
    <n v="-2.0820422999999999"/>
    <s v="Direct"/>
    <s v="NA"/>
  </r>
  <r>
    <x v="0"/>
    <x v="0"/>
    <s v="Ofaveolata022268"/>
    <n v="2.1368319699999998"/>
    <n v="2.7896706400000002"/>
    <s v="Direct"/>
    <s v="NA"/>
  </r>
  <r>
    <x v="0"/>
    <x v="0"/>
    <s v="Ofaveolata022290"/>
    <n v="-1.6553845"/>
    <n v="-5.1433362999999996"/>
    <s v="Direct"/>
    <s v="apoptotic process"/>
  </r>
  <r>
    <x v="0"/>
    <x v="0"/>
    <s v="Ofaveolata022300"/>
    <n v="-2.0134637"/>
    <n v="-1.9998853999999999"/>
    <s v="Direct"/>
    <s v="CRAL/TRIO domain"/>
  </r>
  <r>
    <x v="0"/>
    <x v="0"/>
    <s v="Ofaveolata022362"/>
    <n v="-1.7410699000000001"/>
    <n v="-2.1685683"/>
    <s v="Direct"/>
    <s v="member RAS oncogene family"/>
  </r>
  <r>
    <x v="0"/>
    <x v="0"/>
    <s v="Ofaveolata022419"/>
    <n v="-2.4578761999999998"/>
    <n v="-3.9647944000000002"/>
    <s v="Direct"/>
    <s v="NA"/>
  </r>
  <r>
    <x v="0"/>
    <x v="0"/>
    <s v="Ofaveolata022475"/>
    <n v="-1.1680721999999999"/>
    <n v="-12.429523"/>
    <s v="Direct"/>
    <s v="NA"/>
  </r>
  <r>
    <x v="0"/>
    <x v="0"/>
    <s v="Ofaveolata022550"/>
    <n v="-5.9997673999999996"/>
    <n v="-8.2610288000000001"/>
    <s v="Direct"/>
    <s v="NA"/>
  </r>
  <r>
    <x v="0"/>
    <x v="0"/>
    <s v="Ofaveolata022625"/>
    <n v="1.35370378"/>
    <n v="2.1246796200000002"/>
    <s v="Direct"/>
    <s v="NA"/>
  </r>
  <r>
    <x v="0"/>
    <x v="0"/>
    <s v="Ofaveolata022626"/>
    <n v="1.7414445300000001"/>
    <n v="3.1201336799999999"/>
    <s v="Direct"/>
    <s v="NA"/>
  </r>
  <r>
    <x v="0"/>
    <x v="0"/>
    <s v="Ofaveolata022669"/>
    <n v="-1.2781495"/>
    <n v="3.3980359899999999"/>
    <s v="Inverse"/>
    <s v="intraflagellar transport"/>
  </r>
  <r>
    <x v="0"/>
    <x v="0"/>
    <s v="Ofaveolata022761"/>
    <n v="1.6079275200000001"/>
    <n v="3.9278027299999998"/>
    <s v="Direct"/>
    <s v="NA"/>
  </r>
  <r>
    <x v="0"/>
    <x v="0"/>
    <s v="Ofaveolata022992"/>
    <n v="-2.0499236999999999"/>
    <n v="-5.9566214000000004"/>
    <s v="Direct"/>
    <s v="NA"/>
  </r>
  <r>
    <x v="0"/>
    <x v="0"/>
    <s v="Ofaveolata023025"/>
    <n v="-1.3009685"/>
    <n v="-2.0390100000000002"/>
    <s v="Direct"/>
    <s v="NA"/>
  </r>
  <r>
    <x v="0"/>
    <x v="0"/>
    <s v="Ofaveolata023144"/>
    <n v="-1.4153232"/>
    <n v="-4.2106884000000004"/>
    <s v="Direct"/>
    <s v="Ubiquitin homologues"/>
  </r>
  <r>
    <x v="0"/>
    <x v="0"/>
    <s v="Ofaveolata023188"/>
    <n v="1.42122792"/>
    <n v="7.1281001000000002"/>
    <s v="Direct"/>
    <s v="NA"/>
  </r>
  <r>
    <x v="0"/>
    <x v="0"/>
    <s v="Ofaveolata023203"/>
    <n v="1.2883460499999999"/>
    <n v="1.87633238"/>
    <s v="Direct"/>
    <s v="ribosomal protein S23"/>
  </r>
  <r>
    <x v="0"/>
    <x v="0"/>
    <s v="Ofaveolata023221"/>
    <n v="1.2148718199999999"/>
    <n v="4.8549253099999996"/>
    <s v="Direct"/>
    <s v="Transfers N-acetylgalactosamine (GalNAc) from UDP-GalNAc to N-acetylglucosamine-beta-benzyl with a beta-1,4-linkage to form N,N'-diacetyllactosediamine, GalNAc-beta-1,4-GlcNAc structures in N-linked glycans and probably O-linked glycans"/>
  </r>
  <r>
    <x v="0"/>
    <x v="0"/>
    <s v="Ofaveolata023329"/>
    <n v="-2.2983403"/>
    <n v="-2.0389946000000001"/>
    <s v="Direct"/>
    <s v="glutathione hydrolase activity"/>
  </r>
  <r>
    <x v="0"/>
    <x v="0"/>
    <s v="Ofaveolata023330"/>
    <n v="-1.1943379000000001"/>
    <n v="-4.5395089000000004"/>
    <s v="Direct"/>
    <s v="glutathione hydrolase activity"/>
  </r>
  <r>
    <x v="0"/>
    <x v="0"/>
    <s v="Ofaveolata023335"/>
    <n v="-1.5140973"/>
    <n v="-2.8287163999999998"/>
    <s v="Direct"/>
    <s v="glutathione hydrolase activity"/>
  </r>
  <r>
    <x v="0"/>
    <x v="0"/>
    <s v="Ofaveolata023357"/>
    <n v="1.3234512199999999"/>
    <n v="4.7786116400000003"/>
    <s v="Direct"/>
    <s v="NA"/>
  </r>
  <r>
    <x v="0"/>
    <x v="0"/>
    <s v="Ofaveolata023433"/>
    <n v="1.0168369399999999"/>
    <n v="2.32129005"/>
    <s v="Direct"/>
    <s v="NA"/>
  </r>
  <r>
    <x v="0"/>
    <x v="0"/>
    <s v="Ofaveolata023493"/>
    <n v="2.0994004300000002"/>
    <n v="2.7062826800000002"/>
    <s v="Direct"/>
    <s v="NA"/>
  </r>
  <r>
    <x v="0"/>
    <x v="0"/>
    <s v="Ofaveolata023503"/>
    <n v="-2.5572895999999998"/>
    <n v="-2.8639717999999998"/>
    <s v="Direct"/>
    <s v="amine oxidase"/>
  </r>
  <r>
    <x v="0"/>
    <x v="0"/>
    <s v="Ofaveolata023596"/>
    <n v="3.50497638"/>
    <n v="1.78116242"/>
    <s v="Direct"/>
    <s v="NA"/>
  </r>
  <r>
    <x v="0"/>
    <x v="0"/>
    <s v="Ofaveolata023677"/>
    <n v="-2.0287373"/>
    <n v="-8.1432076999999996"/>
    <s v="Direct"/>
    <s v="NA"/>
  </r>
  <r>
    <x v="0"/>
    <x v="0"/>
    <s v="Ofaveolata023785"/>
    <n v="2.1317861100000002"/>
    <n v="3.3629781799999998"/>
    <s v="Direct"/>
    <s v="Carbonic anhydrase"/>
  </r>
  <r>
    <x v="0"/>
    <x v="0"/>
    <s v="Ofaveolata023787"/>
    <n v="2.73852707"/>
    <n v="9.8107497299999995"/>
    <s v="Direct"/>
    <s v="cytosine C-5 DNA demethylase activity"/>
  </r>
  <r>
    <x v="0"/>
    <x v="0"/>
    <s v="Ofaveolata023872"/>
    <n v="-2.6892005000000001"/>
    <n v="-10.647636"/>
    <s v="Direct"/>
    <s v="NA"/>
  </r>
  <r>
    <x v="0"/>
    <x v="0"/>
    <s v="Ofaveolata023978"/>
    <n v="-1.0942968"/>
    <n v="-5.5566826000000002"/>
    <s v="Direct"/>
    <s v="FAD dependent oxidoreductase"/>
  </r>
  <r>
    <x v="0"/>
    <x v="0"/>
    <s v="Ofaveolata024042"/>
    <n v="-1.7682317999999999"/>
    <n v="-1.2293997000000001"/>
    <s v="Direct"/>
    <s v="NA"/>
  </r>
  <r>
    <x v="0"/>
    <x v="0"/>
    <s v="Ofaveolata024078"/>
    <n v="-1.4041235000000001"/>
    <n v="-3.2195480999999999"/>
    <s v="Direct"/>
    <s v="RNA-directed 5'-3' RNA polymerase activity"/>
  </r>
  <r>
    <x v="0"/>
    <x v="0"/>
    <s v="Ofaveolata024125"/>
    <n v="-1.2938670999999999"/>
    <n v="-5.2426817000000003"/>
    <s v="Direct"/>
    <s v="NA"/>
  </r>
  <r>
    <x v="0"/>
    <x v="0"/>
    <s v="Ofaveolata024130"/>
    <n v="-1.1037404"/>
    <n v="-3.3519754000000002"/>
    <s v="Direct"/>
    <s v="Eukaryotic translation initiation factor 4 gamma"/>
  </r>
  <r>
    <x v="0"/>
    <x v="0"/>
    <s v="Ofaveolata024155"/>
    <n v="-1.8321798"/>
    <n v="-3.0533711000000001"/>
    <s v="Direct"/>
    <s v="NA"/>
  </r>
  <r>
    <x v="0"/>
    <x v="0"/>
    <s v="Ofaveolata024161"/>
    <n v="2.74030986"/>
    <n v="7.0230259500000001"/>
    <s v="Direct"/>
    <s v="Phospholipase/Carboxylesterase"/>
  </r>
  <r>
    <x v="0"/>
    <x v="0"/>
    <s v="Ofaveolata024167"/>
    <n v="-1.3234512"/>
    <n v="-1.2417495999999999"/>
    <s v="Direct"/>
    <s v="NA"/>
  </r>
  <r>
    <x v="0"/>
    <x v="0"/>
    <s v="Ofaveolata024315"/>
    <n v="-1.8438546"/>
    <n v="-5.7017068000000002"/>
    <s v="Direct"/>
    <s v="positive regulation of DNA damage response, signal transduction by p53 class mediator"/>
  </r>
  <r>
    <x v="0"/>
    <x v="0"/>
    <s v="Ofaveolata024386"/>
    <n v="4.0890846999999999"/>
    <n v="10.0986899"/>
    <s v="Direct"/>
    <s v="DNA primase is the polymerase that synthesizes small RNA primers for the Okazaki fragments made during discontinuous DNA replication"/>
  </r>
  <r>
    <x v="0"/>
    <x v="0"/>
    <s v="Ofaveolata024396"/>
    <n v="1.38325784"/>
    <n v="1.2216567"/>
    <s v="Direct"/>
    <s v="Tubulin is the major constituent of microtubules. It binds two moles of GTP, one at an exchangeable site on the beta chain and one at a non-exchangeable site on the alpha chain"/>
  </r>
  <r>
    <x v="0"/>
    <x v="0"/>
    <s v="Ofaveolata024404"/>
    <n v="-4.4817990999999999"/>
    <n v="-13.309669"/>
    <s v="Direct"/>
    <s v="negative regulation of chemokine (C-C motif) ligand 5 production"/>
  </r>
  <r>
    <x v="0"/>
    <x v="0"/>
    <s v="Ofaveolata024435"/>
    <n v="-3.4507398999999999"/>
    <n v="-5.6180836000000003"/>
    <s v="Direct"/>
    <s v="NA"/>
  </r>
  <r>
    <x v="0"/>
    <x v="0"/>
    <s v="Ofaveolata024504"/>
    <n v="2.9193944300000001"/>
    <n v="3.2754459100000002"/>
    <s v="Direct"/>
    <s v="NA"/>
  </r>
  <r>
    <x v="0"/>
    <x v="0"/>
    <s v="Ofaveolata024570"/>
    <n v="-2.0207427999999998"/>
    <n v="-2.3926791000000001"/>
    <s v="Direct"/>
    <s v="PX domain"/>
  </r>
  <r>
    <x v="0"/>
    <x v="0"/>
    <s v="Ofaveolata024588"/>
    <n v="2.1366883900000002"/>
    <n v="3.6264729400000002"/>
    <s v="Direct"/>
    <s v="NA"/>
  </r>
  <r>
    <x v="0"/>
    <x v="0"/>
    <s v="Ofaveolata024611"/>
    <n v="-1.4035120000000001"/>
    <n v="-7.3147244000000002"/>
    <s v="Direct"/>
    <s v="NA"/>
  </r>
  <r>
    <x v="0"/>
    <x v="0"/>
    <s v="Ofaveolata024634"/>
    <n v="-3.0512381"/>
    <n v="-2.5664939000000002"/>
    <s v="Direct"/>
    <s v="NA"/>
  </r>
  <r>
    <x v="0"/>
    <x v="0"/>
    <s v="Ofaveolata024656"/>
    <n v="1.7284349400000001"/>
    <n v="1.56909217"/>
    <s v="Direct"/>
    <s v="Sel1-like repeats."/>
  </r>
  <r>
    <x v="0"/>
    <x v="0"/>
    <s v="Ofaveolata024680"/>
    <n v="-3.2766397"/>
    <n v="-5.3616574000000004"/>
    <s v="Direct"/>
    <s v="phosphoenolpyruvate carboxykinase activity"/>
  </r>
  <r>
    <x v="0"/>
    <x v="0"/>
    <s v="Ofaveolata024684"/>
    <n v="-1.5581122000000001"/>
    <n v="-4.5447528999999998"/>
    <s v="Direct"/>
    <s v="adenylate cyclase-activating G-protein coupled receptor signaling pathway"/>
  </r>
  <r>
    <x v="0"/>
    <x v="0"/>
    <s v="Ofaveolata024843"/>
    <n v="-2.2219224999999998"/>
    <n v="-2.9484442999999998"/>
    <s v="Direct"/>
    <s v="NA"/>
  </r>
  <r>
    <x v="0"/>
    <x v="0"/>
    <s v="Ofaveolata024964"/>
    <n v="2.0520422900000002"/>
    <n v="3.25272915"/>
    <s v="Direct"/>
    <s v="cysteine-type endopeptidase activity"/>
  </r>
  <r>
    <x v="0"/>
    <x v="0"/>
    <s v="Ofaveolata025017"/>
    <n v="-4.3348582000000002"/>
    <n v="-6.5184055000000001"/>
    <s v="Direct"/>
    <s v="saccharopine dehydrogenase (NAD+, L-lysine-forming) activity"/>
  </r>
  <r>
    <x v="0"/>
    <x v="0"/>
    <s v="Ofaveolata025070"/>
    <n v="1.0087562000000001"/>
    <n v="1.6457496599999999"/>
    <s v="Direct"/>
    <s v="positive regulation of NLRP3 inflammasome complex assembly"/>
  </r>
  <r>
    <x v="0"/>
    <x v="0"/>
    <s v="Ofaveolata025135"/>
    <n v="-1.574465"/>
    <n v="-2.7481862000000001"/>
    <s v="Direct"/>
    <s v="Collagen triple helix"/>
  </r>
  <r>
    <x v="0"/>
    <x v="0"/>
    <s v="Ofaveolata025171"/>
    <n v="1.47056334"/>
    <n v="1.3258807399999999"/>
    <s v="Direct"/>
    <s v="steroid hormone receptor activity"/>
  </r>
  <r>
    <x v="0"/>
    <x v="0"/>
    <s v="Ofaveolata025206"/>
    <n v="2.2754899000000002"/>
    <n v="1.0702225299999999"/>
    <s v="Direct"/>
    <s v="NA"/>
  </r>
  <r>
    <x v="0"/>
    <x v="0"/>
    <s v="Ofaveolata025212"/>
    <n v="-1.2560353"/>
    <n v="-14.236837"/>
    <s v="Direct"/>
    <s v="Galactosyltransferase"/>
  </r>
  <r>
    <x v="0"/>
    <x v="0"/>
    <s v="Ofaveolata025237"/>
    <n v="1.2916046999999999"/>
    <n v="4.3709879899999997"/>
    <s v="Direct"/>
    <s v="NA"/>
  </r>
  <r>
    <x v="0"/>
    <x v="0"/>
    <s v="Ofaveolata025255"/>
    <n v="1.8986232300000001"/>
    <n v="3.3950592799999999"/>
    <s v="Direct"/>
    <s v="odorant binding"/>
  </r>
  <r>
    <x v="0"/>
    <x v="0"/>
    <s v="Ofaveolata025268"/>
    <n v="2.9193944300000001"/>
    <n v="6.8346421399999997"/>
    <s v="Direct"/>
    <s v="NA"/>
  </r>
  <r>
    <x v="0"/>
    <x v="0"/>
    <s v="Ofaveolata025296"/>
    <n v="1.5531045299999999"/>
    <n v="3.5799035300000002"/>
    <s v="Direct"/>
    <s v="Belongs to the short-chain dehydrogenases reductases (SDR) family"/>
  </r>
  <r>
    <x v="0"/>
    <x v="0"/>
    <s v="Ofaveolata025298"/>
    <n v="1.3459382799999999"/>
    <n v="1.7404662399999999"/>
    <s v="Direct"/>
    <s v="Ankyrin repeats (3 copies)"/>
  </r>
  <r>
    <x v="0"/>
    <x v="0"/>
    <s v="Ofaveolata025309"/>
    <n v="-1.1437092"/>
    <n v="-2.7681439000000001"/>
    <s v="Direct"/>
    <s v="Belongs to the short-chain dehydrogenases reductases (SDR) family"/>
  </r>
  <r>
    <x v="0"/>
    <x v="0"/>
    <s v="Ofaveolata025330"/>
    <n v="-5.9522373000000002"/>
    <n v="2.0534200899999999"/>
    <s v="Inverse"/>
    <s v="NA"/>
  </r>
  <r>
    <x v="0"/>
    <x v="0"/>
    <s v="Ofaveolata025431"/>
    <n v="1.45404044"/>
    <n v="2.2554029600000001"/>
    <s v="Direct"/>
    <s v="semaphorin receptor binding"/>
  </r>
  <r>
    <x v="0"/>
    <x v="0"/>
    <s v="Ofaveolata025522"/>
    <n v="1.7820461700000001"/>
    <n v="4.1713079300000002"/>
    <s v="Direct"/>
    <s v="Protein tyrosine kinase"/>
  </r>
  <r>
    <x v="0"/>
    <x v="0"/>
    <s v="Ofaveolata025686"/>
    <n v="-1.1141968"/>
    <n v="-2.6953577000000002"/>
    <s v="Direct"/>
    <s v="Transmembrane amino acid transporter protein"/>
  </r>
  <r>
    <x v="0"/>
    <x v="0"/>
    <s v="Ofaveolata025727"/>
    <n v="-1.3246905"/>
    <n v="-1.5457997999999999"/>
    <s v="Direct"/>
    <s v="carbohydrate binding"/>
  </r>
  <r>
    <x v="0"/>
    <x v="0"/>
    <s v="Ofaveolata025738"/>
    <n v="-1.2891030999999999"/>
    <n v="-2.4893512000000002"/>
    <s v="Direct"/>
    <s v="intracellular chloride channel activity"/>
  </r>
  <r>
    <x v="0"/>
    <x v="0"/>
    <s v="Ofaveolata025743"/>
    <n v="2.5554966600000002"/>
    <n v="3.9047939600000001"/>
    <s v="Direct"/>
    <s v="NA"/>
  </r>
  <r>
    <x v="0"/>
    <x v="0"/>
    <s v="Ofaveolata025791"/>
    <n v="1.2291553399999999"/>
    <n v="10.316878900000001"/>
    <s v="Direct"/>
    <s v="NA"/>
  </r>
  <r>
    <x v="0"/>
    <x v="0"/>
    <s v="Ofaveolata025854"/>
    <n v="-1.3995664999999999"/>
    <n v="-1.3639524000000001"/>
    <s v="Direct"/>
    <s v="NA"/>
  </r>
  <r>
    <x v="0"/>
    <x v="0"/>
    <s v="Ofaveolata026027"/>
    <n v="-1.7705499"/>
    <n v="-1.8301122999999999"/>
    <s v="Direct"/>
    <s v="GYF domain"/>
  </r>
  <r>
    <x v="0"/>
    <x v="0"/>
    <s v="Ofaveolata026038"/>
    <n v="-1.0286595999999999"/>
    <n v="-1.6245041"/>
    <s v="Direct"/>
    <s v="NA"/>
  </r>
  <r>
    <x v="0"/>
    <x v="0"/>
    <s v="Ofaveolata026087"/>
    <n v="1.3255974800000001"/>
    <n v="1.5575165"/>
    <s v="Direct"/>
    <s v="NA"/>
  </r>
  <r>
    <x v="0"/>
    <x v="0"/>
    <s v="Ofaveolata026102"/>
    <n v="-4.7865975000000001"/>
    <n v="-3.0968548"/>
    <s v="Direct"/>
    <s v="NA"/>
  </r>
  <r>
    <x v="0"/>
    <x v="0"/>
    <s v="Ofaveolata026133"/>
    <n v="1.2750346800000001"/>
    <n v="1.54744517"/>
    <s v="Direct"/>
    <s v="methyltransferase"/>
  </r>
  <r>
    <x v="0"/>
    <x v="0"/>
    <s v="Ofaveolata026138"/>
    <n v="-1.4885451000000001"/>
    <n v="-3.2440384"/>
    <s v="Direct"/>
    <s v="G-protein coupled receptor activity"/>
  </r>
  <r>
    <x v="0"/>
    <x v="0"/>
    <s v="Ofaveolata026149"/>
    <n v="1.1201970400000001"/>
    <n v="13.1532389"/>
    <s v="Direct"/>
    <s v="Cleavage and polyadenylation"/>
  </r>
  <r>
    <x v="0"/>
    <x v="0"/>
    <s v="Ofaveolata026401"/>
    <n v="-1.0025786000000001"/>
    <n v="-3.1557306999999999"/>
    <s v="Direct"/>
    <s v="V-maf avian musculoaponeurotic fibrosarcoma oncogene homolog"/>
  </r>
  <r>
    <x v="0"/>
    <x v="0"/>
    <s v="Ofaveolata026434"/>
    <n v="-2.7934899"/>
    <n v="-2.9218270999999998"/>
    <s v="Direct"/>
    <s v="NA"/>
  </r>
  <r>
    <x v="0"/>
    <x v="0"/>
    <s v="Ofaveolata026525"/>
    <n v="3.9275834700000001"/>
    <n v="21.131285800000001"/>
    <s v="Direct"/>
    <s v="Kelch motif"/>
  </r>
  <r>
    <x v="0"/>
    <x v="0"/>
    <s v="Ofaveolata026685"/>
    <n v="1.24983555"/>
    <n v="3.1331738100000002"/>
    <s v="Direct"/>
    <s v="NA"/>
  </r>
  <r>
    <x v="0"/>
    <x v="0"/>
    <s v="Ofaveolata026686"/>
    <n v="-4.7092583000000001"/>
    <n v="-4.8653721000000001"/>
    <s v="Direct"/>
    <s v="gamma-glutamylcyclotransferase activity"/>
  </r>
  <r>
    <x v="0"/>
    <x v="0"/>
    <s v="Ofaveolata026771"/>
    <n v="2.20909939"/>
    <n v="1.1908246600000001"/>
    <s v="Direct"/>
    <s v="NA"/>
  </r>
  <r>
    <x v="0"/>
    <x v="0"/>
    <s v="Ofaveolata026848"/>
    <n v="-2.2924880000000001"/>
    <n v="-1.6366354999999999"/>
    <s v="Direct"/>
    <s v="zinc ion binding"/>
  </r>
  <r>
    <x v="0"/>
    <x v="0"/>
    <s v="Ofaveolata026857"/>
    <n v="-1.0935132000000001"/>
    <n v="-1.2056445"/>
    <s v="Direct"/>
    <s v="NA"/>
  </r>
  <r>
    <x v="0"/>
    <x v="0"/>
    <s v="Ofaveolata026919"/>
    <n v="-1.3592843999999999"/>
    <n v="-2.8904925000000001"/>
    <s v="Direct"/>
    <s v="chloride channel activity"/>
  </r>
  <r>
    <x v="0"/>
    <x v="0"/>
    <s v="Ofaveolata026977"/>
    <n v="-1.464269"/>
    <n v="-3.7324837999999998"/>
    <s v="Direct"/>
    <s v="NA"/>
  </r>
  <r>
    <x v="0"/>
    <x v="0"/>
    <s v="Ofaveolata027037"/>
    <n v="-1.4189262"/>
    <n v="-4.0004305999999996"/>
    <s v="Direct"/>
    <s v="NA"/>
  </r>
  <r>
    <x v="0"/>
    <x v="0"/>
    <s v="Ofaveolata027038"/>
    <n v="-3.0995249"/>
    <n v="-7.3387563"/>
    <s v="Direct"/>
    <s v="Caspase domain"/>
  </r>
  <r>
    <x v="0"/>
    <x v="0"/>
    <s v="Ofaveolata027102"/>
    <n v="-1.4056282"/>
    <n v="-8.1546049000000007"/>
    <s v="Direct"/>
    <s v="NA"/>
  </r>
  <r>
    <x v="0"/>
    <x v="0"/>
    <s v="Ofaveolata027116"/>
    <n v="1.1850650700000001"/>
    <n v="8.3759030899999996"/>
    <s v="Direct"/>
    <s v="protein tyrosine kinase collagen receptor activity"/>
  </r>
  <r>
    <x v="0"/>
    <x v="0"/>
    <s v="Ofaveolata027125"/>
    <n v="-1.0804114"/>
    <n v="-7.6120228000000001"/>
    <s v="Direct"/>
    <s v="NA"/>
  </r>
  <r>
    <x v="0"/>
    <x v="0"/>
    <s v="Ofaveolata027149"/>
    <n v="1.45622848"/>
    <n v="9.7015045299999993"/>
    <s v="Direct"/>
    <s v="NA"/>
  </r>
  <r>
    <x v="0"/>
    <x v="0"/>
    <s v="Ofaveolata027211"/>
    <n v="-1.1400811"/>
    <n v="-3.3203398000000002"/>
    <s v="Direct"/>
    <s v="phosphoglucomutase activity"/>
  </r>
  <r>
    <x v="0"/>
    <x v="0"/>
    <s v="Ofaveolata027226"/>
    <n v="-1.0961122999999999"/>
    <n v="-2.0346323000000002"/>
    <s v="Direct"/>
    <s v="asparagine synthase (glutamine-hydrolyzing) activity"/>
  </r>
  <r>
    <x v="0"/>
    <x v="0"/>
    <s v="Ofaveolata027251"/>
    <n v="-1.0361445"/>
    <n v="-1.5095042000000001"/>
    <s v="Direct"/>
    <s v="Polysaccharide deacetylase"/>
  </r>
  <r>
    <x v="0"/>
    <x v="0"/>
    <s v="Ofaveolata027264"/>
    <n v="-2.1387896999999998"/>
    <n v="-1.3396215"/>
    <s v="Direct"/>
    <s v="NA"/>
  </r>
  <r>
    <x v="0"/>
    <x v="0"/>
    <s v="Ofaveolata027265"/>
    <n v="-1.5707154000000001"/>
    <n v="-1.3521154"/>
    <s v="Direct"/>
    <s v="NA"/>
  </r>
  <r>
    <x v="0"/>
    <x v="0"/>
    <s v="Ofaveolata027354"/>
    <n v="3.2514235999999999"/>
    <n v="4.2462821399999999"/>
    <s v="Direct"/>
    <s v="NA"/>
  </r>
  <r>
    <x v="0"/>
    <x v="0"/>
    <s v="Ofaveolata027358"/>
    <n v="3.65609005"/>
    <n v="5.8767074499999996"/>
    <s v="Direct"/>
    <s v="NA"/>
  </r>
  <r>
    <x v="0"/>
    <x v="0"/>
    <s v="Ofaveolata027391"/>
    <n v="1.91583262"/>
    <n v="2.4893511899999998"/>
    <s v="Direct"/>
    <s v="Hydroxysteroid dehydrogenase-like protein"/>
  </r>
  <r>
    <x v="0"/>
    <x v="0"/>
    <s v="Ofaveolata027439"/>
    <n v="-1.2874699999999999"/>
    <n v="-3.9836923999999998"/>
    <s v="Direct"/>
    <s v="NA"/>
  </r>
  <r>
    <x v="0"/>
    <x v="0"/>
    <s v="Ofaveolata027451"/>
    <n v="1.67756649"/>
    <n v="2.1469015599999999"/>
    <s v="Direct"/>
    <s v="negative regulation of protein localization to nucleolus"/>
  </r>
  <r>
    <x v="0"/>
    <x v="0"/>
    <s v="Ofaveolata027478"/>
    <n v="-2.0731502000000002"/>
    <n v="-4.4152507999999999"/>
    <s v="Direct"/>
    <s v="NA"/>
  </r>
  <r>
    <x v="0"/>
    <x v="0"/>
    <s v="Ofaveolata027517"/>
    <n v="1.1145515100000001"/>
    <n v="1.6257289100000001"/>
    <s v="Direct"/>
    <s v="Ankyrin repeat and SOCS box"/>
  </r>
  <r>
    <x v="0"/>
    <x v="0"/>
    <s v="Ofaveolata027548"/>
    <n v="2.0994004300000002"/>
    <n v="5.79596979"/>
    <s v="Direct"/>
    <s v="G-protein coupled receptor activity"/>
  </r>
  <r>
    <x v="0"/>
    <x v="0"/>
    <s v="Ofaveolata027573"/>
    <n v="1.3459382799999999"/>
    <n v="3.1792851099999999"/>
    <s v="Direct"/>
    <s v="Threonine dehydratase"/>
  </r>
  <r>
    <x v="0"/>
    <x v="0"/>
    <s v="Ofaveolata027709"/>
    <n v="-4.1003357999999999"/>
    <n v="-1.6422677999999999"/>
    <s v="Direct"/>
    <s v="spindle assembly"/>
  </r>
  <r>
    <x v="0"/>
    <x v="0"/>
    <s v="Ofaveolata027711"/>
    <n v="3.1217665800000001"/>
    <n v="1.73388217"/>
    <s v="Direct"/>
    <s v="NA"/>
  </r>
  <r>
    <x v="0"/>
    <x v="0"/>
    <s v="Ofaveolata027716"/>
    <n v="-2.2550669999999999"/>
    <n v="-6.2194231999999996"/>
    <s v="Direct"/>
    <s v="NA"/>
  </r>
  <r>
    <x v="0"/>
    <x v="0"/>
    <s v="Ofaveolata027834"/>
    <n v="1.7875059099999999"/>
    <n v="2.43316138"/>
    <s v="Direct"/>
    <s v="inhibin, beta A"/>
  </r>
  <r>
    <x v="0"/>
    <x v="0"/>
    <s v="Ofaveolata027842"/>
    <n v="-1.7310842"/>
    <n v="-5.6245875999999999"/>
    <s v="Direct"/>
    <s v="NA"/>
  </r>
  <r>
    <x v="0"/>
    <x v="0"/>
    <s v="Ofaveolata027844"/>
    <n v="-1.2407982"/>
    <n v="-2.2122500999999999"/>
    <s v="Direct"/>
    <s v="axoneme assembly"/>
  </r>
  <r>
    <x v="0"/>
    <x v="0"/>
    <s v="Ofaveolata027867"/>
    <n v="-1.3237011000000001"/>
    <n v="-1.4502177000000001"/>
    <s v="Direct"/>
    <s v="Protein of unknown function (DUF3808)"/>
  </r>
  <r>
    <x v="0"/>
    <x v="0"/>
    <s v="Ofaveolata027878"/>
    <n v="1.4422058799999999"/>
    <n v="1.0539106600000001"/>
    <s v="Direct"/>
    <s v="NA"/>
  </r>
  <r>
    <x v="0"/>
    <x v="0"/>
    <s v="Ofaveolata027931"/>
    <n v="1.5788409699999999"/>
    <n v="1.8793061099999999"/>
    <s v="Direct"/>
    <s v="BTB/POZ domain"/>
  </r>
  <r>
    <x v="0"/>
    <x v="0"/>
    <s v="Ofaveolata027984"/>
    <n v="3.04148116"/>
    <n v="1.5371285800000001"/>
    <s v="Direct"/>
    <s v="Pyruvate formate lyase-like"/>
  </r>
  <r>
    <x v="0"/>
    <x v="0"/>
    <s v="Ofaveolata028038"/>
    <n v="1.4580464900000001"/>
    <n v="1.93578118"/>
    <s v="Direct"/>
    <s v="NA"/>
  </r>
  <r>
    <x v="0"/>
    <x v="0"/>
    <s v="Ofaveolata028042"/>
    <n v="2.9193944300000001"/>
    <n v="7.96425523"/>
    <s v="Direct"/>
    <s v="NA"/>
  </r>
  <r>
    <x v="0"/>
    <x v="0"/>
    <s v="Ofaveolata028074"/>
    <n v="2.8592979700000001"/>
    <n v="8.2221274100000006"/>
    <s v="Direct"/>
    <s v="NA"/>
  </r>
  <r>
    <x v="0"/>
    <x v="0"/>
    <s v="Ofaveolata028103"/>
    <n v="-1.4189262"/>
    <n v="-1.3116699999999999"/>
    <s v="Direct"/>
    <s v="NA"/>
  </r>
  <r>
    <x v="0"/>
    <x v="0"/>
    <s v="Ofaveolata028133"/>
    <n v="2.3338506099999998"/>
    <n v="2.1932424799999999"/>
    <s v="Direct"/>
    <s v="G-protein coupled receptor activity"/>
  </r>
  <r>
    <x v="0"/>
    <x v="0"/>
    <s v="Ofaveolata028243"/>
    <n v="4.4817991299999997"/>
    <n v="3.6408966"/>
    <s v="Direct"/>
    <s v="helicase activity"/>
  </r>
  <r>
    <x v="0"/>
    <x v="0"/>
    <s v="Ofaveolata028262"/>
    <n v="-4.0084828000000003"/>
    <n v="-4.4120581999999997"/>
    <s v="Direct"/>
    <s v="GRAM domain containing 1B"/>
  </r>
  <r>
    <x v="0"/>
    <x v="0"/>
    <s v="Ofaveolata028280"/>
    <n v="-1.5295326"/>
    <n v="-2.4140522"/>
    <s v="Direct"/>
    <s v="tRNA export from nucleus"/>
  </r>
  <r>
    <x v="0"/>
    <x v="0"/>
    <s v="Ofaveolata028391"/>
    <n v="-1.4772263999999999"/>
    <n v="-4.3774071000000001"/>
    <s v="Direct"/>
    <s v="nephronophthisis 1 (juvenile)"/>
  </r>
  <r>
    <x v="0"/>
    <x v="0"/>
    <s v="Ofaveolata028430"/>
    <n v="-1.0632389"/>
    <n v="-2.2694711999999999"/>
    <s v="Direct"/>
    <s v="NA"/>
  </r>
  <r>
    <x v="0"/>
    <x v="0"/>
    <s v="Ofaveolata028490"/>
    <n v="1.7199251799999999"/>
    <n v="2.7139449299999998"/>
    <s v="Direct"/>
    <s v="NA"/>
  </r>
  <r>
    <x v="0"/>
    <x v="0"/>
    <s v="Ofaveolata028555"/>
    <n v="3.2847583500000002"/>
    <n v="1.6786252800000001"/>
    <s v="Direct"/>
    <s v="NA"/>
  </r>
  <r>
    <x v="0"/>
    <x v="0"/>
    <s v="Ofaveolata028871"/>
    <n v="-1.0268961999999999"/>
    <n v="-1.8983467000000001"/>
    <s v="Direct"/>
    <s v="heart development"/>
  </r>
  <r>
    <x v="0"/>
    <x v="0"/>
    <s v="Ofaveolata029007"/>
    <n v="-1.1520484"/>
    <n v="-3.2730883999999998"/>
    <s v="Direct"/>
    <s v="DENN domain-containing protein"/>
  </r>
  <r>
    <x v="0"/>
    <x v="0"/>
    <s v="Ofaveolata029048"/>
    <n v="1.3224156199999999"/>
    <n v="1.7073523799999999"/>
    <s v="Direct"/>
    <s v="NA"/>
  </r>
  <r>
    <x v="0"/>
    <x v="0"/>
    <s v="Ofaveolata029189"/>
    <n v="-1.2112696000000001"/>
    <n v="-2.0003370999999999"/>
    <s v="Direct"/>
    <s v="betaine-homocysteine S-methyltransferase activity"/>
  </r>
  <r>
    <x v="0"/>
    <x v="0"/>
    <s v="Ofaveolata029192"/>
    <n v="2.3198340900000001"/>
    <n v="4.3025978499999997"/>
    <s v="Direct"/>
    <s v="MAC/Perforin domain"/>
  </r>
  <r>
    <x v="0"/>
    <x v="0"/>
    <s v="Ofaveolata029242"/>
    <n v="-1.8498418000000001"/>
    <n v="-3.7967184999999999"/>
    <s v="Direct"/>
    <s v="NA"/>
  </r>
  <r>
    <x v="0"/>
    <x v="0"/>
    <s v="Ofaveolata029294"/>
    <n v="-1.4885451000000001"/>
    <n v="-3.7188948000000002"/>
    <s v="Direct"/>
    <s v="Belongs to the oxygen-dependent FAD-linked oxidoreductase family"/>
  </r>
  <r>
    <x v="0"/>
    <x v="0"/>
    <s v="Ofaveolata029380"/>
    <n v="1.55260602"/>
    <n v="1.8286029699999999"/>
    <s v="Direct"/>
    <s v="G-protein coupled receptor activity"/>
  </r>
  <r>
    <x v="0"/>
    <x v="0"/>
    <s v="Ofaveolata029465"/>
    <n v="5.3119726399999996"/>
    <n v="7.2744563800000002"/>
    <s v="Direct"/>
    <s v="NA"/>
  </r>
  <r>
    <x v="0"/>
    <x v="0"/>
    <s v="Ofaveolata029502"/>
    <n v="1.8927358299999999"/>
    <n v="2.4184783099999998"/>
    <s v="Direct"/>
    <s v="NA"/>
  </r>
  <r>
    <x v="0"/>
    <x v="0"/>
    <s v="Ofaveolata029504"/>
    <n v="-2.300141"/>
    <n v="-1.6334191"/>
    <s v="Direct"/>
    <s v="NA"/>
  </r>
  <r>
    <x v="0"/>
    <x v="0"/>
    <s v="Ofaveolata029545"/>
    <n v="-2.4441027000000002"/>
    <n v="-2.530497"/>
    <s v="Direct"/>
    <s v="metalloendopeptidase activity"/>
  </r>
  <r>
    <x v="0"/>
    <x v="0"/>
    <s v="Ofaveolata029562"/>
    <n v="-3.0512381"/>
    <n v="-3.0239606000000001"/>
    <s v="Direct"/>
    <s v="NA"/>
  </r>
  <r>
    <x v="0"/>
    <x v="0"/>
    <s v="Ofaveolata029612"/>
    <n v="1.9722036700000001"/>
    <n v="5.9858869300000004"/>
    <s v="Direct"/>
    <s v="NA"/>
  </r>
  <r>
    <x v="0"/>
    <x v="0"/>
    <s v="Ofaveolata029622"/>
    <n v="1.4112518300000001"/>
    <n v="3.7680594799999998"/>
    <s v="Direct"/>
    <s v="Enoyl Coenzyme A hydratase domain containing 1"/>
  </r>
  <r>
    <x v="0"/>
    <x v="0"/>
    <s v="Ofaveolata029633"/>
    <n v="1.9748457800000001"/>
    <n v="2.80534463"/>
    <s v="Direct"/>
    <s v="Flavin-binding monooxygenase-like"/>
  </r>
  <r>
    <x v="0"/>
    <x v="0"/>
    <s v="Ofaveolata029695"/>
    <n v="-3.2514235999999999"/>
    <n v="-1.8023083"/>
    <s v="Direct"/>
    <s v="Ribosomal protein S16"/>
  </r>
  <r>
    <x v="0"/>
    <x v="0"/>
    <s v="Ofaveolata029700"/>
    <n v="2.1812181599999998"/>
    <n v="3.5903424300000002"/>
    <s v="Direct"/>
    <s v="serotonin receptor activity"/>
  </r>
  <r>
    <x v="0"/>
    <x v="0"/>
    <s v="Ofaveolata029768"/>
    <n v="1.2422661800000001"/>
    <n v="2.4385026000000001"/>
    <s v="Direct"/>
    <s v="calcium ion binding"/>
  </r>
  <r>
    <x v="0"/>
    <x v="0"/>
    <s v="Ofaveolata029802"/>
    <n v="-2.4948201000000001"/>
    <n v="-5.0192598999999998"/>
    <s v="Direct"/>
    <s v="NA"/>
  </r>
  <r>
    <x v="0"/>
    <x v="0"/>
    <s v="Ofaveolata029851"/>
    <n v="4.3264405799999999"/>
    <n v="5.8192181600000001"/>
    <s v="Direct"/>
    <s v="Lim homeobox"/>
  </r>
  <r>
    <x v="0"/>
    <x v="0"/>
    <s v="Ofaveolata029868"/>
    <n v="1.35235281"/>
    <n v="-1.6615437"/>
    <s v="Inverse"/>
    <s v="SCP / Tpx-1 / Ag5 / PR-1 / Sc7 family of extracellular domains."/>
  </r>
  <r>
    <x v="0"/>
    <x v="0"/>
    <s v="Ofaveolata029965"/>
    <n v="-1.2566820999999999"/>
    <n v="-4.7110203999999998"/>
    <s v="Direct"/>
    <s v="NA"/>
  </r>
  <r>
    <x v="0"/>
    <x v="0"/>
    <s v="Ofaveolata029995"/>
    <n v="1.86257129"/>
    <n v="1.52220639"/>
    <s v="Direct"/>
    <s v="ankyrin repeat"/>
  </r>
  <r>
    <x v="0"/>
    <x v="0"/>
    <s v="Ofaveolata030146"/>
    <n v="1.65230941"/>
    <n v="2.3747545099999998"/>
    <s v="Direct"/>
    <s v="NA"/>
  </r>
  <r>
    <x v="0"/>
    <x v="0"/>
    <s v="Ofaveolata030208"/>
    <n v="-3.1115849"/>
    <n v="-2.5595295"/>
    <s v="Direct"/>
    <s v="NA"/>
  </r>
  <r>
    <x v="0"/>
    <x v="0"/>
    <s v="Ofaveolata030214"/>
    <n v="-1.905972"/>
    <n v="-2.0310743000000002"/>
    <s v="Direct"/>
    <s v="Tnf receptor-associated factor 2"/>
  </r>
  <r>
    <x v="0"/>
    <x v="0"/>
    <s v="Ofaveolata030237"/>
    <n v="2.7827847299999999"/>
    <n v="3.9994237899999998"/>
    <s v="Direct"/>
    <s v="xylosyltransferase activity"/>
  </r>
  <r>
    <x v="0"/>
    <x v="0"/>
    <s v="Ofaveolata030250"/>
    <n v="-1.4835404999999999"/>
    <n v="-2.8105007"/>
    <s v="Direct"/>
    <s v="negative regulation of non-canonical Wnt signaling pathway"/>
  </r>
  <r>
    <x v="0"/>
    <x v="0"/>
    <s v="Ofaveolata030284"/>
    <n v="-2.300141"/>
    <n v="-2.24024"/>
    <s v="Direct"/>
    <s v="regulation of transcription by RNA polymerase II"/>
  </r>
  <r>
    <x v="0"/>
    <x v="0"/>
    <s v="Ofaveolata030294"/>
    <n v="1.0377814299999999"/>
    <n v="1.1739423899999999"/>
    <s v="Direct"/>
    <s v="NA"/>
  </r>
  <r>
    <x v="0"/>
    <x v="0"/>
    <s v="Ofaveolata030316"/>
    <n v="-5.8022330000000002"/>
    <n v="-3.7904217999999998"/>
    <s v="Direct"/>
    <s v="NA"/>
  </r>
  <r>
    <x v="0"/>
    <x v="0"/>
    <s v="Ofaveolata030350"/>
    <n v="4.2161153799999997"/>
    <n v="3.3083505299999998"/>
    <s v="Direct"/>
    <s v="TBC1 domain family member"/>
  </r>
  <r>
    <x v="0"/>
    <x v="0"/>
    <s v="Ofaveolata030368"/>
    <n v="1.8563342899999999"/>
    <n v="2.7539665499999999"/>
    <s v="Direct"/>
    <s v="queuine tRNA-ribosyltransferase activity"/>
  </r>
  <r>
    <x v="0"/>
    <x v="0"/>
    <s v="Ofaveolata030379"/>
    <n v="-2.9383088000000002"/>
    <n v="-2.8311261999999999"/>
    <s v="Direct"/>
    <s v="negative regulation of non-canonical Wnt signaling pathway"/>
  </r>
  <r>
    <x v="0"/>
    <x v="0"/>
    <s v="Ofaveolata030398"/>
    <n v="1.7829007299999999"/>
    <n v="10.244050100000001"/>
    <s v="Direct"/>
    <s v="NA"/>
  </r>
  <r>
    <x v="0"/>
    <x v="0"/>
    <s v="Ofaveolata030445"/>
    <n v="2.3978953199999999"/>
    <n v="2.2055654699999998"/>
    <s v="Direct"/>
    <s v="histone H3-S10 phosphorylation involved in chromosome condensation"/>
  </r>
  <r>
    <x v="0"/>
    <x v="0"/>
    <s v="Ofaveolata030493"/>
    <n v="-1.2959233999999999"/>
    <n v="-1.0744218999999999"/>
    <s v="Direct"/>
    <s v="Formyl transferase, C-terminal domain"/>
  </r>
  <r>
    <x v="0"/>
    <x v="0"/>
    <s v="Ofaveolata030532"/>
    <n v="-2.7827847000000001"/>
    <n v="-13.618753999999999"/>
    <s v="Direct"/>
    <s v="Zona pellucida-like domain"/>
  </r>
  <r>
    <x v="0"/>
    <x v="0"/>
    <s v="Ofaveolata030584"/>
    <n v="1.0640443500000001"/>
    <n v="2.8745631199999999"/>
    <s v="Direct"/>
    <s v="DNA repair protein"/>
  </r>
  <r>
    <x v="0"/>
    <x v="0"/>
    <s v="Ofaveolata030646"/>
    <n v="1.6396993"/>
    <n v="3.2372439900000001"/>
    <s v="Direct"/>
    <s v="NA"/>
  </r>
  <r>
    <x v="0"/>
    <x v="0"/>
    <s v="Ofaveolata030656"/>
    <n v="2.54592413"/>
    <n v="8.0205093900000008"/>
    <s v="Direct"/>
    <s v="Crystallin, zeta (quinone reductase)"/>
  </r>
  <r>
    <x v="0"/>
    <x v="0"/>
    <s v="Ofaveolata030677"/>
    <n v="1.4158487900000001"/>
    <n v="3.4594420600000002"/>
    <s v="Direct"/>
    <s v="proximal promoter DNA-binding transcription activator activity, RNA polymerase II-specific"/>
  </r>
  <r>
    <x v="0"/>
    <x v="0"/>
    <s v="Ofaveolata030686"/>
    <n v="1.00729947"/>
    <n v="3.7260874199999998"/>
    <s v="Direct"/>
    <s v="NA"/>
  </r>
  <r>
    <x v="0"/>
    <x v="0"/>
    <s v="Ofaveolata030702"/>
    <n v="-1.791326"/>
    <n v="-2.7382323999999998"/>
    <s v="Direct"/>
    <s v="neurotransmitter:sodium symporter activity"/>
  </r>
  <r>
    <x v="0"/>
    <x v="0"/>
    <s v="Ofaveolata030807"/>
    <n v="1.5707154000000001"/>
    <n v="4.8906369300000003"/>
    <s v="Direct"/>
    <s v="phospholipase domain containing 6"/>
  </r>
  <r>
    <x v="0"/>
    <x v="0"/>
    <s v="Ofaveolata030943"/>
    <n v="1.3651442300000001"/>
    <n v="1.60298454"/>
    <s v="Direct"/>
    <s v="NA"/>
  </r>
  <r>
    <x v="0"/>
    <x v="0"/>
    <s v="Ofaveolata031066"/>
    <n v="1.40761326"/>
    <n v="1.9164673000000001"/>
    <s v="Direct"/>
    <s v="rRNA base methylation"/>
  </r>
  <r>
    <x v="0"/>
    <x v="0"/>
    <s v="Ofaveolata031080"/>
    <n v="1.90426696"/>
    <n v="-2.1962104"/>
    <s v="Inverse"/>
    <s v="fibroblast growth factor-activated receptor activity"/>
  </r>
  <r>
    <x v="0"/>
    <x v="0"/>
    <s v="Ofaveolata031110"/>
    <n v="2.4327905300000001"/>
    <n v="4.3549582200000003"/>
    <s v="Direct"/>
    <s v="amidohydrolase domain containing 1"/>
  </r>
  <r>
    <x v="0"/>
    <x v="0"/>
    <s v="Ofaveolata031129"/>
    <n v="-1.4798602000000001"/>
    <n v="-2.8470276999999999"/>
    <s v="Direct"/>
    <s v="NA"/>
  </r>
  <r>
    <x v="0"/>
    <x v="0"/>
    <s v="Ofaveolata031334"/>
    <n v="5.5663284800000001"/>
    <n v="19.044891499999999"/>
    <s v="Direct"/>
    <s v="Common central domain of tyrosinase"/>
  </r>
  <r>
    <x v="0"/>
    <x v="0"/>
    <s v="Ofaveolata031444"/>
    <n v="2.9486555000000001"/>
    <n v="1.72202276"/>
    <s v="Direct"/>
    <s v="NA"/>
  </r>
  <r>
    <x v="0"/>
    <x v="0"/>
    <s v="Ofaveolata031457"/>
    <n v="-1.0032633"/>
    <n v="-5.2760829999999999"/>
    <s v="Direct"/>
    <s v="homophilic cell adhesion via plasma membrane adhesion molecules"/>
  </r>
  <r>
    <x v="0"/>
    <x v="0"/>
    <s v="Ofaveolata031462"/>
    <n v="1.6995032800000001"/>
    <n v="2.6945609199999998"/>
    <s v="Direct"/>
    <s v="Solute carrier family 35 (UDP-galactose transporter), member A2"/>
  </r>
  <r>
    <x v="0"/>
    <x v="0"/>
    <s v="Ofaveolata031467"/>
    <n v="4.1788827099999999"/>
    <n v="18.4915387"/>
    <s v="Direct"/>
    <s v="NA"/>
  </r>
  <r>
    <x v="0"/>
    <x v="0"/>
    <s v="Ofaveolata031505"/>
    <n v="2.68582294"/>
    <n v="10.259726000000001"/>
    <s v="Direct"/>
    <s v="NA"/>
  </r>
  <r>
    <x v="0"/>
    <x v="0"/>
    <s v="Ofaveolata031524"/>
    <n v="-1.5942475"/>
    <n v="-4.8387235999999998"/>
    <s v="Direct"/>
    <s v="NA"/>
  </r>
  <r>
    <x v="0"/>
    <x v="0"/>
    <s v="Ofaveolata031663"/>
    <n v="1.2145049800000001"/>
    <n v="5.9593758699999997"/>
    <s v="Direct"/>
    <s v="NA"/>
  </r>
  <r>
    <x v="0"/>
    <x v="0"/>
    <s v="Ofaveolata031733"/>
    <n v="2.3338506099999998"/>
    <n v="7.7317887299999999"/>
    <s v="Direct"/>
    <s v="NA"/>
  </r>
  <r>
    <x v="0"/>
    <x v="0"/>
    <s v="Ofaveolata031790"/>
    <n v="-1.3066062000000001"/>
    <n v="-6.3524015"/>
    <s v="Direct"/>
    <s v="NA"/>
  </r>
  <r>
    <x v="0"/>
    <x v="0"/>
    <s v="Ofaveolata031804"/>
    <n v="-2.2708039000000002"/>
    <n v="-6.1883016"/>
    <s v="Direct"/>
    <s v="Leukotriene A-4 hydrolase"/>
  </r>
  <r>
    <x v="0"/>
    <x v="0"/>
    <s v="Ofaveolata031835"/>
    <n v="1.0332003700000001"/>
    <n v="10.290396700000001"/>
    <s v="Direct"/>
    <s v="Sortilin"/>
  </r>
  <r>
    <x v="0"/>
    <x v="0"/>
    <s v="Ofaveolata031923"/>
    <n v="-1.5646717000000001"/>
    <n v="-3.8159869999999998"/>
    <s v="Direct"/>
    <s v="metanephric glomerular basement membrane development"/>
  </r>
  <r>
    <x v="0"/>
    <x v="0"/>
    <s v="Ofaveolata031958"/>
    <n v="6.8724451799999997"/>
    <n v="9.7426997100000001"/>
    <s v="Direct"/>
    <s v="NA"/>
  </r>
  <r>
    <x v="0"/>
    <x v="0"/>
    <s v="Ofaveolata031959"/>
    <n v="1.46211921"/>
    <n v="5.19452055"/>
    <s v="Direct"/>
    <s v="NA"/>
  </r>
  <r>
    <x v="0"/>
    <x v="0"/>
    <s v="Ofaveolata031960"/>
    <n v="3.6719775299999999"/>
    <n v="7.4826875299999998"/>
    <s v="Direct"/>
    <s v="NA"/>
  </r>
  <r>
    <x v="0"/>
    <x v="0"/>
    <s v="Ofaveolata031981"/>
    <n v="-5.3268452000000002"/>
    <n v="-6.1826235"/>
    <s v="Direct"/>
    <s v="galactose-3-O-sulfotransferase 1"/>
  </r>
  <r>
    <x v="0"/>
    <x v="0"/>
    <s v="Ofaveolata032005"/>
    <n v="-1.3246038"/>
    <n v="-4.4856790999999996"/>
    <s v="Direct"/>
    <s v="nuclear-transcribed mRNA catabolic process, nonsense-mediated decay"/>
  </r>
  <r>
    <x v="0"/>
    <x v="0"/>
    <s v="Ofaveolata032013"/>
    <n v="-1.8563343000000001"/>
    <n v="-6.6190116000000003"/>
    <s v="Direct"/>
    <s v="NA"/>
  </r>
  <r>
    <x v="0"/>
    <x v="0"/>
    <s v="Ofaveolata032021"/>
    <n v="1.2405051600000001"/>
    <n v="4.2555059699999997"/>
    <s v="Direct"/>
    <s v="bone morphogenetic protein"/>
  </r>
  <r>
    <x v="0"/>
    <x v="0"/>
    <s v="Ofaveolata032044"/>
    <n v="-2.2219224999999998"/>
    <n v="-6.7302339"/>
    <s v="Direct"/>
    <s v="NA"/>
  </r>
  <r>
    <x v="0"/>
    <x v="0"/>
    <s v="Ofaveolata032061"/>
    <n v="1.0477375499999999"/>
    <n v="3.3786785099999999"/>
    <s v="Direct"/>
    <s v="NA"/>
  </r>
  <r>
    <x v="0"/>
    <x v="0"/>
    <s v="Ofaveolata032087"/>
    <n v="-3.8989400000000001"/>
    <n v="-1.2175940000000001"/>
    <s v="Direct"/>
    <s v="NA"/>
  </r>
  <r>
    <x v="0"/>
    <x v="0"/>
    <s v="Ofaveolata032091"/>
    <n v="-1.3076608999999999"/>
    <n v="-2.6279659"/>
    <s v="Direct"/>
    <s v="NA"/>
  </r>
  <r>
    <x v="0"/>
    <x v="0"/>
    <s v="Ofaveolata032103"/>
    <n v="-2.1418754"/>
    <n v="-3.6114236000000002"/>
    <s v="Direct"/>
    <s v="NA"/>
  </r>
  <r>
    <x v="0"/>
    <x v="0"/>
    <s v="Ofaveolata032105"/>
    <n v="-2.2939679000000002"/>
    <n v="-6.0024027999999996"/>
    <s v="Direct"/>
    <s v="Heat shock 70 kDa protein 12A-like"/>
  </r>
  <r>
    <x v="0"/>
    <x v="0"/>
    <s v="Ofaveolata032148"/>
    <n v="2.0015612300000001"/>
    <n v="2.6605399900000002"/>
    <s v="Direct"/>
    <s v="coreceptor activity involved in Wnt signaling pathway, planar cell polarity pathway"/>
  </r>
  <r>
    <x v="0"/>
    <x v="0"/>
    <s v="Ofaveolata032234"/>
    <n v="2.5098414"/>
    <n v="-2.1916145"/>
    <s v="Inverse"/>
    <s v="NA"/>
  </r>
  <r>
    <x v="0"/>
    <x v="0"/>
    <s v="Ofaveolata032272"/>
    <n v="1.8680080699999999"/>
    <n v="3.2438064799999999"/>
    <s v="Direct"/>
    <s v="Threonine synthase N terminus"/>
  </r>
  <r>
    <x v="0"/>
    <x v="0"/>
    <s v="Ofaveolata032302"/>
    <n v="1.8023459500000001"/>
    <n v="6.93916252"/>
    <s v="Direct"/>
    <s v="NA"/>
  </r>
  <r>
    <x v="0"/>
    <x v="0"/>
    <s v="Ofaveolata032315"/>
    <n v="3.2130570199999999"/>
    <n v="4.1255456099999996"/>
    <s v="Direct"/>
    <s v="Von Willebrand factor A"/>
  </r>
  <r>
    <x v="0"/>
    <x v="0"/>
    <s v="Ofaveolata032330"/>
    <n v="1.70448556"/>
    <n v="3.8073765700000002"/>
    <s v="Direct"/>
    <s v="NA"/>
  </r>
  <r>
    <x v="0"/>
    <x v="0"/>
    <s v="Ofaveolata032360"/>
    <n v="1.0330288000000001"/>
    <n v="1.9775375799999999"/>
    <s v="Direct"/>
    <s v="Ataxin-1 and HBP1 module (AXH)"/>
  </r>
  <r>
    <x v="0"/>
    <x v="0"/>
    <s v="Ofaveolata032433"/>
    <n v="1.9603067700000001"/>
    <n v="6.1698373399999999"/>
    <s v="Direct"/>
    <s v="NA"/>
  </r>
  <r>
    <x v="0"/>
    <x v="0"/>
    <s v="Ofaveolata032490"/>
    <n v="-1.5059100000000001"/>
    <n v="-1.5357627"/>
    <s v="Direct"/>
    <s v="NA"/>
  </r>
  <r>
    <x v="0"/>
    <x v="0"/>
    <s v="Ofaveolata032618"/>
    <n v="4.74875238"/>
    <n v="1.34221167"/>
    <s v="Direct"/>
    <s v="NA"/>
  </r>
  <r>
    <x v="0"/>
    <x v="0"/>
    <s v="Ofaveolata032619"/>
    <n v="2.5148940999999998"/>
    <n v="8.0951174600000009"/>
    <s v="Direct"/>
    <s v="NA"/>
  </r>
  <r>
    <x v="0"/>
    <x v="0"/>
    <s v="Ofaveolata032629"/>
    <n v="-1.5531045000000001"/>
    <n v="-2.9925717999999999"/>
    <s v="Direct"/>
    <s v="NA"/>
  </r>
  <r>
    <x v="0"/>
    <x v="0"/>
    <s v="Ofaveolata032719"/>
    <n v="1.4153232"/>
    <n v="4.8934641499999998"/>
    <s v="Direct"/>
    <s v="Rap protein signal transduction"/>
  </r>
  <r>
    <x v="0"/>
    <x v="0"/>
    <s v="Ofaveolata032836"/>
    <n v="4.6126474999999996"/>
    <n v="14.3779217"/>
    <s v="Direct"/>
    <s v="NA"/>
  </r>
  <r>
    <x v="0"/>
    <x v="0"/>
    <s v="Ofaveolata032893"/>
    <n v="-1.3848503000000001"/>
    <n v="-4.2062971999999998"/>
    <s v="Direct"/>
    <s v="NA"/>
  </r>
  <r>
    <x v="0"/>
    <x v="0"/>
    <s v="Ofaveolata032996"/>
    <n v="1.67981384"/>
    <n v="1.0319018099999999"/>
    <s v="Direct"/>
    <s v="NA"/>
  </r>
  <r>
    <x v="0"/>
    <x v="0"/>
    <s v="Ofaveolata033081"/>
    <n v="-1.3898204000000001"/>
    <n v="-7.4529306000000002"/>
    <s v="Direct"/>
    <s v="Ubiquitin homologues"/>
  </r>
  <r>
    <x v="0"/>
    <x v="0"/>
    <s v="Ofaveolata033223"/>
    <n v="-2.1340127"/>
    <n v="-2.9371529000000001"/>
    <s v="Direct"/>
    <s v="suppressor of cytokine signaling"/>
  </r>
  <r>
    <x v="0"/>
    <x v="0"/>
    <s v="Ofaveolata033267"/>
    <n v="-1.5295326"/>
    <n v="-2.9459293999999998"/>
    <s v="Direct"/>
    <s v="glucuronosyltransferase activity"/>
  </r>
  <r>
    <x v="0"/>
    <x v="0"/>
    <s v="Ofaveolata033376"/>
    <n v="-2.5129804"/>
    <n v="-1.9870475000000001"/>
    <s v="Direct"/>
    <s v="NA"/>
  </r>
  <r>
    <x v="0"/>
    <x v="0"/>
    <s v="Ofaveolata033404"/>
    <n v="-2.2773626"/>
    <n v="-2.7133995"/>
    <s v="Direct"/>
    <s v="beta-tubulin binding"/>
  </r>
  <r>
    <x v="0"/>
    <x v="0"/>
    <s v="Ofaveolata033414"/>
    <n v="1.33118695"/>
    <n v="1.9121308400000001"/>
    <s v="Direct"/>
    <s v="Iron/manganese superoxide dismutases, C-terminal domain"/>
  </r>
  <r>
    <x v="0"/>
    <x v="0"/>
    <s v="Ofaveolata033445"/>
    <n v="1.11478436"/>
    <n v="3.70107586"/>
    <s v="Direct"/>
    <s v="catalytic activity. It is involved in the biological process described with metabolic process"/>
  </r>
  <r>
    <x v="0"/>
    <x v="0"/>
    <s v="Ofaveolata033492"/>
    <n v="1.1698308500000001"/>
    <n v="9.1252521800000004"/>
    <s v="Direct"/>
    <s v="fibroblast growth factor receptor binding"/>
  </r>
  <r>
    <x v="0"/>
    <x v="0"/>
    <s v="Ofaveolata033543"/>
    <n v="-2.0930666000000002"/>
    <n v="-3.3884059999999998"/>
    <s v="Direct"/>
    <s v="NA"/>
  </r>
  <r>
    <x v="0"/>
    <x v="0"/>
    <s v="Ofaveolata033584"/>
    <n v="3.7477662999999999"/>
    <n v="1.7964493100000001"/>
    <s v="Direct"/>
    <s v="NA"/>
  </r>
  <r>
    <x v="0"/>
    <x v="0"/>
    <s v="Ofaveolata033590"/>
    <n v="1.9059719900000001"/>
    <n v="1.6284055200000001"/>
    <s v="Direct"/>
    <s v="DNA primase activity"/>
  </r>
  <r>
    <x v="0"/>
    <x v="0"/>
    <s v="Ofaveolata033700"/>
    <n v="2.8586807799999998"/>
    <n v="8.1120879699999993"/>
    <s v="Direct"/>
    <s v="Collagen triple helix repeat containing 1"/>
  </r>
  <r>
    <x v="0"/>
    <x v="0"/>
    <s v="Ofaveolata033704"/>
    <n v="4.0485510299999996"/>
    <n v="2.3730246899999998"/>
    <s v="Direct"/>
    <s v="NA"/>
  </r>
  <r>
    <x v="0"/>
    <x v="0"/>
    <s v="Ofaveolata033708"/>
    <n v="1.4987687999999999"/>
    <n v="1.92210938"/>
    <s v="Direct"/>
    <s v="Proteasome activator complex subunit 4"/>
  </r>
  <r>
    <x v="0"/>
    <x v="0"/>
    <s v="Ofaveolata033710"/>
    <n v="1.7848343"/>
    <n v="1.1030340000000001"/>
    <s v="Direct"/>
    <s v="proteasomal ubiquitin-independent protein catabolic process"/>
  </r>
  <r>
    <x v="0"/>
    <x v="0"/>
    <s v="Ofaveolata033711"/>
    <n v="1.49401915"/>
    <n v="6.2650144799999996"/>
    <s v="Direct"/>
    <s v="p21(CDKN1A)-activated kinase 7"/>
  </r>
  <r>
    <x v="0"/>
    <x v="0"/>
    <s v="Ofaveolata033713"/>
    <n v="1.40694736"/>
    <n v="4.32537371"/>
    <s v="Direct"/>
    <s v="NA"/>
  </r>
  <r>
    <x v="0"/>
    <x v="0"/>
    <s v="Ofaveolata033714"/>
    <n v="2.9861724500000002"/>
    <n v="7.3759209200000004"/>
    <s v="Direct"/>
    <s v="NA"/>
  </r>
  <r>
    <x v="0"/>
    <x v="0"/>
    <s v="Ofaveolata033717"/>
    <n v="1.21164355"/>
    <n v="3.7260220199999998"/>
    <s v="Direct"/>
    <s v="Proteasome activator complex subunit 4"/>
  </r>
  <r>
    <x v="0"/>
    <x v="0"/>
    <s v="Ofaveolata033823"/>
    <n v="1.46506479"/>
    <n v="1.34434626"/>
    <s v="Direct"/>
    <s v="metalloaminopeptidase activity"/>
  </r>
  <r>
    <x v="0"/>
    <x v="0"/>
    <s v="Ofaveolata033895"/>
    <n v="-2.7135286999999999"/>
    <n v="-5.9542874000000001"/>
    <s v="Direct"/>
    <s v="NA"/>
  </r>
  <r>
    <x v="0"/>
    <x v="0"/>
    <s v="Ofaveolata033921"/>
    <n v="1.87057396"/>
    <n v="4.7187467200000004"/>
    <s v="Direct"/>
    <s v="NA"/>
  </r>
  <r>
    <x v="0"/>
    <x v="0"/>
    <s v="Ofaveolata033934"/>
    <n v="-1.5697892"/>
    <n v="-2.7221123"/>
    <s v="Direct"/>
    <s v="NA"/>
  </r>
  <r>
    <x v="0"/>
    <x v="0"/>
    <s v="Ofaveolata033949"/>
    <n v="-1.4625208999999999"/>
    <n v="-1.8201113"/>
    <s v="Direct"/>
    <s v="NA"/>
  </r>
  <r>
    <x v="0"/>
    <x v="0"/>
    <s v="Ofaveolata033957"/>
    <n v="-3.7137804999999999"/>
    <n v="-4.4101952999999998"/>
    <s v="Direct"/>
    <s v="NA"/>
  </r>
  <r>
    <x v="0"/>
    <x v="0"/>
    <s v="Ofaveolata034141"/>
    <n v="-1.1108408999999999"/>
    <n v="-1.4124705"/>
    <s v="Direct"/>
    <s v="NFX1-type zinc finger-containing protein"/>
  </r>
  <r>
    <x v="0"/>
    <x v="0"/>
    <s v="Ofaveolata034150"/>
    <n v="1.3076609100000001"/>
    <n v="1.3348157"/>
    <s v="Direct"/>
    <s v="Broad-Complex, Tramtrack and Bric a brac"/>
  </r>
  <r>
    <x v="0"/>
    <x v="0"/>
    <s v="Ofaveolata034192"/>
    <n v="-1.1877378999999999"/>
    <n v="-1.2807166000000001"/>
    <s v="Direct"/>
    <s v="oxygen carrier activity"/>
  </r>
  <r>
    <x v="0"/>
    <x v="0"/>
    <s v="Ofaveolata034195"/>
    <n v="-4.1179528999999997"/>
    <n v="-3.8130901000000001"/>
    <s v="Direct"/>
    <s v="NA"/>
  </r>
  <r>
    <x v="0"/>
    <x v="0"/>
    <s v="Ofaveolata034209"/>
    <n v="-1.7243086000000001"/>
    <n v="-3.7587959"/>
    <s v="Direct"/>
    <s v="NA"/>
  </r>
  <r>
    <x v="0"/>
    <x v="0"/>
    <s v="Ofaveolata034305"/>
    <n v="1.04110883"/>
    <n v="-1.5578882999999999"/>
    <s v="Inverse"/>
    <s v="NA"/>
  </r>
  <r>
    <x v="0"/>
    <x v="0"/>
    <s v="Ofaveolata034345"/>
    <n v="-5.1148103999999996"/>
    <n v="-4.5902652000000002"/>
    <s v="Direct"/>
    <s v="NA"/>
  </r>
  <r>
    <x v="0"/>
    <x v="0"/>
    <s v="Ofaveolata034462"/>
    <n v="1.5443544199999999"/>
    <n v="6.3424048800000001"/>
    <s v="Direct"/>
    <s v="NA"/>
  </r>
  <r>
    <x v="0"/>
    <x v="0"/>
    <s v="Ofaveolata034571"/>
    <n v="2.6986138500000001"/>
    <n v="5.0665423699999996"/>
    <s v="Direct"/>
    <s v="NA"/>
  </r>
  <r>
    <x v="0"/>
    <x v="0"/>
    <s v="Ofaveolata034622"/>
    <n v="-2.9715753"/>
    <n v="-1.2091787000000001"/>
    <s v="Direct"/>
    <s v="NA"/>
  </r>
  <r>
    <x v="0"/>
    <x v="0"/>
    <s v="Ofaveolata034700"/>
    <n v="-1.1634625999999999"/>
    <n v="-1.4602491"/>
    <s v="Direct"/>
    <s v="NA"/>
  </r>
  <r>
    <x v="0"/>
    <x v="0"/>
    <s v="Ofaveolata034846"/>
    <n v="-1.3956529"/>
    <n v="-1.2297693999999999"/>
    <s v="Direct"/>
    <s v="NA"/>
  </r>
  <r>
    <x v="0"/>
    <x v="0"/>
    <s v="Ofaveolata034868"/>
    <n v="1.8793090800000001"/>
    <n v="1.8060616599999999"/>
    <s v="Direct"/>
    <s v="NA"/>
  </r>
  <r>
    <x v="0"/>
    <x v="0"/>
    <s v="Ofaveolata034882"/>
    <n v="1.4918331899999999"/>
    <n v="1.35651678"/>
    <s v="Direct"/>
    <s v="NA"/>
  </r>
  <r>
    <x v="0"/>
    <x v="0"/>
    <s v="Ofaveolata034890"/>
    <n v="4.1788827099999999"/>
    <n v="1.96190899"/>
    <s v="Direct"/>
    <s v="NA"/>
  </r>
  <r>
    <x v="0"/>
    <x v="0"/>
    <s v="Ofaveolata034915"/>
    <n v="-3.7137804999999999"/>
    <n v="-2.8405073999999999"/>
    <s v="Direct"/>
    <s v="Ribonuclease H protein"/>
  </r>
  <r>
    <x v="0"/>
    <x v="0"/>
    <s v="Ofaveolata034956"/>
    <n v="-1.4153232"/>
    <n v="-2.3691122999999998"/>
    <s v="Direct"/>
    <s v="NA"/>
  </r>
  <r>
    <x v="0"/>
    <x v="0"/>
    <s v="Ofaveolata034961"/>
    <n v="1.45404044"/>
    <n v="4.2054940800000002"/>
    <s v="Direct"/>
    <s v="carbamoyl-phosphate synthase (glutamine-hydrolyzing) activity"/>
  </r>
  <r>
    <x v="0"/>
    <x v="0"/>
    <s v="Ofaveolata034991"/>
    <n v="1.60073223"/>
    <n v="1.7897204900000001"/>
    <s v="Direct"/>
    <s v="Collagen triple helix"/>
  </r>
  <r>
    <x v="0"/>
    <x v="0"/>
    <s v="Ofaveolata034994"/>
    <n v="1.8571526"/>
    <n v="2.6933962600000001"/>
    <s v="Direct"/>
    <s v="Collagen triple helix"/>
  </r>
  <r>
    <x v="0"/>
    <x v="0"/>
    <s v="Ofaveolata034996"/>
    <n v="-1.0025786000000001"/>
    <n v="-6.1826235"/>
    <s v="Direct"/>
    <s v="NA"/>
  </r>
  <r>
    <x v="0"/>
    <x v="0"/>
    <s v="Ofaveolata035012"/>
    <n v="-1.1336982"/>
    <n v="-2.4276087999999998"/>
    <s v="Direct"/>
    <s v="NA"/>
  </r>
  <r>
    <x v="0"/>
    <x v="0"/>
    <s v="Ofaveolata035015"/>
    <n v="-1.6852210000000001"/>
    <n v="-1.6899291000000001"/>
    <s v="Direct"/>
    <s v="NA"/>
  </r>
  <r>
    <x v="0"/>
    <x v="0"/>
    <s v="Ofaveolata035074"/>
    <n v="-2.0242732000000001"/>
    <n v="-2.0968897000000002"/>
    <s v="Direct"/>
    <s v="NA"/>
  </r>
  <r>
    <x v="0"/>
    <x v="0"/>
    <s v="Ofaveolata035075"/>
    <n v="-1.9722036999999999"/>
    <n v="-7.5389714999999997"/>
    <s v="Direct"/>
    <s v="NA"/>
  </r>
  <r>
    <x v="0"/>
    <x v="0"/>
    <s v="Ofaveolata035076"/>
    <n v="-3.9630938000000002"/>
    <n v="-6.3706253000000004"/>
    <s v="Direct"/>
    <s v="NA"/>
  </r>
  <r>
    <x v="0"/>
    <x v="0"/>
    <s v="Ofaveolata035181"/>
    <n v="-1.6641858"/>
    <n v="-5.5898725999999996"/>
    <s v="Direct"/>
    <s v="regulation of mitotic cell cycle"/>
  </r>
  <r>
    <x v="0"/>
    <x v="0"/>
    <s v="Ofaveolata035182"/>
    <n v="-1.6091599000000001"/>
    <n v="-6.9685812"/>
    <s v="Direct"/>
    <s v="regulation of mitotic cell cycle"/>
  </r>
  <r>
    <x v="0"/>
    <x v="0"/>
    <s v="Ofaveolata035201"/>
    <n v="-1.6734"/>
    <n v="-4.0880482999999996"/>
    <s v="Direct"/>
    <s v="NA"/>
  </r>
  <r>
    <x v="0"/>
    <x v="0"/>
    <s v="Ofaveolata035242"/>
    <n v="-2.1812182"/>
    <n v="-1.2909761"/>
    <s v="Direct"/>
    <s v="Ribonuclease H protein"/>
  </r>
  <r>
    <x v="0"/>
    <x v="0"/>
    <s v="Ofaveolata035338"/>
    <n v="1.72565327"/>
    <n v="2.1210403200000001"/>
    <s v="Direct"/>
    <s v="NA"/>
  </r>
  <r>
    <x v="0"/>
    <x v="0"/>
    <s v="Ofaveolata035380"/>
    <n v="-1.787037"/>
    <n v="-1.1645589999999999"/>
    <s v="Direct"/>
    <s v="NA"/>
  </r>
  <r>
    <x v="0"/>
    <x v="0"/>
    <s v="Ofaveolata035382"/>
    <n v="-3.3140355000000001"/>
    <n v="-1.9609209999999999"/>
    <s v="Direct"/>
    <s v="NA"/>
  </r>
  <r>
    <x v="0"/>
    <x v="0"/>
    <s v="Ofaveolata035421"/>
    <n v="-1.5043508999999999"/>
    <n v="-2.0283446999999999"/>
    <s v="Direct"/>
    <s v="heterochromatin maintenance"/>
  </r>
  <r>
    <x v="0"/>
    <x v="0"/>
    <s v="Ofaveolata035463"/>
    <n v="1.5871231400000001"/>
    <n v="8.8981764999999999"/>
    <s v="Direct"/>
    <s v="NA"/>
  </r>
  <r>
    <x v="0"/>
    <x v="0"/>
    <s v="Ofaveolata035507"/>
    <n v="-1.1680721999999999"/>
    <n v="-1.7456497"/>
    <s v="Direct"/>
    <s v="NA"/>
  </r>
  <r>
    <x v="0"/>
    <x v="0"/>
    <s v="Ofaveolata035510"/>
    <n v="2.4358924499999999"/>
    <n v="2.5745478199999998"/>
    <s v="Direct"/>
    <s v="NA"/>
  </r>
  <r>
    <x v="0"/>
    <x v="0"/>
    <s v="Ofaveolata035558"/>
    <n v="1.0477375499999999"/>
    <n v="1.2253899399999999"/>
    <s v="Direct"/>
    <s v="monooxygenase activity"/>
  </r>
  <r>
    <x v="0"/>
    <x v="0"/>
    <s v="Ofaveolata035589"/>
    <n v="-1.359731"/>
    <n v="-5.9340324000000004"/>
    <s v="Direct"/>
    <s v="BTB POZ domain-containing protein"/>
  </r>
  <r>
    <x v="0"/>
    <x v="0"/>
    <s v="Ofaveolata035591"/>
    <n v="-1.5707154000000001"/>
    <n v="-1.4159983"/>
    <s v="Direct"/>
    <s v="NA"/>
  </r>
  <r>
    <x v="0"/>
    <x v="0"/>
    <s v="Ofaveolata035608"/>
    <n v="-1.5059100000000001"/>
    <n v="-1.1066454999999999"/>
    <s v="Direct"/>
    <s v="NA"/>
  </r>
  <r>
    <x v="0"/>
    <x v="0"/>
    <s v="Ofaveolata035629"/>
    <n v="1.4401134200000001"/>
    <n v="4.60265784"/>
    <s v="Direct"/>
    <s v="osmolarity-sensing cation channel activity"/>
  </r>
  <r>
    <x v="0"/>
    <x v="0"/>
    <s v="Ofaveolata035679"/>
    <n v="1.80445437"/>
    <n v="1.37965088"/>
    <s v="Direct"/>
    <s v="NA"/>
  </r>
  <r>
    <x v="0"/>
    <x v="0"/>
    <s v="Ofaveolata035693"/>
    <n v="1.56965581"/>
    <n v="3.7274306799999999"/>
    <s v="Direct"/>
    <s v="NA"/>
  </r>
  <r>
    <x v="0"/>
    <x v="0"/>
    <s v="Ofaveolata035744"/>
    <n v="1.7820461700000001"/>
    <n v="7.8279283599999996"/>
    <s v="Direct"/>
    <s v="Domain of unknown function (DUF4419)"/>
  </r>
  <r>
    <x v="0"/>
    <x v="0"/>
    <s v="Ofaveolata035843"/>
    <n v="1.09865002"/>
    <n v="5.8076129999999999"/>
    <s v="Direct"/>
    <s v="transcription regulator activity"/>
  </r>
  <r>
    <x v="0"/>
    <x v="0"/>
    <s v="Ofaveolata035872"/>
    <n v="2.1812181599999998"/>
    <n v="2.8881213099999998"/>
    <s v="Direct"/>
    <s v="NA"/>
  </r>
  <r>
    <x v="0"/>
    <x v="0"/>
    <s v="Ofaveolata035920"/>
    <n v="1.09012424"/>
    <n v="1.6026117"/>
    <s v="Direct"/>
    <s v="NA"/>
  </r>
  <r>
    <x v="0"/>
    <x v="0"/>
    <s v="Ofaveolata035923"/>
    <n v="-4.7850672000000003"/>
    <n v="-6.8263958999999996"/>
    <s v="Direct"/>
    <s v="NA"/>
  </r>
  <r>
    <x v="0"/>
    <x v="0"/>
    <s v="Ofaveolata036006"/>
    <n v="1.10374039"/>
    <n v="1.82384708"/>
    <s v="Direct"/>
    <s v="NA"/>
  </r>
  <r>
    <x v="0"/>
    <x v="0"/>
    <s v="Ofaveolata036018"/>
    <n v="1.5707154000000001"/>
    <n v="3.5526430699999998"/>
    <s v="Direct"/>
    <s v="G-protein coupled receptor activity"/>
  </r>
  <r>
    <x v="0"/>
    <x v="0"/>
    <s v="Ofaveolata036068"/>
    <n v="1.9163257300000001"/>
    <n v="6.9609973099999998"/>
    <s v="Direct"/>
    <s v="pogo transposable element with KRAB domain"/>
  </r>
  <r>
    <x v="0"/>
    <x v="0"/>
    <s v="Ofaveolata036107"/>
    <n v="-2.1801526999999998"/>
    <n v="-1.9647265"/>
    <s v="Direct"/>
    <s v="NA"/>
  </r>
  <r>
    <x v="0"/>
    <x v="0"/>
    <s v="Ofaveolata036167"/>
    <n v="-2.0994003999999999"/>
    <n v="-3.4890873"/>
    <s v="Direct"/>
    <s v="NA"/>
  </r>
  <r>
    <x v="0"/>
    <x v="0"/>
    <s v="Ofaveolata036170"/>
    <n v="1.6685492399999999"/>
    <n v="8.0832162499999995"/>
    <s v="Direct"/>
    <s v="NA"/>
  </r>
  <r>
    <x v="0"/>
    <x v="0"/>
    <s v="Ofaveolata036196"/>
    <n v="-1.2877965"/>
    <n v="-1.2790062"/>
    <s v="Direct"/>
    <s v="NA"/>
  </r>
  <r>
    <x v="0"/>
    <x v="0"/>
    <s v="Ofaveolata036239"/>
    <n v="1.01984995"/>
    <n v="1.2091414599999999"/>
    <s v="Direct"/>
    <s v="NA"/>
  </r>
  <r>
    <x v="0"/>
    <x v="0"/>
    <s v="Ofaveolata036247"/>
    <n v="2.49536574"/>
    <n v="2.9918141399999998"/>
    <s v="Direct"/>
    <s v="Amidohydrolase family"/>
  </r>
  <r>
    <x v="0"/>
    <x v="0"/>
    <s v="Ofaveolata036268"/>
    <n v="-1.1065833"/>
    <n v="-2.4061111999999998"/>
    <s v="Direct"/>
    <s v="NA"/>
  </r>
  <r>
    <x v="0"/>
    <x v="0"/>
    <s v="Ofaveolata036324"/>
    <n v="1.4440334500000001"/>
    <n v="1.97311232"/>
    <s v="Direct"/>
    <s v="NA"/>
  </r>
  <r>
    <x v="0"/>
    <x v="0"/>
    <s v="Ofaveolata036368"/>
    <n v="1.0942340800000001"/>
    <n v="4.96416974"/>
    <s v="Direct"/>
    <s v="NA"/>
  </r>
  <r>
    <x v="0"/>
    <x v="0"/>
    <s v="Ofaveolata036381"/>
    <n v="-1.1873229000000001"/>
    <n v="-1.6738407"/>
    <s v="Direct"/>
    <s v="NA"/>
  </r>
  <r>
    <x v="0"/>
    <x v="0"/>
    <s v="Ofaveolata036385"/>
    <n v="2.25218505"/>
    <n v="2.60256401"/>
    <s v="Direct"/>
    <s v="regulation of mitotic cell cycle"/>
  </r>
  <r>
    <x v="0"/>
    <x v="0"/>
    <s v="Ofaveolata036405"/>
    <n v="1.86137643"/>
    <n v="2.91495952"/>
    <s v="Direct"/>
    <s v="NA"/>
  </r>
  <r>
    <x v="0"/>
    <x v="0"/>
    <s v="Ofaveolata036453"/>
    <n v="2.1340126700000002"/>
    <n v="6.1918543799999997"/>
    <s v="Direct"/>
    <s v="NA"/>
  </r>
  <r>
    <x v="0"/>
    <x v="0"/>
    <s v="Ofaveolata036474"/>
    <n v="1.1890845999999999"/>
    <n v="2.0481116799999999"/>
    <s v="Direct"/>
    <s v="NA"/>
  </r>
  <r>
    <x v="0"/>
    <x v="0"/>
    <s v="Ofaveolata036491"/>
    <n v="1.3651442300000001"/>
    <n v="3.3845828400000002"/>
    <s v="Direct"/>
    <s v="NA"/>
  </r>
  <r>
    <x v="0"/>
    <x v="0"/>
    <s v="Ofaveolata036508"/>
    <n v="-1.2422662"/>
    <n v="-7.8389752000000001"/>
    <s v="Direct"/>
    <s v="Ammonium transporter"/>
  </r>
  <r>
    <x v="0"/>
    <x v="0"/>
    <s v="Ofaveolata036547"/>
    <n v="1.43588991"/>
    <n v="10.259726000000001"/>
    <s v="Direct"/>
    <s v="NA"/>
  </r>
  <r>
    <x v="0"/>
    <x v="0"/>
    <s v="Ofaveolata036563"/>
    <n v="-1.3995664999999999"/>
    <n v="-1.5293333"/>
    <s v="Direct"/>
    <s v="NA"/>
  </r>
  <r>
    <x v="0"/>
    <x v="0"/>
    <s v="Ofaveolata036573"/>
    <n v="-1.4422059"/>
    <n v="-3.8964235999999999"/>
    <s v="Direct"/>
    <s v="NA"/>
  </r>
  <r>
    <x v="0"/>
    <x v="1"/>
    <s v="Ofaveolata000022"/>
    <n v="-1.1753131000000001"/>
    <n v="-2.7385307000000001"/>
    <s v="Direct"/>
    <s v="nucleic acid-templated transcription"/>
  </r>
  <r>
    <x v="0"/>
    <x v="1"/>
    <s v="Ofaveolata000048"/>
    <n v="2.42669296"/>
    <n v="2.2281205100000001"/>
    <s v="Direct"/>
    <s v="Myosin, light chain 9b, regulatory"/>
  </r>
  <r>
    <x v="0"/>
    <x v="1"/>
    <s v="Ofaveolata000063"/>
    <n v="2.3061800200000002"/>
    <n v="2.5368333299999999"/>
    <s v="Direct"/>
    <s v="NA"/>
  </r>
  <r>
    <x v="0"/>
    <x v="1"/>
    <s v="Ofaveolata000077"/>
    <n v="-1.1841273999999999"/>
    <n v="-5.3472695000000003"/>
    <s v="Direct"/>
    <s v="transmembrane transport"/>
  </r>
  <r>
    <x v="0"/>
    <x v="1"/>
    <s v="Ofaveolata000089"/>
    <n v="-1.2169481"/>
    <n v="-1.5030454"/>
    <s v="Direct"/>
    <s v="NA"/>
  </r>
  <r>
    <x v="0"/>
    <x v="1"/>
    <s v="Ofaveolata000091"/>
    <n v="-3.0864202999999999"/>
    <n v="-4.6114271000000002"/>
    <s v="Direct"/>
    <s v="NA"/>
  </r>
  <r>
    <x v="0"/>
    <x v="1"/>
    <s v="Ofaveolata000147"/>
    <n v="-1.3021014"/>
    <n v="-4.2170373000000003"/>
    <s v="Direct"/>
    <s v="Major Vault Protein repeat"/>
  </r>
  <r>
    <x v="0"/>
    <x v="1"/>
    <s v="Ofaveolata000175"/>
    <n v="1.03663303"/>
    <n v="2.16408215"/>
    <s v="Direct"/>
    <s v="Hematopoietically-expressed homeobox protein"/>
  </r>
  <r>
    <x v="0"/>
    <x v="1"/>
    <s v="Ofaveolata000187"/>
    <n v="1.00645702"/>
    <n v="2.5055251200000002"/>
    <s v="Direct"/>
    <s v="guanine nucleotide-binding protein"/>
  </r>
  <r>
    <x v="0"/>
    <x v="1"/>
    <s v="Ofaveolata000233"/>
    <n v="-2.7193458000000001"/>
    <n v="-1.9089233999999999"/>
    <s v="Direct"/>
    <s v="NA"/>
  </r>
  <r>
    <x v="0"/>
    <x v="1"/>
    <s v="Ofaveolata000236"/>
    <n v="1.7611323299999999"/>
    <n v="2.1399794000000001"/>
    <s v="Direct"/>
    <s v="NA"/>
  </r>
  <r>
    <x v="0"/>
    <x v="1"/>
    <s v="Ofaveolata000240"/>
    <n v="2.0722476900000002"/>
    <n v="1.6178205299999999"/>
    <s v="Direct"/>
    <s v="NA"/>
  </r>
  <r>
    <x v="0"/>
    <x v="1"/>
    <s v="Ofaveolata000259"/>
    <n v="1.38890939"/>
    <n v="9.0923901600000008"/>
    <s v="Direct"/>
    <s v="NA"/>
  </r>
  <r>
    <x v="0"/>
    <x v="1"/>
    <s v="Ofaveolata000263"/>
    <n v="-1.8294075999999999"/>
    <n v="-3.4716429999999998"/>
    <s v="Direct"/>
    <s v="GTP binding. It is involved in the biological process described with"/>
  </r>
  <r>
    <x v="0"/>
    <x v="1"/>
    <s v="Ofaveolata000300"/>
    <n v="1.0796405"/>
    <n v="2.0230184800000002"/>
    <s v="Direct"/>
    <s v="oxidoreductase activity"/>
  </r>
  <r>
    <x v="0"/>
    <x v="1"/>
    <s v="Ofaveolata000332"/>
    <n v="1.0391944500000001"/>
    <n v="2.3170581299999999"/>
    <s v="Direct"/>
    <s v="Ion channel"/>
  </r>
  <r>
    <x v="0"/>
    <x v="1"/>
    <s v="Ofaveolata000356"/>
    <n v="2.5940509500000002"/>
    <n v="2.9041281200000002"/>
    <s v="Direct"/>
    <s v="NA"/>
  </r>
  <r>
    <x v="0"/>
    <x v="1"/>
    <s v="Ofaveolata000448"/>
    <n v="-1.5396224000000001"/>
    <n v="-5.0170643000000004"/>
    <s v="Direct"/>
    <s v="SCP / Tpx-1 / Ag5 / PR-1 / Sc7 family of extracellular domains."/>
  </r>
  <r>
    <x v="0"/>
    <x v="1"/>
    <s v="Ofaveolata000461"/>
    <n v="1.0398261900000001"/>
    <n v="2.8983883399999999"/>
    <s v="Direct"/>
    <s v="NA"/>
  </r>
  <r>
    <x v="0"/>
    <x v="1"/>
    <s v="Ofaveolata000487"/>
    <n v="-1.0445253000000001"/>
    <n v="-1.9486106000000001"/>
    <s v="Direct"/>
    <s v="endosomal transport"/>
  </r>
  <r>
    <x v="0"/>
    <x v="1"/>
    <s v="Ofaveolata000513"/>
    <n v="1.13234721"/>
    <n v="1.9604942999999999"/>
    <s v="Direct"/>
    <s v="NA"/>
  </r>
  <r>
    <x v="0"/>
    <x v="1"/>
    <s v="Ofaveolata000519"/>
    <n v="1.0564435000000001"/>
    <n v="1.59558567"/>
    <s v="Direct"/>
    <s v="sulfuric ester hydrolase activity"/>
  </r>
  <r>
    <x v="0"/>
    <x v="1"/>
    <s v="Ofaveolata000524"/>
    <n v="-3.6812144"/>
    <n v="-4.0080558000000002"/>
    <s v="Direct"/>
    <s v="NA"/>
  </r>
  <r>
    <x v="0"/>
    <x v="1"/>
    <s v="Ofaveolata000552"/>
    <n v="2.42669296"/>
    <n v="5.00613755"/>
    <s v="Direct"/>
    <s v="negative regulation of serine-type peptidase activity"/>
  </r>
  <r>
    <x v="0"/>
    <x v="1"/>
    <s v="Ofaveolata000589"/>
    <n v="1.0732123"/>
    <n v="2.0370273399999999"/>
    <s v="Direct"/>
    <s v="acylpyruvate hydrolase activity"/>
  </r>
  <r>
    <x v="0"/>
    <x v="1"/>
    <s v="Ofaveolata000666"/>
    <n v="1.0854244799999999"/>
    <n v="4.7773363099999999"/>
    <s v="Direct"/>
    <s v="allantoicase activity"/>
  </r>
  <r>
    <x v="0"/>
    <x v="1"/>
    <s v="Ofaveolata000715"/>
    <n v="2.39666194"/>
    <n v="1.38645836"/>
    <s v="Direct"/>
    <s v="NA"/>
  </r>
  <r>
    <x v="0"/>
    <x v="1"/>
    <s v="Ofaveolata000720"/>
    <n v="-1.0671168"/>
    <n v="-1.4091256000000001"/>
    <s v="Direct"/>
    <s v="alpha1-adrenergic receptor activity"/>
  </r>
  <r>
    <x v="0"/>
    <x v="1"/>
    <s v="Ofaveolata000769"/>
    <n v="1.26184137"/>
    <n v="1.11831221"/>
    <s v="Direct"/>
    <s v="Thrombospondin-type laminin G domain and EAR"/>
  </r>
  <r>
    <x v="0"/>
    <x v="1"/>
    <s v="Ofaveolata000801"/>
    <n v="-3.0415663999999998"/>
    <n v="-6.7561532"/>
    <s v="Direct"/>
    <s v="NA"/>
  </r>
  <r>
    <x v="0"/>
    <x v="1"/>
    <s v="Ofaveolata000813"/>
    <n v="1.15818416"/>
    <n v="3.3352932900000001"/>
    <s v="Direct"/>
    <s v="actin binding"/>
  </r>
  <r>
    <x v="0"/>
    <x v="1"/>
    <s v="Ofaveolata000822"/>
    <n v="1.57814275"/>
    <n v="2.2041195899999999"/>
    <s v="Direct"/>
    <s v="Putative DNA-binding domain"/>
  </r>
  <r>
    <x v="0"/>
    <x v="1"/>
    <s v="Ofaveolata000826"/>
    <n v="-1.4704611999999999"/>
    <n v="-2.7028162"/>
    <s v="Direct"/>
    <s v="NA"/>
  </r>
  <r>
    <x v="0"/>
    <x v="1"/>
    <s v="Ofaveolata000836"/>
    <n v="1.1935765"/>
    <n v="6.63626044"/>
    <s v="Direct"/>
    <s v="assembly factor 2"/>
  </r>
  <r>
    <x v="0"/>
    <x v="1"/>
    <s v="Ofaveolata000858"/>
    <n v="-1.6497078000000001"/>
    <n v="-9.1687969999999996"/>
    <s v="Direct"/>
    <s v="NA"/>
  </r>
  <r>
    <x v="0"/>
    <x v="1"/>
    <s v="Ofaveolata000877"/>
    <n v="1.31552699"/>
    <n v="2.3233425099999998"/>
    <s v="Direct"/>
    <s v="homeobox"/>
  </r>
  <r>
    <x v="0"/>
    <x v="1"/>
    <s v="Ofaveolata000882"/>
    <n v="-1.1932659000000001"/>
    <n v="-2.5419808000000002"/>
    <s v="Direct"/>
    <s v="cortical actin cytoskeleton organization"/>
  </r>
  <r>
    <x v="0"/>
    <x v="1"/>
    <s v="Ofaveolata000890"/>
    <n v="-2.3061799999999999"/>
    <n v="-1.0365181999999999"/>
    <s v="Direct"/>
    <s v="NFX1-type zinc finger-containing protein"/>
  </r>
  <r>
    <x v="0"/>
    <x v="1"/>
    <s v="Ofaveolata000900"/>
    <n v="1.9100883200000001"/>
    <n v="1.24723019"/>
    <s v="Direct"/>
    <s v="peptidyl-lysine oxidation"/>
  </r>
  <r>
    <x v="0"/>
    <x v="1"/>
    <s v="Ofaveolata000938"/>
    <n v="-1.1438295999999999"/>
    <n v="-3.0038969999999998"/>
    <s v="Direct"/>
    <s v="NFX1-type zinc finger-containing protein"/>
  </r>
  <r>
    <x v="0"/>
    <x v="1"/>
    <s v="Ofaveolata000948"/>
    <n v="-1.4420337999999999"/>
    <n v="-1.4893091000000001"/>
    <s v="Direct"/>
    <s v="NFX1-type zinc finger-containing protein"/>
  </r>
  <r>
    <x v="0"/>
    <x v="1"/>
    <s v="Ofaveolata001007"/>
    <n v="3.6925443599999999"/>
    <n v="14.961532699999999"/>
    <s v="Direct"/>
    <s v="NA"/>
  </r>
  <r>
    <x v="0"/>
    <x v="1"/>
    <s v="Ofaveolata001022"/>
    <n v="1.13216618"/>
    <n v="1.5086467400000001"/>
    <s v="Direct"/>
    <s v="manganese ion binding"/>
  </r>
  <r>
    <x v="0"/>
    <x v="1"/>
    <s v="Ofaveolata001030"/>
    <n v="-1.5908481999999999"/>
    <n v="-3.0353278000000001"/>
    <s v="Direct"/>
    <s v="NA"/>
  </r>
  <r>
    <x v="0"/>
    <x v="1"/>
    <s v="Ofaveolata001050"/>
    <n v="3.6288102200000001"/>
    <n v="4.6392447800000003"/>
    <s v="Direct"/>
    <s v="Phytanoyl-CoA dioxygenase (PhyH)"/>
  </r>
  <r>
    <x v="0"/>
    <x v="1"/>
    <s v="Ofaveolata001053"/>
    <n v="-2.5753224000000001"/>
    <n v="-7.3592215999999997"/>
    <s v="Direct"/>
    <s v="Regulatory subunit of the condensin complex, a complex required for conversion of interphase chromatin into mitotic-like condense chromosomes"/>
  </r>
  <r>
    <x v="0"/>
    <x v="1"/>
    <s v="Ofaveolata001056"/>
    <n v="1.40816596"/>
    <n v="1.5257619899999999"/>
    <s v="Direct"/>
    <s v="Regulatory subunit of the condensin complex, a complex required for conversion of interphase chromatin into mitotic-like condense chromosomes"/>
  </r>
  <r>
    <x v="0"/>
    <x v="1"/>
    <s v="Ofaveolata001125"/>
    <n v="-2.2336497"/>
    <n v="-5.9684403000000001"/>
    <s v="Direct"/>
    <s v="NA"/>
  </r>
  <r>
    <x v="0"/>
    <x v="1"/>
    <s v="Ofaveolata001153"/>
    <n v="-1.4817393000000001"/>
    <n v="-4.7114250999999996"/>
    <s v="Direct"/>
    <s v="Belongs to the glycosyltransferase 43 family"/>
  </r>
  <r>
    <x v="0"/>
    <x v="1"/>
    <s v="Ofaveolata001169"/>
    <n v="1.9778184299999999"/>
    <n v="1.07099188"/>
    <s v="Direct"/>
    <s v="plasma membrane repair"/>
  </r>
  <r>
    <x v="0"/>
    <x v="1"/>
    <s v="Ofaveolata001181"/>
    <n v="1.00740885"/>
    <n v="1.90859008"/>
    <s v="Direct"/>
    <s v="SWI SNF-related matrix-associated actin-dependent regulator of chromatin subfamily E member"/>
  </r>
  <r>
    <x v="0"/>
    <x v="1"/>
    <s v="Ofaveolata001199"/>
    <n v="-1.0495125999999999"/>
    <n v="-1.1447406"/>
    <s v="Direct"/>
    <s v="protein polyubiquitination"/>
  </r>
  <r>
    <x v="0"/>
    <x v="1"/>
    <s v="Ofaveolata001243"/>
    <n v="1.9100883200000001"/>
    <n v="2.1204670399999999"/>
    <s v="Direct"/>
    <s v="fibroblast growth factor-activated receptor activity"/>
  </r>
  <r>
    <x v="0"/>
    <x v="1"/>
    <s v="Ofaveolata001246"/>
    <n v="1.15767186"/>
    <n v="2.2304605300000002"/>
    <s v="Direct"/>
    <s v="NA"/>
  </r>
  <r>
    <x v="0"/>
    <x v="1"/>
    <s v="Ofaveolata001258"/>
    <n v="1.2707436599999999"/>
    <n v="1.2528494100000001"/>
    <s v="Direct"/>
    <s v="homophilic cell adhesion via plasma membrane adhesion molecules"/>
  </r>
  <r>
    <x v="0"/>
    <x v="1"/>
    <s v="Ofaveolata001267"/>
    <n v="2.1943288399999998"/>
    <n v="2.3601230200000001"/>
    <s v="Direct"/>
    <s v="Phosphatidylethanolamine-binding protein"/>
  </r>
  <r>
    <x v="0"/>
    <x v="1"/>
    <s v="Ofaveolata001294"/>
    <n v="1.41253896"/>
    <n v="4.9535572300000004"/>
    <s v="Direct"/>
    <s v="ubiquitin-protein transferase activity"/>
  </r>
  <r>
    <x v="0"/>
    <x v="1"/>
    <s v="Ofaveolata001328"/>
    <n v="-1.0532271"/>
    <n v="-2.0953403000000002"/>
    <s v="Direct"/>
    <s v="NA"/>
  </r>
  <r>
    <x v="0"/>
    <x v="1"/>
    <s v="Ofaveolata001337"/>
    <n v="-1.3328082000000001"/>
    <n v="-1.1539192"/>
    <s v="Direct"/>
    <s v="spermatogenesis"/>
  </r>
  <r>
    <x v="0"/>
    <x v="1"/>
    <s v="Ofaveolata001372"/>
    <n v="-1.5589592999999999"/>
    <n v="-8.2841366000000001"/>
    <s v="Direct"/>
    <s v="Ion transport protein"/>
  </r>
  <r>
    <x v="0"/>
    <x v="1"/>
    <s v="Ofaveolata001409"/>
    <n v="1.07568072"/>
    <n v="3.7838843799999999"/>
    <s v="Direct"/>
    <s v="NA"/>
  </r>
  <r>
    <x v="0"/>
    <x v="1"/>
    <s v="Ofaveolata001418"/>
    <n v="-1.0993630000000001"/>
    <n v="-4.4880354999999996"/>
    <s v="Direct"/>
    <s v="nuclear export signal receptor activity"/>
  </r>
  <r>
    <x v="0"/>
    <x v="1"/>
    <s v="Ofaveolata001423"/>
    <n v="1.69054221"/>
    <n v="6.8104206200000004"/>
    <s v="Direct"/>
    <s v="NA"/>
  </r>
  <r>
    <x v="0"/>
    <x v="1"/>
    <s v="Ofaveolata001427"/>
    <n v="2.1658129800000001"/>
    <n v="5.9875770599999996"/>
    <s v="Direct"/>
    <s v="leucine-rich repeat serine threonine-protein kinase"/>
  </r>
  <r>
    <x v="0"/>
    <x v="1"/>
    <s v="Ofaveolata001445"/>
    <n v="-1.3033496"/>
    <n v="-3.9630076999999999"/>
    <s v="Direct"/>
    <s v="protein transport"/>
  </r>
  <r>
    <x v="0"/>
    <x v="1"/>
    <s v="Ofaveolata001487"/>
    <n v="1.09884932"/>
    <n v="1.0740566499999999"/>
    <s v="Direct"/>
    <s v="establishment of synaptic vesicle localization"/>
  </r>
  <r>
    <x v="0"/>
    <x v="1"/>
    <s v="Ofaveolata001554"/>
    <n v="1.2617619600000001"/>
    <n v="2.11410995"/>
    <s v="Direct"/>
    <s v="extracellular matrix constituent secretion"/>
  </r>
  <r>
    <x v="0"/>
    <x v="1"/>
    <s v="Ofaveolata001596"/>
    <n v="1.3483945399999999"/>
    <n v="3.524289"/>
    <s v="Direct"/>
    <s v="NA"/>
  </r>
  <r>
    <x v="0"/>
    <x v="1"/>
    <s v="Ofaveolata001597"/>
    <n v="1.19644416"/>
    <n v="2.4124654799999998"/>
    <s v="Direct"/>
    <s v="NA"/>
  </r>
  <r>
    <x v="0"/>
    <x v="1"/>
    <s v="Ofaveolata001610"/>
    <n v="1.4884404600000001"/>
    <n v="3.8782914000000002"/>
    <s v="Direct"/>
    <s v="NA"/>
  </r>
  <r>
    <x v="0"/>
    <x v="1"/>
    <s v="Ofaveolata001681"/>
    <n v="1.23551265"/>
    <n v="5.2196285800000002"/>
    <s v="Direct"/>
    <s v="vitellogenesis"/>
  </r>
  <r>
    <x v="0"/>
    <x v="1"/>
    <s v="Ofaveolata001684"/>
    <n v="-1.5155789"/>
    <n v="-3.6296655000000002"/>
    <s v="Direct"/>
    <s v="NA"/>
  </r>
  <r>
    <x v="0"/>
    <x v="1"/>
    <s v="Ofaveolata001761"/>
    <n v="-1.6860295999999999"/>
    <n v="-1.3272226"/>
    <s v="Direct"/>
    <s v="acidic dipeptidase"/>
  </r>
  <r>
    <x v="0"/>
    <x v="1"/>
    <s v="Ofaveolata001834"/>
    <n v="1.59892751"/>
    <n v="1.7071832499999999"/>
    <s v="Direct"/>
    <s v="NA"/>
  </r>
  <r>
    <x v="0"/>
    <x v="1"/>
    <s v="Ofaveolata001846"/>
    <n v="-1.8729161000000001"/>
    <n v="-1.2383306999999999"/>
    <s v="Direct"/>
    <s v="Ion transport protein"/>
  </r>
  <r>
    <x v="0"/>
    <x v="1"/>
    <s v="Ofaveolata001861"/>
    <n v="-1.0104134"/>
    <n v="-1.7309584"/>
    <s v="Direct"/>
    <s v="PRELI domain-containing protein 2"/>
  </r>
  <r>
    <x v="0"/>
    <x v="1"/>
    <s v="Ofaveolata001924"/>
    <n v="1.5952124299999999"/>
    <n v="3.70758849"/>
    <s v="Direct"/>
    <s v="NA"/>
  </r>
  <r>
    <x v="0"/>
    <x v="1"/>
    <s v="Ofaveolata001931"/>
    <n v="-1.0126698999999999"/>
    <n v="-2.3466662999999999"/>
    <s v="Direct"/>
    <s v="Occurs in almost all aerobically respiring organisms and serves to protect cells from the toxic effects of hydrogen peroxide"/>
  </r>
  <r>
    <x v="0"/>
    <x v="1"/>
    <s v="Ofaveolata001962"/>
    <n v="1.0126698999999999"/>
    <n v="3.3605802900000001"/>
    <s v="Direct"/>
    <s v="NA"/>
  </r>
  <r>
    <x v="0"/>
    <x v="1"/>
    <s v="Ofaveolata002015"/>
    <n v="-1.8134429000000001"/>
    <n v="-3.5415131"/>
    <s v="Direct"/>
    <s v="arachidonic acid secretion"/>
  </r>
  <r>
    <x v="0"/>
    <x v="1"/>
    <s v="Ofaveolata002157"/>
    <n v="-1.0993027"/>
    <n v="-1.3787933999999999"/>
    <s v="Direct"/>
    <s v="NA"/>
  </r>
  <r>
    <x v="0"/>
    <x v="1"/>
    <s v="Ofaveolata002169"/>
    <n v="1.5203831400000001"/>
    <n v="1.7649666900000001"/>
    <s v="Direct"/>
    <s v="myosin regulatory light chain interacting protein"/>
  </r>
  <r>
    <x v="0"/>
    <x v="1"/>
    <s v="Ofaveolata002182"/>
    <n v="1.8762515500000001"/>
    <n v="3.1670210999999999"/>
    <s v="Direct"/>
    <s v="neurotransmitter:sodium symporter activity"/>
  </r>
  <r>
    <x v="0"/>
    <x v="1"/>
    <s v="Ofaveolata002209"/>
    <n v="1.2500296399999999"/>
    <n v="1.0826238800000001"/>
    <s v="Direct"/>
    <s v="WD repeat-containing protein"/>
  </r>
  <r>
    <x v="0"/>
    <x v="1"/>
    <s v="Ofaveolata002210"/>
    <n v="1.1827872800000001"/>
    <n v="1.80693495"/>
    <s v="Direct"/>
    <s v="potassium voltage-gated channel"/>
  </r>
  <r>
    <x v="0"/>
    <x v="1"/>
    <s v="Ofaveolata002215"/>
    <n v="-1.0153333"/>
    <n v="-1.964345"/>
    <s v="Direct"/>
    <s v="NA"/>
  </r>
  <r>
    <x v="0"/>
    <x v="1"/>
    <s v="Ofaveolata002250"/>
    <n v="1.0499708299999999"/>
    <n v="1.5088809299999999"/>
    <s v="Direct"/>
    <s v="NA"/>
  </r>
  <r>
    <x v="0"/>
    <x v="1"/>
    <s v="Ofaveolata002275"/>
    <n v="1.26339264"/>
    <n v="8.3341626699999996"/>
    <s v="Direct"/>
    <s v="NA"/>
  </r>
  <r>
    <x v="0"/>
    <x v="1"/>
    <s v="Ofaveolata002278"/>
    <n v="1.1297600400000001"/>
    <n v="6.9972325199999998"/>
    <s v="Direct"/>
    <s v="NA"/>
  </r>
  <r>
    <x v="0"/>
    <x v="1"/>
    <s v="Ofaveolata002328"/>
    <n v="1.56513646"/>
    <n v="8.9318157300000003"/>
    <s v="Direct"/>
    <s v="NA"/>
  </r>
  <r>
    <x v="0"/>
    <x v="1"/>
    <s v="Ofaveolata002366"/>
    <n v="-1.2096339"/>
    <n v="-3.1403614000000002"/>
    <s v="Direct"/>
    <s v="NA"/>
  </r>
  <r>
    <x v="0"/>
    <x v="1"/>
    <s v="Ofaveolata002367"/>
    <n v="1.68218939"/>
    <n v="2.38035424"/>
    <s v="Direct"/>
    <s v="calcium ion-regulated exocytosis of neurotransmitter"/>
  </r>
  <r>
    <x v="0"/>
    <x v="1"/>
    <s v="Ofaveolata002376"/>
    <n v="-2.7733463"/>
    <n v="-4.3944036999999998"/>
    <s v="Direct"/>
    <s v="NA"/>
  </r>
  <r>
    <x v="0"/>
    <x v="1"/>
    <s v="Ofaveolata002380"/>
    <n v="1.08652324"/>
    <n v="5.7856253799999999"/>
    <s v="Direct"/>
    <s v="NA"/>
  </r>
  <r>
    <x v="0"/>
    <x v="1"/>
    <s v="Ofaveolata002399"/>
    <n v="2.6844822499999998"/>
    <n v="2.7948346499999999"/>
    <s v="Direct"/>
    <s v="acid phosphatase activity"/>
  </r>
  <r>
    <x v="0"/>
    <x v="1"/>
    <s v="Ofaveolata002477"/>
    <n v="1.0127523300000001"/>
    <n v="1.72182696"/>
    <s v="Direct"/>
    <s v="Belongs to the peptidase S1 family"/>
  </r>
  <r>
    <x v="0"/>
    <x v="1"/>
    <s v="Ofaveolata002490"/>
    <n v="1.6512472300000001"/>
    <n v="2.1782713899999999"/>
    <s v="Direct"/>
    <s v="cell-substrate adherens junction assembly"/>
  </r>
  <r>
    <x v="0"/>
    <x v="1"/>
    <s v="Ofaveolata002514"/>
    <n v="-1.4278964999999999"/>
    <n v="-1.2021974"/>
    <s v="Direct"/>
    <s v="NA"/>
  </r>
  <r>
    <x v="0"/>
    <x v="1"/>
    <s v="Ofaveolata002516"/>
    <n v="1.7119764"/>
    <n v="2.1574708500000002"/>
    <s v="Direct"/>
    <s v="Catalyzes the three sequential steps of the methylation pathway of phosphatidylcholine biosynthesis, the SAM-dependent methylation of phosphatidylethanolamine (PE) to phosphatidylmonomethylethanolamine (PMME), PMME to phosphatidyldimethylethanolamine (PDM"/>
  </r>
  <r>
    <x v="0"/>
    <x v="1"/>
    <s v="Ofaveolata002563"/>
    <n v="1.5605576699999999"/>
    <n v="7.3006925899999997"/>
    <s v="Direct"/>
    <s v="NA"/>
  </r>
  <r>
    <x v="0"/>
    <x v="1"/>
    <s v="Ofaveolata002565"/>
    <n v="1.7482038600000001"/>
    <n v="3.91486417"/>
    <s v="Direct"/>
    <s v="G-protein coupled receptor activity"/>
  </r>
  <r>
    <x v="0"/>
    <x v="1"/>
    <s v="Ofaveolata002602"/>
    <n v="2.3845005000000001"/>
    <n v="9.25882848"/>
    <s v="Direct"/>
    <s v="NA"/>
  </r>
  <r>
    <x v="0"/>
    <x v="1"/>
    <s v="Ofaveolata002634"/>
    <n v="1.7482038600000001"/>
    <n v="5.1036711800000001"/>
    <s v="Direct"/>
    <s v="actin filament binding"/>
  </r>
  <r>
    <x v="0"/>
    <x v="1"/>
    <s v="Ofaveolata002643"/>
    <n v="-1.3057703000000001"/>
    <n v="-1.822087"/>
    <s v="Direct"/>
    <s v="Ral GTPase binding"/>
  </r>
  <r>
    <x v="0"/>
    <x v="1"/>
    <s v="Ofaveolata002680"/>
    <n v="-16.927612"/>
    <n v="1.3646178499999999"/>
    <s v="Inverse"/>
    <s v="NA"/>
  </r>
  <r>
    <x v="0"/>
    <x v="1"/>
    <s v="Ofaveolata002686"/>
    <n v="-1.9471958"/>
    <n v="-1.9694468999999999"/>
    <s v="Direct"/>
    <s v="NA"/>
  </r>
  <r>
    <x v="0"/>
    <x v="1"/>
    <s v="Ofaveolata002688"/>
    <n v="-2.3042199000000001"/>
    <n v="-3.4464782999999999"/>
    <s v="Direct"/>
    <s v="NA"/>
  </r>
  <r>
    <x v="0"/>
    <x v="1"/>
    <s v="Ofaveolata002692"/>
    <n v="-2.2583810999999998"/>
    <n v="-3.2068922"/>
    <s v="Direct"/>
    <s v="NA"/>
  </r>
  <r>
    <x v="0"/>
    <x v="1"/>
    <s v="Ofaveolata002694"/>
    <n v="-3.2697080999999999"/>
    <n v="-2.7206674"/>
    <s v="Direct"/>
    <s v="NA"/>
  </r>
  <r>
    <x v="0"/>
    <x v="1"/>
    <s v="Ofaveolata002788"/>
    <n v="-1.8852479"/>
    <n v="-5.9095516000000003"/>
    <s v="Direct"/>
    <s v="NA"/>
  </r>
  <r>
    <x v="0"/>
    <x v="1"/>
    <s v="Ofaveolata002792"/>
    <n v="-1.1379572"/>
    <n v="-1.8940709"/>
    <s v="Direct"/>
    <s v="NA"/>
  </r>
  <r>
    <x v="0"/>
    <x v="1"/>
    <s v="Ofaveolata002797"/>
    <n v="-1.3369093999999999"/>
    <n v="-3.0745868999999999"/>
    <s v="Direct"/>
    <s v="riboflavin biosynthetic process"/>
  </r>
  <r>
    <x v="0"/>
    <x v="1"/>
    <s v="Ofaveolata002819"/>
    <n v="-1.0788787"/>
    <n v="-1.7212358000000001"/>
    <s v="Direct"/>
    <s v="NA"/>
  </r>
  <r>
    <x v="0"/>
    <x v="1"/>
    <s v="Ofaveolata002825"/>
    <n v="3.6347527500000001"/>
    <n v="2.29924456"/>
    <s v="Direct"/>
    <s v="NA"/>
  </r>
  <r>
    <x v="0"/>
    <x v="1"/>
    <s v="Ofaveolata002875"/>
    <n v="-1.9011046"/>
    <n v="-2.4632717"/>
    <s v="Direct"/>
    <s v="NA"/>
  </r>
  <r>
    <x v="0"/>
    <x v="1"/>
    <s v="Ofaveolata002908"/>
    <n v="2.6907001899999998"/>
    <n v="5.6562963899999996"/>
    <s v="Direct"/>
    <s v="Von Willebrand factor A domain-containing protein 7-like"/>
  </r>
  <r>
    <x v="0"/>
    <x v="1"/>
    <s v="Ofaveolata002922"/>
    <n v="1.19745575"/>
    <n v="1.8533600299999999"/>
    <s v="Direct"/>
    <s v="NA"/>
  </r>
  <r>
    <x v="0"/>
    <x v="1"/>
    <s v="Ofaveolata002925"/>
    <n v="1.8380902400000001"/>
    <n v="3.3195673800000001"/>
    <s v="Direct"/>
    <s v="NA"/>
  </r>
  <r>
    <x v="0"/>
    <x v="1"/>
    <s v="Ofaveolata002949"/>
    <n v="4.6776202500000004"/>
    <n v="3.3605802900000001"/>
    <s v="Direct"/>
    <s v="Enoyl-(Acyl carrier protein) reductase"/>
  </r>
  <r>
    <x v="0"/>
    <x v="1"/>
    <s v="Ofaveolata003030"/>
    <n v="2.2289607199999999"/>
    <n v="2.0627699100000001"/>
    <s v="Direct"/>
    <s v="mothers against decapentaplegic homolog"/>
  </r>
  <r>
    <x v="0"/>
    <x v="1"/>
    <s v="Ofaveolata003035"/>
    <n v="1.39990339"/>
    <n v="2.7396584000000002"/>
    <s v="Direct"/>
    <s v="Cupin superfamily protein"/>
  </r>
  <r>
    <x v="0"/>
    <x v="1"/>
    <s v="Ofaveolata003036"/>
    <n v="1.63064589"/>
    <n v="5.67925842"/>
    <s v="Direct"/>
    <s v="Aldo/keto reductase family"/>
  </r>
  <r>
    <x v="0"/>
    <x v="1"/>
    <s v="Ofaveolata003063"/>
    <n v="3.0305080499999999"/>
    <n v="3.2509220299999999"/>
    <s v="Direct"/>
    <s v="pyruvate kinase activity"/>
  </r>
  <r>
    <x v="0"/>
    <x v="1"/>
    <s v="Ofaveolata003078"/>
    <n v="-2.5485413000000001"/>
    <n v="-1.713427"/>
    <s v="Direct"/>
    <s v="NA"/>
  </r>
  <r>
    <x v="0"/>
    <x v="1"/>
    <s v="Ofaveolata003111"/>
    <n v="-1.3495539999999999"/>
    <n v="-4.0525719000000002"/>
    <s v="Direct"/>
    <s v="Cytoplasmic polyadenylation element binding protein"/>
  </r>
  <r>
    <x v="0"/>
    <x v="1"/>
    <s v="Ofaveolata003159"/>
    <n v="1.5157029799999999"/>
    <n v="1.4732915799999999"/>
    <s v="Direct"/>
    <s v="zinc ion binding"/>
  </r>
  <r>
    <x v="0"/>
    <x v="1"/>
    <s v="Ofaveolata003178"/>
    <n v="2.0967831499999998"/>
    <n v="2.4324569399999998"/>
    <s v="Direct"/>
    <s v="neurexin family protein binding"/>
  </r>
  <r>
    <x v="0"/>
    <x v="1"/>
    <s v="Ofaveolata003215"/>
    <n v="-1.0116947000000001"/>
    <n v="1.7490963900000001"/>
    <s v="Inverse"/>
    <s v="NA"/>
  </r>
  <r>
    <x v="0"/>
    <x v="1"/>
    <s v="Ofaveolata003258"/>
    <n v="2.1731677500000002"/>
    <n v="1.22193486"/>
    <s v="Direct"/>
    <s v="xylosyltransferase activity"/>
  </r>
  <r>
    <x v="0"/>
    <x v="1"/>
    <s v="Ofaveolata003282"/>
    <n v="-3.5222283999999999"/>
    <n v="-3.8949243"/>
    <s v="Direct"/>
    <s v="NA"/>
  </r>
  <r>
    <x v="0"/>
    <x v="1"/>
    <s v="Ofaveolata003333"/>
    <n v="-1.4704611999999999"/>
    <n v="-3.1198774"/>
    <s v="Direct"/>
    <s v="NA"/>
  </r>
  <r>
    <x v="0"/>
    <x v="1"/>
    <s v="Ofaveolata003336"/>
    <n v="1.58725614"/>
    <n v="3.5196277500000002"/>
    <s v="Direct"/>
    <s v="NA"/>
  </r>
  <r>
    <x v="0"/>
    <x v="1"/>
    <s v="Ofaveolata003349"/>
    <n v="-2.8027734999999998"/>
    <n v="-3.8991867"/>
    <s v="Direct"/>
    <s v="NA"/>
  </r>
  <r>
    <x v="0"/>
    <x v="1"/>
    <s v="Ofaveolata003362"/>
    <n v="1.38812471"/>
    <n v="1.4256931900000001"/>
    <s v="Direct"/>
    <s v="NA"/>
  </r>
  <r>
    <x v="0"/>
    <x v="1"/>
    <s v="Ofaveolata003364"/>
    <n v="-2.0390524999999999"/>
    <n v="-4.4250537999999997"/>
    <s v="Direct"/>
    <s v="NA"/>
  </r>
  <r>
    <x v="0"/>
    <x v="1"/>
    <s v="Ofaveolata003365"/>
    <n v="-1.8054559999999999"/>
    <n v="-3.47357"/>
    <s v="Direct"/>
    <s v="cytochrome P450"/>
  </r>
  <r>
    <x v="0"/>
    <x v="1"/>
    <s v="Ofaveolata003433"/>
    <n v="-1.5654870999999999"/>
    <n v="-1.2542135000000001"/>
    <s v="Direct"/>
    <s v="Cytochrome P450, family 21, subfamily A, polypeptide 2"/>
  </r>
  <r>
    <x v="0"/>
    <x v="1"/>
    <s v="Ofaveolata003468"/>
    <n v="1.2726136699999999"/>
    <n v="3.4032838600000002"/>
    <s v="Direct"/>
    <s v="Urease alpha-subunit, N-terminal domain"/>
  </r>
  <r>
    <x v="0"/>
    <x v="1"/>
    <s v="Ofaveolata003471"/>
    <n v="3.8837439900000001"/>
    <n v="4.7641665900000003"/>
    <s v="Direct"/>
    <s v="Prolyl 4-hydroxylase alpha subunit homologues."/>
  </r>
  <r>
    <x v="0"/>
    <x v="1"/>
    <s v="Ofaveolata003488"/>
    <n v="1.5257596"/>
    <n v="1.4306284300000001"/>
    <s v="Direct"/>
    <s v="NA"/>
  </r>
  <r>
    <x v="0"/>
    <x v="1"/>
    <s v="Ofaveolata003500"/>
    <n v="2.1961075700000001"/>
    <n v="2.8174893000000001"/>
    <s v="Direct"/>
    <s v="amine oxidase"/>
  </r>
  <r>
    <x v="0"/>
    <x v="1"/>
    <s v="Ofaveolata003501"/>
    <n v="1.17704667"/>
    <n v="4.3288822900000001"/>
    <s v="Direct"/>
    <s v="chromosome passenger complex localization to kinetochore"/>
  </r>
  <r>
    <x v="0"/>
    <x v="1"/>
    <s v="Ofaveolata003504"/>
    <n v="2.7733463299999999"/>
    <n v="6.4380442699999998"/>
    <s v="Direct"/>
    <s v="NA"/>
  </r>
  <r>
    <x v="0"/>
    <x v="1"/>
    <s v="Ofaveolata003510"/>
    <n v="1.04361474"/>
    <n v="1.67721817"/>
    <s v="Direct"/>
    <s v="NA"/>
  </r>
  <r>
    <x v="0"/>
    <x v="1"/>
    <s v="Ofaveolata003511"/>
    <n v="3.2386478699999999"/>
    <n v="2.75836689"/>
    <s v="Direct"/>
    <s v="NA"/>
  </r>
  <r>
    <x v="0"/>
    <x v="1"/>
    <s v="Ofaveolata003512"/>
    <n v="1.8701922200000001"/>
    <n v="7.7060488600000001"/>
    <s v="Direct"/>
    <s v="NA"/>
  </r>
  <r>
    <x v="0"/>
    <x v="1"/>
    <s v="Ofaveolata003539"/>
    <n v="-1.0499708000000001"/>
    <n v="-1.5795440000000001"/>
    <s v="Direct"/>
    <s v="NA"/>
  </r>
  <r>
    <x v="0"/>
    <x v="1"/>
    <s v="Ofaveolata003567"/>
    <n v="1.0854244799999999"/>
    <n v="3.9731580700000002"/>
    <s v="Direct"/>
    <s v="NA"/>
  </r>
  <r>
    <x v="0"/>
    <x v="1"/>
    <s v="Ofaveolata003577"/>
    <n v="1.2795563299999999"/>
    <n v="1.8535263399999999"/>
    <s v="Direct"/>
    <s v="NA"/>
  </r>
  <r>
    <x v="0"/>
    <x v="1"/>
    <s v="Ofaveolata003624"/>
    <n v="-2.8105406999999998"/>
    <n v="-1.1817898"/>
    <s v="Direct"/>
    <s v="NA"/>
  </r>
  <r>
    <x v="0"/>
    <x v="1"/>
    <s v="Ofaveolata003643"/>
    <n v="2.81575256"/>
    <n v="3.72807815"/>
    <s v="Direct"/>
    <s v="NA"/>
  </r>
  <r>
    <x v="0"/>
    <x v="1"/>
    <s v="Ofaveolata003683"/>
    <n v="1.2848126600000001"/>
    <n v="3.5014302599999998"/>
    <s v="Direct"/>
    <s v="NA"/>
  </r>
  <r>
    <x v="0"/>
    <x v="1"/>
    <s v="Ofaveolata003700"/>
    <n v="-1.3781504"/>
    <n v="-1.2534506999999999"/>
    <s v="Direct"/>
    <s v="NA"/>
  </r>
  <r>
    <x v="0"/>
    <x v="1"/>
    <s v="Ofaveolata003712"/>
    <n v="2.86829789"/>
    <n v="2.65515167"/>
    <s v="Direct"/>
    <s v="c-SKI Smad4 binding domain"/>
  </r>
  <r>
    <x v="0"/>
    <x v="1"/>
    <s v="Ofaveolata003753"/>
    <n v="-1.0391945"/>
    <n v="-1.4928831"/>
    <s v="Direct"/>
    <s v="NA"/>
  </r>
  <r>
    <x v="0"/>
    <x v="1"/>
    <s v="Ofaveolata003761"/>
    <n v="2.1657337800000001"/>
    <n v="4.0474173899999997"/>
    <s v="Direct"/>
    <s v="methylenetetrahydrofolate reductase (NAD(P)H) activity"/>
  </r>
  <r>
    <x v="0"/>
    <x v="1"/>
    <s v="Ofaveolata003804"/>
    <n v="2.4009228"/>
    <n v="10.1354559"/>
    <s v="Direct"/>
    <s v="NA"/>
  </r>
  <r>
    <x v="0"/>
    <x v="1"/>
    <s v="Ofaveolata003857"/>
    <n v="1.3426206599999999"/>
    <n v="1.1002886000000001"/>
    <s v="Direct"/>
    <s v="NA"/>
  </r>
  <r>
    <x v="0"/>
    <x v="1"/>
    <s v="Ofaveolata003863"/>
    <n v="1.2509085600000001"/>
    <n v="1.19597026"/>
    <s v="Direct"/>
    <s v="protein polyubiquitination"/>
  </r>
  <r>
    <x v="0"/>
    <x v="1"/>
    <s v="Ofaveolata003874"/>
    <n v="-2.1581218"/>
    <n v="-4.2978097000000002"/>
    <s v="Direct"/>
    <s v="Belongs to the protein kinase superfamily. Tyr protein kinase family"/>
  </r>
  <r>
    <x v="0"/>
    <x v="1"/>
    <s v="Ofaveolata003903"/>
    <n v="1.5430431200000001"/>
    <n v="2.52148058"/>
    <s v="Direct"/>
    <s v="Calcium-binding protein"/>
  </r>
  <r>
    <x v="0"/>
    <x v="1"/>
    <s v="Ofaveolata003910"/>
    <n v="2.70844321"/>
    <n v="13.851672199999999"/>
    <s v="Direct"/>
    <s v="NA"/>
  </r>
  <r>
    <x v="0"/>
    <x v="1"/>
    <s v="Ofaveolata003915"/>
    <n v="2.1331708900000002"/>
    <n v="6.6601951599999998"/>
    <s v="Direct"/>
    <s v="FG-GAP repeat"/>
  </r>
  <r>
    <x v="0"/>
    <x v="1"/>
    <s v="Ofaveolata003916"/>
    <n v="1.03018316"/>
    <n v="3.72404483"/>
    <s v="Direct"/>
    <s v="protein import into peroxisome matrix"/>
  </r>
  <r>
    <x v="0"/>
    <x v="1"/>
    <s v="Ofaveolata003918"/>
    <n v="1.61602482"/>
    <n v="7.5092022900000002"/>
    <s v="Direct"/>
    <s v="polysaccharide catabolic process"/>
  </r>
  <r>
    <x v="0"/>
    <x v="1"/>
    <s v="Ofaveolata003932"/>
    <n v="1.6756531100000001"/>
    <n v="7.9507875099999996"/>
    <s v="Direct"/>
    <s v="Tissue factor pathway inhibitor"/>
  </r>
  <r>
    <x v="0"/>
    <x v="1"/>
    <s v="Ofaveolata003961"/>
    <n v="1.4753459799999999"/>
    <n v="6.4785859500000003"/>
    <s v="Direct"/>
    <s v="NA"/>
  </r>
  <r>
    <x v="0"/>
    <x v="1"/>
    <s v="Ofaveolata003976"/>
    <n v="2.2920580199999998"/>
    <n v="10.1594929"/>
    <s v="Direct"/>
    <s v="NA"/>
  </r>
  <r>
    <x v="0"/>
    <x v="1"/>
    <s v="Ofaveolata004002"/>
    <n v="-1.2251196"/>
    <n v="-3.8130294"/>
    <s v="Direct"/>
    <s v="protein serine/threonine kinase activity"/>
  </r>
  <r>
    <x v="0"/>
    <x v="1"/>
    <s v="Ofaveolata004067"/>
    <n v="1.2450797300000001"/>
    <n v="2.9224640499999999"/>
    <s v="Direct"/>
    <s v="NA"/>
  </r>
  <r>
    <x v="0"/>
    <x v="1"/>
    <s v="Ofaveolata004098"/>
    <n v="-2.9271145999999999"/>
    <n v="-4.8650660999999999"/>
    <s v="Direct"/>
    <s v="erythroblast transformation specific domain"/>
  </r>
  <r>
    <x v="0"/>
    <x v="1"/>
    <s v="Ofaveolata004135"/>
    <n v="-2.0207191"/>
    <n v="-1.4683151000000001"/>
    <s v="Direct"/>
    <s v="NA"/>
  </r>
  <r>
    <x v="0"/>
    <x v="1"/>
    <s v="Ofaveolata004174"/>
    <n v="1.96500115"/>
    <n v="4.5544705900000002"/>
    <s v="Direct"/>
    <s v="NA"/>
  </r>
  <r>
    <x v="0"/>
    <x v="1"/>
    <s v="Ofaveolata004231"/>
    <n v="1.47398078"/>
    <n v="1.5644095200000001"/>
    <s v="Direct"/>
    <s v="NA"/>
  </r>
  <r>
    <x v="0"/>
    <x v="1"/>
    <s v="Ofaveolata004247"/>
    <n v="-1.6821893999999999"/>
    <n v="-2.2611644000000002"/>
    <s v="Direct"/>
    <s v="NA"/>
  </r>
  <r>
    <x v="0"/>
    <x v="1"/>
    <s v="Ofaveolata004324"/>
    <n v="-1.4048921999999999"/>
    <n v="-3.2778879000000001"/>
    <s v="Direct"/>
    <s v="deoxyribonuclease inhibitor activity"/>
  </r>
  <r>
    <x v="0"/>
    <x v="1"/>
    <s v="Ofaveolata004327"/>
    <n v="-1.6509801"/>
    <n v="-1.5411096"/>
    <s v="Direct"/>
    <s v="peroxidase activity"/>
  </r>
  <r>
    <x v="0"/>
    <x v="1"/>
    <s v="Ofaveolata004375"/>
    <n v="1.74359587"/>
    <n v="1.25318149"/>
    <s v="Direct"/>
    <s v="Olfactomedin-like"/>
  </r>
  <r>
    <x v="0"/>
    <x v="1"/>
    <s v="Ofaveolata004377"/>
    <n v="-2.8974954999999998"/>
    <n v="-6.6397465999999996"/>
    <s v="Direct"/>
    <s v="Olfactomedin-like"/>
  </r>
  <r>
    <x v="0"/>
    <x v="1"/>
    <s v="Ofaveolata004389"/>
    <n v="-2.5801406999999998"/>
    <n v="-2.0370273000000001"/>
    <s v="Direct"/>
    <s v="NA"/>
  </r>
  <r>
    <x v="0"/>
    <x v="1"/>
    <s v="Ofaveolata004482"/>
    <n v="-1.2677582000000001"/>
    <n v="-1.551285"/>
    <s v="Direct"/>
    <s v="acetyl-CoA C-acetyltransferase activity"/>
  </r>
  <r>
    <x v="0"/>
    <x v="1"/>
    <s v="Ofaveolata004510"/>
    <n v="1.41041064"/>
    <n v="1.33664049"/>
    <s v="Direct"/>
    <s v="NA"/>
  </r>
  <r>
    <x v="0"/>
    <x v="1"/>
    <s v="Ofaveolata004517"/>
    <n v="-1.1788430999999999"/>
    <n v="-3.7853563000000001"/>
    <s v="Direct"/>
    <s v="NA"/>
  </r>
  <r>
    <x v="0"/>
    <x v="1"/>
    <s v="Ofaveolata004521"/>
    <n v="-2.2392569"/>
    <n v="-5.9655012999999997"/>
    <s v="Direct"/>
    <s v="NA"/>
  </r>
  <r>
    <x v="0"/>
    <x v="1"/>
    <s v="Ofaveolata004528"/>
    <n v="1.5596857399999999"/>
    <n v="1.06616388"/>
    <s v="Direct"/>
    <s v="NA"/>
  </r>
  <r>
    <x v="0"/>
    <x v="1"/>
    <s v="Ofaveolata004537"/>
    <n v="-2.3262100000000001"/>
    <n v="-1.8151963"/>
    <s v="Direct"/>
    <s v="NA"/>
  </r>
  <r>
    <x v="0"/>
    <x v="1"/>
    <s v="Ofaveolata004555"/>
    <n v="1.98474825"/>
    <n v="4.38576459"/>
    <s v="Direct"/>
    <s v="NA"/>
  </r>
  <r>
    <x v="0"/>
    <x v="1"/>
    <s v="Ofaveolata004559"/>
    <n v="1.14490381"/>
    <n v="1.7928037400000001"/>
    <s v="Direct"/>
    <s v="NA"/>
  </r>
  <r>
    <x v="0"/>
    <x v="1"/>
    <s v="Ofaveolata004632"/>
    <n v="-1.7414466"/>
    <n v="-1.1479182000000001"/>
    <s v="Direct"/>
    <s v="Atrial natriuretic peptide receptor"/>
  </r>
  <r>
    <x v="0"/>
    <x v="1"/>
    <s v="Ofaveolata004639"/>
    <n v="2.1657337800000001"/>
    <n v="3.2942667499999998"/>
    <s v="Direct"/>
    <s v="Brefeldin A-inhibited guanine nucleotide-exchange protein"/>
  </r>
  <r>
    <x v="0"/>
    <x v="1"/>
    <s v="Ofaveolata004649"/>
    <n v="-1.623116"/>
    <n v="-1.9092221"/>
    <s v="Direct"/>
    <s v="NA"/>
  </r>
  <r>
    <x v="0"/>
    <x v="1"/>
    <s v="Ofaveolata004711"/>
    <n v="-1.1131504999999999"/>
    <n v="-1.7427808"/>
    <s v="Direct"/>
    <s v="NA"/>
  </r>
  <r>
    <x v="0"/>
    <x v="1"/>
    <s v="Ofaveolata004758"/>
    <n v="1.0942839900000001"/>
    <n v="1.52227249"/>
    <s v="Direct"/>
    <s v="NA"/>
  </r>
  <r>
    <x v="0"/>
    <x v="1"/>
    <s v="Ofaveolata004759"/>
    <n v="-1.6731187000000001"/>
    <n v="-1.6094934000000001"/>
    <s v="Direct"/>
    <s v="NA"/>
  </r>
  <r>
    <x v="0"/>
    <x v="1"/>
    <s v="Ofaveolata004786"/>
    <n v="1.63127825"/>
    <n v="1.3640322899999999"/>
    <s v="Direct"/>
    <s v="osmolarity-sensing cation channel activity"/>
  </r>
  <r>
    <x v="0"/>
    <x v="1"/>
    <s v="Ofaveolata004826"/>
    <n v="1.0924463200000001"/>
    <n v="4.9330374399999997"/>
    <s v="Direct"/>
    <s v="NA"/>
  </r>
  <r>
    <x v="0"/>
    <x v="1"/>
    <s v="Ofaveolata004859"/>
    <n v="-2.1702656999999999"/>
    <n v="-3.5292645999999999"/>
    <s v="Direct"/>
    <s v="NA"/>
  </r>
  <r>
    <x v="0"/>
    <x v="1"/>
    <s v="Ofaveolata004870"/>
    <n v="-1.408166"/>
    <n v="-1.9248464000000001"/>
    <s v="Direct"/>
    <s v="NA"/>
  </r>
  <r>
    <x v="0"/>
    <x v="1"/>
    <s v="Ofaveolata004872"/>
    <n v="-3.5053768999999999"/>
    <n v="-3.9677349999999998"/>
    <s v="Direct"/>
    <s v="NA"/>
  </r>
  <r>
    <x v="0"/>
    <x v="1"/>
    <s v="Ofaveolata004887"/>
    <n v="-1.1859508999999999"/>
    <n v="-1.3444613000000001"/>
    <s v="Direct"/>
    <s v="polymerase family, member 12"/>
  </r>
  <r>
    <x v="0"/>
    <x v="1"/>
    <s v="Ofaveolata004912"/>
    <n v="-2.8540258999999999"/>
    <n v="-2.4661597999999998"/>
    <s v="Direct"/>
    <s v="NA"/>
  </r>
  <r>
    <x v="0"/>
    <x v="1"/>
    <s v="Ofaveolata004925"/>
    <n v="1.0819608999999999"/>
    <n v="1.96302423"/>
    <s v="Direct"/>
    <s v="cerebellar Purkinje cell layer maturation"/>
  </r>
  <r>
    <x v="0"/>
    <x v="1"/>
    <s v="Ofaveolata004954"/>
    <n v="2.8540258500000002"/>
    <n v="6.6191563200000001"/>
    <s v="Direct"/>
    <s v="zymogen granule exocytosis"/>
  </r>
  <r>
    <x v="0"/>
    <x v="1"/>
    <s v="Ofaveolata004980"/>
    <n v="1.33892071"/>
    <n v="6.8335776700000004"/>
    <s v="Direct"/>
    <s v="NA"/>
  </r>
  <r>
    <x v="0"/>
    <x v="1"/>
    <s v="Ofaveolata005000"/>
    <n v="-3.3096136"/>
    <n v="-1.7002914"/>
    <s v="Direct"/>
    <s v="serine-pyruvate transaminase activity"/>
  </r>
  <r>
    <x v="0"/>
    <x v="1"/>
    <s v="Ofaveolata005027"/>
    <n v="1.45600547"/>
    <n v="4.5974678500000001"/>
    <s v="Direct"/>
    <s v="NA"/>
  </r>
  <r>
    <x v="0"/>
    <x v="1"/>
    <s v="Ofaveolata005074"/>
    <n v="1.75491273"/>
    <n v="3.7139853299999999"/>
    <s v="Direct"/>
    <s v="EF-hand domain pair"/>
  </r>
  <r>
    <x v="0"/>
    <x v="1"/>
    <s v="Ofaveolata005170"/>
    <n v="-1.3467815000000001"/>
    <n v="-2.0650968999999999"/>
    <s v="Direct"/>
    <s v="NA"/>
  </r>
  <r>
    <x v="0"/>
    <x v="1"/>
    <s v="Ofaveolata005218"/>
    <n v="3.2386478699999999"/>
    <n v="4.0794019199999996"/>
    <s v="Direct"/>
    <s v="NA"/>
  </r>
  <r>
    <x v="0"/>
    <x v="1"/>
    <s v="Ofaveolata005254"/>
    <n v="1.1037420099999999"/>
    <n v="3.8358014200000001"/>
    <s v="Direct"/>
    <s v="ornithine carbamoyltransferase activity"/>
  </r>
  <r>
    <x v="0"/>
    <x v="1"/>
    <s v="Ofaveolata005322"/>
    <n v="9.9825040600000001"/>
    <n v="3.2853525800000001"/>
    <s v="Direct"/>
    <s v="chloride channel activity"/>
  </r>
  <r>
    <x v="0"/>
    <x v="1"/>
    <s v="Ofaveolata005339"/>
    <n v="-5.3959248999999998"/>
    <n v="-2.5380231000000002"/>
    <s v="Direct"/>
    <s v="poly(A) RNA polymerase"/>
  </r>
  <r>
    <x v="0"/>
    <x v="1"/>
    <s v="Ofaveolata005409"/>
    <n v="1.0651548"/>
    <n v="1.3735185599999999"/>
    <s v="Direct"/>
    <s v="May play a role in anchoring the cytoskeleton to the plasma membrane"/>
  </r>
  <r>
    <x v="0"/>
    <x v="1"/>
    <s v="Ofaveolata005417"/>
    <n v="-1.0204739"/>
    <n v="-1.1566529000000001"/>
    <s v="Direct"/>
    <s v="cytoplasmic sequestering of CFTR protein"/>
  </r>
  <r>
    <x v="0"/>
    <x v="1"/>
    <s v="Ofaveolata005419"/>
    <n v="-1.0045603999999999"/>
    <n v="-2.6049316"/>
    <s v="Direct"/>
    <s v="molting cycle, collagen and cuticulin-based cuticle"/>
  </r>
  <r>
    <x v="0"/>
    <x v="1"/>
    <s v="Ofaveolata005425"/>
    <n v="-3.7939224999999999"/>
    <n v="-1.7117656999999999"/>
    <s v="Direct"/>
    <s v="3-hydroxyacyl-[acyl-carrier-protein] dehydratase activity"/>
  </r>
  <r>
    <x v="0"/>
    <x v="1"/>
    <s v="Ofaveolata005426"/>
    <n v="-3.5029143"/>
    <n v="-7.2616915000000004"/>
    <s v="Direct"/>
    <s v="NA"/>
  </r>
  <r>
    <x v="0"/>
    <x v="1"/>
    <s v="Ofaveolata005429"/>
    <n v="1.1701967200000001"/>
    <n v="6.1235812000000003"/>
    <s v="Direct"/>
    <s v="molting cycle, collagen and cuticulin-based cuticle"/>
  </r>
  <r>
    <x v="0"/>
    <x v="1"/>
    <s v="Ofaveolata005470"/>
    <n v="1.7351452000000001"/>
    <n v="3.1149499500000002"/>
    <s v="Direct"/>
    <s v="NA"/>
  </r>
  <r>
    <x v="0"/>
    <x v="1"/>
    <s v="Ofaveolata005477"/>
    <n v="2.9294016599999999"/>
    <n v="2.5653744299999999"/>
    <s v="Direct"/>
    <s v="actin filament binding"/>
  </r>
  <r>
    <x v="0"/>
    <x v="1"/>
    <s v="Ofaveolata005490"/>
    <n v="-1.6509801"/>
    <n v="-1.1225746000000001"/>
    <s v="Direct"/>
    <s v="NA"/>
  </r>
  <r>
    <x v="0"/>
    <x v="1"/>
    <s v="Ofaveolata005492"/>
    <n v="-1.4739808000000001"/>
    <n v="-1.4392362999999999"/>
    <s v="Direct"/>
    <s v="negative regulation of meiotic chromosome separation"/>
  </r>
  <r>
    <x v="0"/>
    <x v="1"/>
    <s v="Ofaveolata005508"/>
    <n v="-2.2392569"/>
    <n v="-2.4480694000000001"/>
    <s v="Direct"/>
    <s v="leucine binding"/>
  </r>
  <r>
    <x v="0"/>
    <x v="1"/>
    <s v="Ofaveolata005520"/>
    <n v="-1.8443700000000001"/>
    <n v="-1.6410577"/>
    <s v="Direct"/>
    <s v="Inhibitor of Bruton"/>
  </r>
  <r>
    <x v="0"/>
    <x v="1"/>
    <s v="Ofaveolata005560"/>
    <n v="-1.0571549"/>
    <n v="-1.9314719"/>
    <s v="Direct"/>
    <s v="protein depalmitoleylation"/>
  </r>
  <r>
    <x v="0"/>
    <x v="1"/>
    <s v="Ofaveolata005606"/>
    <n v="1.38673142"/>
    <n v="1.9057806100000001"/>
    <s v="Direct"/>
    <s v="NA"/>
  </r>
  <r>
    <x v="0"/>
    <x v="1"/>
    <s v="Ofaveolata005637"/>
    <n v="1.2020130600000001"/>
    <n v="2.8637214900000001"/>
    <s v="Direct"/>
    <s v="acyl-L-homoserine-lactone lactonohydrolase activity"/>
  </r>
  <r>
    <x v="0"/>
    <x v="1"/>
    <s v="Ofaveolata005644"/>
    <n v="2.5485413499999998"/>
    <n v="3.4011753699999998"/>
    <s v="Direct"/>
    <s v="NA"/>
  </r>
  <r>
    <x v="0"/>
    <x v="1"/>
    <s v="Ofaveolata005663"/>
    <n v="1.7379370199999999"/>
    <n v="2.24725917"/>
    <s v="Direct"/>
    <s v="NA"/>
  </r>
  <r>
    <x v="0"/>
    <x v="1"/>
    <s v="Ofaveolata005669"/>
    <n v="-1.0967865999999999"/>
    <n v="-3.2210382000000002"/>
    <s v="Direct"/>
    <s v="tRNA threonylcarbamoyladenosine modification"/>
  </r>
  <r>
    <x v="0"/>
    <x v="1"/>
    <s v="Ofaveolata005735"/>
    <n v="-2.1690200000000002"/>
    <n v="-3.2274128000000002"/>
    <s v="Direct"/>
    <s v="Von Willebrand factor A"/>
  </r>
  <r>
    <x v="0"/>
    <x v="1"/>
    <s v="Ofaveolata005750"/>
    <n v="-1.0078994999999999"/>
    <n v="-3.0421151000000002"/>
    <s v="Direct"/>
    <s v="NA"/>
  </r>
  <r>
    <x v="0"/>
    <x v="1"/>
    <s v="Ofaveolata005791"/>
    <n v="1.4932580799999999"/>
    <n v="1.06721139"/>
    <s v="Direct"/>
    <s v="Kinesin-like protein KIF16B"/>
  </r>
  <r>
    <x v="0"/>
    <x v="1"/>
    <s v="Ofaveolata005880"/>
    <n v="1.0302860199999999"/>
    <n v="1.08711498"/>
    <s v="Direct"/>
    <s v="transmembrane transport"/>
  </r>
  <r>
    <x v="0"/>
    <x v="1"/>
    <s v="Ofaveolata005888"/>
    <n v="-3.1946257999999998"/>
    <n v="-4.2639677000000002"/>
    <s v="Direct"/>
    <s v="denticleless E3 ubiquitin protein ligase homolog (Drosophila)"/>
  </r>
  <r>
    <x v="0"/>
    <x v="1"/>
    <s v="Ofaveolata005934"/>
    <n v="-1.1086814"/>
    <n v="-1.4472619"/>
    <s v="Direct"/>
    <s v="NA"/>
  </r>
  <r>
    <x v="0"/>
    <x v="1"/>
    <s v="Ofaveolata005951"/>
    <n v="2.5496655800000001"/>
    <n v="4.2795533600000004"/>
    <s v="Direct"/>
    <s v="NA"/>
  </r>
  <r>
    <x v="0"/>
    <x v="1"/>
    <s v="Ofaveolata006018"/>
    <n v="-1.4725637"/>
    <n v="-3.9900338"/>
    <s v="Direct"/>
    <s v="NA"/>
  </r>
  <r>
    <x v="0"/>
    <x v="1"/>
    <s v="Ofaveolata006054"/>
    <n v="1.3446598999999999"/>
    <n v="1.9578095099999999"/>
    <s v="Direct"/>
    <s v="Belongs to the Ca(2 ) cation antiporter (CaCA) (TC 2.A.19) family"/>
  </r>
  <r>
    <x v="0"/>
    <x v="1"/>
    <s v="Ofaveolata006066"/>
    <n v="-1.2686462000000001"/>
    <n v="-1.3323575999999999"/>
    <s v="Direct"/>
    <s v="Toll signaling pathway"/>
  </r>
  <r>
    <x v="0"/>
    <x v="1"/>
    <s v="Ofaveolata006080"/>
    <n v="-2.0748804000000001"/>
    <n v="-1.4198649000000001"/>
    <s v="Direct"/>
    <s v="TNF receptor-associated factor BIRC3 binding domain"/>
  </r>
  <r>
    <x v="0"/>
    <x v="1"/>
    <s v="Ofaveolata006095"/>
    <n v="-1.0117691"/>
    <n v="-3.0841037"/>
    <s v="Direct"/>
    <s v="Solute carrier family 46, member 3"/>
  </r>
  <r>
    <x v="0"/>
    <x v="1"/>
    <s v="Ofaveolata006104"/>
    <n v="-1.4704611999999999"/>
    <n v="-3.3069400999999998"/>
    <s v="Direct"/>
    <s v="regulation of epidermal growth factor receptor signaling pathway"/>
  </r>
  <r>
    <x v="0"/>
    <x v="1"/>
    <s v="Ofaveolata006122"/>
    <n v="-1.0925921000000001"/>
    <n v="-1.7134723000000001"/>
    <s v="Direct"/>
    <s v="thioesterase binding"/>
  </r>
  <r>
    <x v="0"/>
    <x v="1"/>
    <s v="Ofaveolata006123"/>
    <n v="-1.7799815999999999"/>
    <n v="-4.3063500000000001"/>
    <s v="Direct"/>
    <s v="thioesterase binding"/>
  </r>
  <r>
    <x v="0"/>
    <x v="1"/>
    <s v="Ofaveolata006126"/>
    <n v="1.1788375"/>
    <n v="-1.4019801999999999"/>
    <s v="Inverse"/>
    <s v="NA"/>
  </r>
  <r>
    <x v="0"/>
    <x v="1"/>
    <s v="Ofaveolata006199"/>
    <n v="4.5913161599999999"/>
    <n v="2.85706186"/>
    <s v="Direct"/>
    <s v="NA"/>
  </r>
  <r>
    <x v="0"/>
    <x v="1"/>
    <s v="Ofaveolata006213"/>
    <n v="1.5558470200000001"/>
    <n v="4.8752569699999997"/>
    <s v="Direct"/>
    <s v="CRT-like, chloroquine-resistance transporter-like"/>
  </r>
  <r>
    <x v="0"/>
    <x v="1"/>
    <s v="Ofaveolata006215"/>
    <n v="3.07904541"/>
    <n v="6.7099016200000001"/>
    <s v="Direct"/>
    <s v="NA"/>
  </r>
  <r>
    <x v="0"/>
    <x v="1"/>
    <s v="Ofaveolata006216"/>
    <n v="1.3954082299999999"/>
    <n v="3.4412097199999998"/>
    <s v="Direct"/>
    <s v="NA"/>
  </r>
  <r>
    <x v="0"/>
    <x v="1"/>
    <s v="Ofaveolata006257"/>
    <n v="1.2533337099999999"/>
    <n v="1.0275793"/>
    <s v="Direct"/>
    <s v="NA"/>
  </r>
  <r>
    <x v="0"/>
    <x v="1"/>
    <s v="Ofaveolata006299"/>
    <n v="1.38363664"/>
    <n v="1.0761899399999999"/>
    <s v="Direct"/>
    <s v="NA"/>
  </r>
  <r>
    <x v="0"/>
    <x v="1"/>
    <s v="Ofaveolata006312"/>
    <n v="-1.0355276"/>
    <n v="-5.7371005999999998"/>
    <s v="Direct"/>
    <s v="NA"/>
  </r>
  <r>
    <x v="0"/>
    <x v="1"/>
    <s v="Ofaveolata006325"/>
    <n v="1.04614356"/>
    <n v="1.7792867000000001"/>
    <s v="Direct"/>
    <s v="maltose alpha-glucosidase activity"/>
  </r>
  <r>
    <x v="0"/>
    <x v="1"/>
    <s v="Ofaveolata006362"/>
    <n v="1.3257644099999999"/>
    <n v="2.85349268"/>
    <s v="Direct"/>
    <s v="NA"/>
  </r>
  <r>
    <x v="0"/>
    <x v="1"/>
    <s v="Ofaveolata006376"/>
    <n v="-1.5695418000000001"/>
    <n v="-1.6605291"/>
    <s v="Direct"/>
    <s v="NA"/>
  </r>
  <r>
    <x v="0"/>
    <x v="1"/>
    <s v="Ofaveolata006430"/>
    <n v="2.4094932299999998"/>
    <n v="3.03170195"/>
    <s v="Direct"/>
    <s v="calmodulin"/>
  </r>
  <r>
    <x v="0"/>
    <x v="1"/>
    <s v="Ofaveolata006440"/>
    <n v="-2.9020793"/>
    <n v="-1.9442359"/>
    <s v="Direct"/>
    <s v="NA"/>
  </r>
  <r>
    <x v="0"/>
    <x v="1"/>
    <s v="Ofaveolata006494"/>
    <n v="1.0609296500000001"/>
    <n v="6.0889994300000003"/>
    <s v="Direct"/>
    <s v="Iron zinc purple acid phosphatase-like protein"/>
  </r>
  <r>
    <x v="0"/>
    <x v="1"/>
    <s v="Ofaveolata006587"/>
    <n v="-1.4115339"/>
    <n v="-3.3659667999999998"/>
    <s v="Direct"/>
    <s v="Acid sphingomyelinase-like phosphodiesterase 3b"/>
  </r>
  <r>
    <x v="0"/>
    <x v="1"/>
    <s v="Ofaveolata006635"/>
    <n v="-1.9402596000000001"/>
    <n v="-1.0989236"/>
    <s v="Direct"/>
    <s v="NAD/NADP octopine/nopaline dehydrogenase, alpha-helical domain"/>
  </r>
  <r>
    <x v="0"/>
    <x v="1"/>
    <s v="Ofaveolata006642"/>
    <n v="1.06541858"/>
    <n v="5.3213111299999998"/>
    <s v="Direct"/>
    <s v="NA"/>
  </r>
  <r>
    <x v="0"/>
    <x v="1"/>
    <s v="Ofaveolata006719"/>
    <n v="-1.8334492"/>
    <n v="-1.0323834999999999"/>
    <s v="Direct"/>
    <s v="tRNA methylation"/>
  </r>
  <r>
    <x v="0"/>
    <x v="1"/>
    <s v="Ofaveolata006745"/>
    <n v="1.3305665"/>
    <n v="2.1698942099999998"/>
    <s v="Direct"/>
    <s v="NA"/>
  </r>
  <r>
    <x v="0"/>
    <x v="1"/>
    <s v="Ofaveolata006786"/>
    <n v="3.8910040700000001"/>
    <n v="9.2045481000000002"/>
    <s v="Direct"/>
    <s v="regulation of cardiac muscle myoblast proliferation"/>
  </r>
  <r>
    <x v="0"/>
    <x v="1"/>
    <s v="Ofaveolata006793"/>
    <n v="3.3119879499999998"/>
    <n v="11.933890699999999"/>
    <s v="Direct"/>
    <s v="Glycerophosphoryl diester phosphodiesterase family"/>
  </r>
  <r>
    <x v="0"/>
    <x v="1"/>
    <s v="Ofaveolata006809"/>
    <n v="-1.0355276"/>
    <n v="-3.0985811000000001"/>
    <s v="Direct"/>
    <s v="phosphatidylinositol-3,5-bisphosphate 3-phosphatase activity"/>
  </r>
  <r>
    <x v="0"/>
    <x v="1"/>
    <s v="Ofaveolata006892"/>
    <n v="1.39288923"/>
    <n v="2.45648818"/>
    <s v="Direct"/>
    <s v="NA"/>
  </r>
  <r>
    <x v="0"/>
    <x v="1"/>
    <s v="Ofaveolata006941"/>
    <n v="-2.2826692999999998"/>
    <n v="-5.5627640999999999"/>
    <s v="Direct"/>
    <s v="spinal cord motor neuron differentiation"/>
  </r>
  <r>
    <x v="0"/>
    <x v="1"/>
    <s v="Ofaveolata006982"/>
    <n v="-2.5575763"/>
    <n v="-4.2114484000000001"/>
    <s v="Direct"/>
    <s v="NA"/>
  </r>
  <r>
    <x v="0"/>
    <x v="1"/>
    <s v="Ofaveolata007042"/>
    <n v="-1.8705548000000001"/>
    <n v="-4.2585106000000001"/>
    <s v="Direct"/>
    <s v="cell-matrix adhesion"/>
  </r>
  <r>
    <x v="0"/>
    <x v="1"/>
    <s v="Ofaveolata007046"/>
    <n v="-1.9822385"/>
    <n v="-6.7883655999999997"/>
    <s v="Direct"/>
    <s v="NA"/>
  </r>
  <r>
    <x v="0"/>
    <x v="1"/>
    <s v="Ofaveolata007093"/>
    <n v="-2.0289375999999999"/>
    <n v="-5.3370692000000002"/>
    <s v="Direct"/>
    <s v="NA"/>
  </r>
  <r>
    <x v="0"/>
    <x v="1"/>
    <s v="Ofaveolata007100"/>
    <n v="1.48173932"/>
    <n v="1.8936830499999999"/>
    <s v="Direct"/>
    <s v="CS domain"/>
  </r>
  <r>
    <x v="0"/>
    <x v="1"/>
    <s v="Ofaveolata007135"/>
    <n v="-1.5033892"/>
    <n v="-1.8483951999999999"/>
    <s v="Direct"/>
    <s v="ATPase activity, coupled to transmembrane movement of substances"/>
  </r>
  <r>
    <x v="0"/>
    <x v="1"/>
    <s v="Ofaveolata007154"/>
    <n v="2.06196103"/>
    <n v="3.9287230200000001"/>
    <s v="Direct"/>
    <s v="NA"/>
  </r>
  <r>
    <x v="0"/>
    <x v="1"/>
    <s v="Ofaveolata007174"/>
    <n v="1.07130345"/>
    <n v="1.15177427"/>
    <s v="Direct"/>
    <s v="Belongs to the peptidase S1 family"/>
  </r>
  <r>
    <x v="0"/>
    <x v="1"/>
    <s v="Ofaveolata007226"/>
    <n v="-2.0606938000000001"/>
    <n v="-3.8130294"/>
    <s v="Direct"/>
    <s v="sexual reproduction"/>
  </r>
  <r>
    <x v="0"/>
    <x v="1"/>
    <s v="Ofaveolata007233"/>
    <n v="-2.9570473000000002"/>
    <n v="-5.1129664999999997"/>
    <s v="Direct"/>
    <s v="dimethylaminohydrolase 1"/>
  </r>
  <r>
    <x v="0"/>
    <x v="1"/>
    <s v="Ofaveolata007280"/>
    <n v="-1.0377175999999999"/>
    <n v="-3.5391066000000002"/>
    <s v="Direct"/>
    <s v="protein deneddylation"/>
  </r>
  <r>
    <x v="0"/>
    <x v="1"/>
    <s v="Ofaveolata007291"/>
    <n v="-1.4884405000000001"/>
    <n v="-1.7312236000000001"/>
    <s v="Direct"/>
    <s v="NA"/>
  </r>
  <r>
    <x v="0"/>
    <x v="1"/>
    <s v="Ofaveolata007392"/>
    <n v="-1.7381124999999999"/>
    <n v="-3.6090965000000002"/>
    <s v="Direct"/>
    <s v="NA"/>
  </r>
  <r>
    <x v="0"/>
    <x v="1"/>
    <s v="Ofaveolata007406"/>
    <n v="-4.1391909"/>
    <n v="-10.739069000000001"/>
    <s v="Direct"/>
    <s v="NA"/>
  </r>
  <r>
    <x v="0"/>
    <x v="1"/>
    <s v="Ofaveolata007410"/>
    <n v="-1.1852746000000001"/>
    <n v="-2.0030465"/>
    <s v="Direct"/>
    <s v="NA"/>
  </r>
  <r>
    <x v="0"/>
    <x v="1"/>
    <s v="Ofaveolata007421"/>
    <n v="1.7482038600000001"/>
    <n v="3.5460720700000001"/>
    <s v="Direct"/>
    <s v="fumarate hydratase activity"/>
  </r>
  <r>
    <x v="0"/>
    <x v="1"/>
    <s v="Ofaveolata007422"/>
    <n v="-1.2880878"/>
    <n v="-2.1671076"/>
    <s v="Direct"/>
    <s v="bicarbonate binding"/>
  </r>
  <r>
    <x v="0"/>
    <x v="1"/>
    <s v="Ofaveolata007442"/>
    <n v="-1.6741747"/>
    <n v="-4.2272300999999999"/>
    <s v="Direct"/>
    <s v="NA"/>
  </r>
  <r>
    <x v="0"/>
    <x v="1"/>
    <s v="Ofaveolata007447"/>
    <n v="1.14298704"/>
    <n v="2.19695223"/>
    <s v="Direct"/>
    <s v="NA"/>
  </r>
  <r>
    <x v="0"/>
    <x v="1"/>
    <s v="Ofaveolata007467"/>
    <n v="1.8051945599999999"/>
    <n v="4.3904118600000004"/>
    <s v="Direct"/>
    <s v="Belongs to the TRAFAC class myosin-kinesin ATPase superfamily. Kinesin family"/>
  </r>
  <r>
    <x v="0"/>
    <x v="1"/>
    <s v="Ofaveolata007501"/>
    <n v="1.1166562200000001"/>
    <n v="1.08284179"/>
    <s v="Direct"/>
    <s v="calmodulin-dependent protein kinase activity"/>
  </r>
  <r>
    <x v="0"/>
    <x v="1"/>
    <s v="Ofaveolata007504"/>
    <n v="5.2158457299999998"/>
    <n v="5.4547273199999999"/>
    <s v="Direct"/>
    <s v="Thrombospondin type 1 repeats"/>
  </r>
  <r>
    <x v="0"/>
    <x v="1"/>
    <s v="Ofaveolata007542"/>
    <n v="1.15767186"/>
    <n v="4.15945842"/>
    <s v="Direct"/>
    <s v="Belongs to the peptidase M10A family"/>
  </r>
  <r>
    <x v="0"/>
    <x v="1"/>
    <s v="Ofaveolata007545"/>
    <n v="-1.3622258"/>
    <n v="-4.7114250999999996"/>
    <s v="Direct"/>
    <s v="tyrosinase"/>
  </r>
  <r>
    <x v="0"/>
    <x v="1"/>
    <s v="Ofaveolata007580"/>
    <n v="1.5648122900000001"/>
    <n v="4.33715093"/>
    <s v="Direct"/>
    <s v="BTB/POZ domain"/>
  </r>
  <r>
    <x v="0"/>
    <x v="1"/>
    <s v="Ofaveolata007592"/>
    <n v="1.4944701199999999"/>
    <n v="3.8074988699999999"/>
    <s v="Direct"/>
    <s v="Thiolase, C-terminal domain"/>
  </r>
  <r>
    <x v="0"/>
    <x v="1"/>
    <s v="Ofaveolata007703"/>
    <n v="2.2968750500000001"/>
    <n v="9.0709312900000008"/>
    <s v="Direct"/>
    <s v="coreceptor activity involved in Wnt signaling pathway, planar cell polarity pathway"/>
  </r>
  <r>
    <x v="0"/>
    <x v="1"/>
    <s v="Ofaveolata007711"/>
    <n v="1.7147119500000001"/>
    <n v="1.4123288300000001"/>
    <s v="Direct"/>
    <s v="Multiple coagulation factor deficiency"/>
  </r>
  <r>
    <x v="0"/>
    <x v="1"/>
    <s v="Ofaveolata007749"/>
    <n v="3.2728992899999998"/>
    <n v="1.63271356"/>
    <s v="Direct"/>
    <s v="NA"/>
  </r>
  <r>
    <x v="0"/>
    <x v="1"/>
    <s v="Ofaveolata007784"/>
    <n v="1.3611504999999999"/>
    <n v="6.7148633799999997"/>
    <s v="Direct"/>
    <s v="GTPase activator activity"/>
  </r>
  <r>
    <x v="0"/>
    <x v="1"/>
    <s v="Ofaveolata007827"/>
    <n v="2.6411536099999999"/>
    <n v="5.6515660600000004"/>
    <s v="Direct"/>
    <s v="NA"/>
  </r>
  <r>
    <x v="0"/>
    <x v="1"/>
    <s v="Ofaveolata007855"/>
    <n v="1.24384933"/>
    <n v="1.24365441"/>
    <s v="Direct"/>
    <s v="Lipocalin-like domain"/>
  </r>
  <r>
    <x v="0"/>
    <x v="1"/>
    <s v="Ofaveolata007900"/>
    <n v="1.0733842499999999"/>
    <n v="4.2366757799999997"/>
    <s v="Direct"/>
    <s v="L-2-hydroxyglutarate dehydrogenase"/>
  </r>
  <r>
    <x v="0"/>
    <x v="1"/>
    <s v="Ofaveolata007923"/>
    <n v="1.2260201799999999"/>
    <n v="1.9161778300000001"/>
    <s v="Direct"/>
    <s v="NA"/>
  </r>
  <r>
    <x v="0"/>
    <x v="1"/>
    <s v="Ofaveolata007931"/>
    <n v="1.21752511"/>
    <n v="1.1478501999999999"/>
    <s v="Direct"/>
    <s v="NA"/>
  </r>
  <r>
    <x v="0"/>
    <x v="1"/>
    <s v="Ofaveolata007933"/>
    <n v="1.57690481"/>
    <n v="2.3199508400000002"/>
    <s v="Direct"/>
    <s v="NA"/>
  </r>
  <r>
    <x v="0"/>
    <x v="1"/>
    <s v="Ofaveolata007940"/>
    <n v="3.02982233"/>
    <n v="6.3139067799999999"/>
    <s v="Direct"/>
    <s v="Globin"/>
  </r>
  <r>
    <x v="0"/>
    <x v="1"/>
    <s v="Ofaveolata007945"/>
    <n v="2.6480153"/>
    <n v="7.4776512200000003"/>
    <s v="Direct"/>
    <s v="NA"/>
  </r>
  <r>
    <x v="0"/>
    <x v="1"/>
    <s v="Ofaveolata007953"/>
    <n v="2.03825981"/>
    <n v="6.8916035300000003"/>
    <s v="Direct"/>
    <s v="L-rhamnose mutarotase"/>
  </r>
  <r>
    <x v="0"/>
    <x v="1"/>
    <s v="Ofaveolata007954"/>
    <n v="1.63843009"/>
    <n v="5.87364832"/>
    <s v="Direct"/>
    <s v="protein monoubiquitination"/>
  </r>
  <r>
    <x v="0"/>
    <x v="1"/>
    <s v="Ofaveolata008013"/>
    <n v="1.82365602"/>
    <n v="2.0555998899999999"/>
    <s v="Direct"/>
    <s v="adrenal chromaffin cell differentiation"/>
  </r>
  <r>
    <x v="0"/>
    <x v="1"/>
    <s v="Ofaveolata008044"/>
    <n v="-3.1018859000000001"/>
    <n v="-1.0251585999999999"/>
    <s v="Direct"/>
    <s v="NA"/>
  </r>
  <r>
    <x v="0"/>
    <x v="1"/>
    <s v="Ofaveolata008057"/>
    <n v="1.1938149"/>
    <n v="3.4170934499999999"/>
    <s v="Direct"/>
    <s v="positive regulation of inhibitory postsynaptic potential"/>
  </r>
  <r>
    <x v="0"/>
    <x v="1"/>
    <s v="Ofaveolata008102"/>
    <n v="2.9138933200000001"/>
    <n v="1.8208265699999999"/>
    <s v="Direct"/>
    <s v="NA"/>
  </r>
  <r>
    <x v="0"/>
    <x v="1"/>
    <s v="Ofaveolata008150"/>
    <n v="1.6660334299999999"/>
    <n v="4.7206666999999998"/>
    <s v="Direct"/>
    <s v="Domain first found in C1r, C1s, uEGF, and bone morphogenetic protein."/>
  </r>
  <r>
    <x v="0"/>
    <x v="1"/>
    <s v="Ofaveolata008202"/>
    <n v="-3.2676685999999999"/>
    <n v="-4.6367669999999999"/>
    <s v="Direct"/>
    <s v="Catalyzes the phosphorylation of D-fructose 6-phosphate to fructose 1,6-bisphosphate by ATP, the first committing step of glycolysis"/>
  </r>
  <r>
    <x v="0"/>
    <x v="1"/>
    <s v="Ofaveolata008208"/>
    <n v="1.22406367"/>
    <n v="1.6171265800000001"/>
    <s v="Direct"/>
    <s v="NA"/>
  </r>
  <r>
    <x v="0"/>
    <x v="1"/>
    <s v="Ofaveolata008211"/>
    <n v="2.2210254100000002"/>
    <n v="1.73511247"/>
    <s v="Direct"/>
    <s v="melatonin receptor activity"/>
  </r>
  <r>
    <x v="0"/>
    <x v="1"/>
    <s v="Ofaveolata008226"/>
    <n v="2.1213114900000001"/>
    <n v="9.19221574"/>
    <s v="Direct"/>
    <s v="odorant binding"/>
  </r>
  <r>
    <x v="0"/>
    <x v="1"/>
    <s v="Ofaveolata008256"/>
    <n v="-1.1932659000000001"/>
    <n v="-3.8130294"/>
    <s v="Direct"/>
    <s v="NA"/>
  </r>
  <r>
    <x v="0"/>
    <x v="1"/>
    <s v="Ofaveolata008369"/>
    <n v="-1.2798394"/>
    <n v="-2.2829912999999999"/>
    <s v="Direct"/>
    <s v="NA"/>
  </r>
  <r>
    <x v="0"/>
    <x v="1"/>
    <s v="Ofaveolata008372"/>
    <n v="1.7160488599999999"/>
    <n v="1.49986044"/>
    <s v="Direct"/>
    <s v="NA"/>
  </r>
  <r>
    <x v="0"/>
    <x v="1"/>
    <s v="Ofaveolata008408"/>
    <n v="1.51557886"/>
    <n v="3.8449765400000002"/>
    <s v="Direct"/>
    <s v="adenylate cyclase-inhibiting G-protein coupled glutamate receptor signaling pathway"/>
  </r>
  <r>
    <x v="0"/>
    <x v="1"/>
    <s v="Ofaveolata008447"/>
    <n v="2.5824134399999998"/>
    <n v="2.72240935"/>
    <s v="Direct"/>
    <s v="Zona pellucida (ZP) domain"/>
  </r>
  <r>
    <x v="0"/>
    <x v="1"/>
    <s v="Ofaveolata008458"/>
    <n v="-2.1982621999999998"/>
    <n v="-5.0364339999999999"/>
    <s v="Direct"/>
    <s v="NA"/>
  </r>
  <r>
    <x v="0"/>
    <x v="1"/>
    <s v="Ofaveolata008498"/>
    <n v="-2.8540258999999999"/>
    <n v="-1.3636204000000001"/>
    <s v="Direct"/>
    <s v="NA"/>
  </r>
  <r>
    <x v="0"/>
    <x v="1"/>
    <s v="Ofaveolata008501"/>
    <n v="-1.9053708"/>
    <n v="-2.8333636000000002"/>
    <s v="Direct"/>
    <s v="positive regulation of interleukin-4-mediated signaling pathway"/>
  </r>
  <r>
    <x v="0"/>
    <x v="1"/>
    <s v="Ofaveolata008509"/>
    <n v="1.2174596900000001"/>
    <n v="2.4763590099999999"/>
    <s v="Direct"/>
    <s v="elongation of very long chain fatty acids protein"/>
  </r>
  <r>
    <x v="0"/>
    <x v="1"/>
    <s v="Ofaveolata008564"/>
    <n v="1.7139131400000001"/>
    <n v="5.0170643200000002"/>
    <s v="Direct"/>
    <s v="catalytic activity. It is involved in the biological process described with metabolic process"/>
  </r>
  <r>
    <x v="0"/>
    <x v="1"/>
    <s v="Ofaveolata008570"/>
    <n v="-2.1289273999999998"/>
    <n v="-3.220259"/>
    <s v="Direct"/>
    <s v="guanine/thymine mispair binding"/>
  </r>
  <r>
    <x v="0"/>
    <x v="1"/>
    <s v="Ofaveolata008601"/>
    <n v="2.4088601000000001"/>
    <n v="2.8553570100000001"/>
    <s v="Direct"/>
    <s v="Sodium:neurotransmitter symporter family"/>
  </r>
  <r>
    <x v="0"/>
    <x v="1"/>
    <s v="Ofaveolata008630"/>
    <n v="6.19742748"/>
    <n v="3.2681800700000001"/>
    <s v="Direct"/>
    <s v="LicD family"/>
  </r>
  <r>
    <x v="0"/>
    <x v="1"/>
    <s v="Ofaveolata008648"/>
    <n v="1.4140070199999999"/>
    <n v="1.49262103"/>
    <s v="Direct"/>
    <s v="NA"/>
  </r>
  <r>
    <x v="0"/>
    <x v="1"/>
    <s v="Ofaveolata008662"/>
    <n v="1.7267511499999999"/>
    <n v="1.8857686499999999"/>
    <s v="Direct"/>
    <s v="NA"/>
  </r>
  <r>
    <x v="0"/>
    <x v="1"/>
    <s v="Ofaveolata008665"/>
    <n v="2.2336497400000002"/>
    <n v="3.72060557"/>
    <s v="Direct"/>
    <s v="NA"/>
  </r>
  <r>
    <x v="0"/>
    <x v="1"/>
    <s v="Ofaveolata008682"/>
    <n v="1.0055943700000001"/>
    <n v="3.0211740100000002"/>
    <s v="Direct"/>
    <s v="NA"/>
  </r>
  <r>
    <x v="0"/>
    <x v="1"/>
    <s v="Ofaveolata008705"/>
    <n v="2.8706221200000002"/>
    <n v="1.89286847"/>
    <s v="Direct"/>
    <s v="LicD family"/>
  </r>
  <r>
    <x v="0"/>
    <x v="1"/>
    <s v="Ofaveolata008749"/>
    <n v="1.9811835499999999"/>
    <n v="1.36454981"/>
    <s v="Direct"/>
    <s v="NA"/>
  </r>
  <r>
    <x v="0"/>
    <x v="1"/>
    <s v="Ofaveolata008787"/>
    <n v="2.33818503"/>
    <n v="5.7745700800000002"/>
    <s v="Direct"/>
    <s v="NA"/>
  </r>
  <r>
    <x v="0"/>
    <x v="1"/>
    <s v="Ofaveolata008825"/>
    <n v="-1.2003321"/>
    <n v="-1.5005272999999999"/>
    <s v="Direct"/>
    <s v="Hydroxyacyl-coenzyme A dehydrogenase"/>
  </r>
  <r>
    <x v="0"/>
    <x v="1"/>
    <s v="Ofaveolata008922"/>
    <n v="1.11137646"/>
    <n v="1.36509825"/>
    <s v="Direct"/>
    <s v="NA"/>
  </r>
  <r>
    <x v="0"/>
    <x v="1"/>
    <s v="Ofaveolata009008"/>
    <n v="-1.5396224000000001"/>
    <n v="-3.9629102"/>
    <s v="Direct"/>
    <s v="NA"/>
  </r>
  <r>
    <x v="0"/>
    <x v="1"/>
    <s v="Ofaveolata009031"/>
    <n v="1.1768355699999999"/>
    <n v="1.6288858100000001"/>
    <s v="Direct"/>
    <s v="endoplasmic reticulum-plasma membrane tethering"/>
  </r>
  <r>
    <x v="0"/>
    <x v="1"/>
    <s v="Ofaveolata009073"/>
    <n v="-1.0556913999999999"/>
    <n v="-2.2673681000000001"/>
    <s v="Direct"/>
    <s v="NA"/>
  </r>
  <r>
    <x v="0"/>
    <x v="1"/>
    <s v="Ofaveolata009101"/>
    <n v="-1.1750476999999999"/>
    <n v="-1.3007826"/>
    <s v="Direct"/>
    <s v="NA"/>
  </r>
  <r>
    <x v="0"/>
    <x v="1"/>
    <s v="Ofaveolata009131"/>
    <n v="1.2969628499999999"/>
    <n v="2.12141812"/>
    <s v="Direct"/>
    <s v="NA"/>
  </r>
  <r>
    <x v="0"/>
    <x v="1"/>
    <s v="Ofaveolata009148"/>
    <n v="-1.0218592"/>
    <n v="-2.3199706999999998"/>
    <s v="Direct"/>
    <s v="NA"/>
  </r>
  <r>
    <x v="0"/>
    <x v="1"/>
    <s v="Ofaveolata009256"/>
    <n v="-1.8847579000000001"/>
    <n v="-3.887448"/>
    <s v="Direct"/>
    <s v="NA"/>
  </r>
  <r>
    <x v="0"/>
    <x v="1"/>
    <s v="Ofaveolata009303"/>
    <n v="-1.9544311999999999"/>
    <n v="-4.9994848999999997"/>
    <s v="Direct"/>
    <s v="NA"/>
  </r>
  <r>
    <x v="0"/>
    <x v="1"/>
    <s v="Ofaveolata009321"/>
    <n v="2.2182463000000001"/>
    <n v="1.5415472100000001"/>
    <s v="Direct"/>
    <s v="NA"/>
  </r>
  <r>
    <x v="0"/>
    <x v="1"/>
    <s v="Ofaveolata009325"/>
    <n v="-1.1753131000000001"/>
    <n v="-5.0864684000000002"/>
    <s v="Direct"/>
    <s v="Zgc 136858"/>
  </r>
  <r>
    <x v="0"/>
    <x v="1"/>
    <s v="Ofaveolata009335"/>
    <n v="-1.555847"/>
    <n v="-9.9382354999999993"/>
    <s v="Direct"/>
    <s v="NA"/>
  </r>
  <r>
    <x v="0"/>
    <x v="1"/>
    <s v="Ofaveolata009377"/>
    <n v="2.0400747300000002"/>
    <n v="9.3017431899999998"/>
    <s v="Direct"/>
    <s v="NA"/>
  </r>
  <r>
    <x v="0"/>
    <x v="1"/>
    <s v="Ofaveolata009424"/>
    <n v="2.8034636499999999"/>
    <n v="1.63917625"/>
    <s v="Direct"/>
    <s v="NA"/>
  </r>
  <r>
    <x v="0"/>
    <x v="1"/>
    <s v="Ofaveolata009517"/>
    <n v="4.09620988"/>
    <n v="3.2880607300000002"/>
    <s v="Direct"/>
    <s v="NA"/>
  </r>
  <r>
    <x v="0"/>
    <x v="1"/>
    <s v="Ofaveolata009609"/>
    <n v="-3.7069266000000001"/>
    <n v="-3.7018822999999998"/>
    <s v="Direct"/>
    <s v="RNA binding motif protein"/>
  </r>
  <r>
    <x v="0"/>
    <x v="1"/>
    <s v="Ofaveolata009622"/>
    <n v="2.5055766899999998"/>
    <n v="3.0814117799999998"/>
    <s v="Direct"/>
    <s v="androgen catabolic process"/>
  </r>
  <r>
    <x v="0"/>
    <x v="1"/>
    <s v="Ofaveolata009647"/>
    <n v="-1.1318775999999999"/>
    <n v="-4.0046116999999999"/>
    <s v="Direct"/>
    <s v="NA"/>
  </r>
  <r>
    <x v="0"/>
    <x v="1"/>
    <s v="Ofaveolata009663"/>
    <n v="4.0970490599999998"/>
    <n v="2.33920511"/>
    <s v="Direct"/>
    <s v="NA"/>
  </r>
  <r>
    <x v="0"/>
    <x v="1"/>
    <s v="Ofaveolata009699"/>
    <n v="-1.9402596000000001"/>
    <n v="-5.0384710000000004"/>
    <s v="Direct"/>
    <s v="Required for RNA-mediated gene silencing (RNAi) by the RNA-induced silencing complex (RISC). The 'minimal RISC' appears to include ago2 bound to a short guide RNA such as a microRNA (miRNA) or short interfering RNA (siRNA). These guide RNAs direct RISC to"/>
  </r>
  <r>
    <x v="0"/>
    <x v="1"/>
    <s v="Ofaveolata009755"/>
    <n v="7.0163611599999998"/>
    <n v="8.8595967200000008"/>
    <s v="Direct"/>
    <s v="intracellular protein transport"/>
  </r>
  <r>
    <x v="0"/>
    <x v="1"/>
    <s v="Ofaveolata009833"/>
    <n v="1.96572707"/>
    <n v="1.01017204"/>
    <s v="Direct"/>
    <s v="Glutathione S-transferase, C-terminal domain"/>
  </r>
  <r>
    <x v="0"/>
    <x v="1"/>
    <s v="Ofaveolata009856"/>
    <n v="-2.7282034999999998"/>
    <n v="-3.7537905999999999"/>
    <s v="Direct"/>
    <s v="protein serine/threonine phosphatase activity"/>
  </r>
  <r>
    <x v="0"/>
    <x v="1"/>
    <s v="Ofaveolata009872"/>
    <n v="1.1559006999999999"/>
    <n v="1.87061849"/>
    <s v="Direct"/>
    <s v="Belongs to the fatty acid desaturase type 1 family"/>
  </r>
  <r>
    <x v="0"/>
    <x v="1"/>
    <s v="Ofaveolata009915"/>
    <n v="1.19364972"/>
    <n v="6.4889006800000004"/>
    <s v="Direct"/>
    <s v="organic anion transmembrane transporter activity"/>
  </r>
  <r>
    <x v="0"/>
    <x v="1"/>
    <s v="Ofaveolata009917"/>
    <n v="1.03663303"/>
    <n v="1.2291628699999999"/>
    <s v="Direct"/>
    <s v="transitional stage B cell differentiation"/>
  </r>
  <r>
    <x v="0"/>
    <x v="1"/>
    <s v="Ofaveolata009957"/>
    <n v="-1.1084985000000001"/>
    <n v="1.69174376"/>
    <s v="Inverse"/>
    <s v="phenazine biosynthesis-like"/>
  </r>
  <r>
    <x v="0"/>
    <x v="1"/>
    <s v="Ofaveolata009973"/>
    <n v="1.4794113099999999"/>
    <n v="-1.7968394000000001"/>
    <s v="Inverse"/>
    <s v="NA"/>
  </r>
  <r>
    <x v="0"/>
    <x v="1"/>
    <s v="Ofaveolata010087"/>
    <n v="3.05551584"/>
    <n v="3.4811139500000001"/>
    <s v="Direct"/>
    <s v="NA"/>
  </r>
  <r>
    <x v="0"/>
    <x v="1"/>
    <s v="Ofaveolata010097"/>
    <n v="-2.6548329000000002"/>
    <n v="-3.6663676999999999"/>
    <s v="Direct"/>
    <s v="superoxide dismutase copper chaperone activity"/>
  </r>
  <r>
    <x v="0"/>
    <x v="1"/>
    <s v="Ofaveolata010112"/>
    <n v="4.0970490599999998"/>
    <n v="3.0516978899999998"/>
    <s v="Direct"/>
    <s v="frizzled binding"/>
  </r>
  <r>
    <x v="0"/>
    <x v="1"/>
    <s v="Ofaveolata010127"/>
    <n v="-1.9253556000000001"/>
    <n v="-1.4271"/>
    <s v="Direct"/>
    <s v="NA"/>
  </r>
  <r>
    <x v="0"/>
    <x v="1"/>
    <s v="Ofaveolata010131"/>
    <n v="1.5078842100000001"/>
    <n v="3.7189598799999999"/>
    <s v="Direct"/>
    <s v="Belongs to the short-chain dehydrogenases reductases (SDR) family"/>
  </r>
  <r>
    <x v="0"/>
    <x v="1"/>
    <s v="Ofaveolata010163"/>
    <n v="-2.2198926000000001"/>
    <n v="-1.8286456"/>
    <s v="Direct"/>
    <s v="sodium:inorganic phosphate symporter activity"/>
  </r>
  <r>
    <x v="0"/>
    <x v="1"/>
    <s v="Ofaveolata010173"/>
    <n v="-1.8294075999999999"/>
    <n v="-2.2630159000000001"/>
    <s v="Direct"/>
    <s v="NA"/>
  </r>
  <r>
    <x v="0"/>
    <x v="1"/>
    <s v="Ofaveolata010174"/>
    <n v="-3.3096136"/>
    <n v="-4.0147123999999996"/>
    <s v="Direct"/>
    <s v="NA"/>
  </r>
  <r>
    <x v="0"/>
    <x v="1"/>
    <s v="Ofaveolata010280"/>
    <n v="3.1919053399999999"/>
    <n v="7.7248526699999998"/>
    <s v="Direct"/>
    <s v="NA"/>
  </r>
  <r>
    <x v="0"/>
    <x v="1"/>
    <s v="Ofaveolata010341"/>
    <n v="-1.6205856000000001"/>
    <n v="-3.3186070000000001"/>
    <s v="Direct"/>
    <s v="chitinase activity"/>
  </r>
  <r>
    <x v="0"/>
    <x v="1"/>
    <s v="Ofaveolata010344"/>
    <n v="-1.7672471999999999"/>
    <n v="-4.743144"/>
    <s v="Direct"/>
    <s v="RNA (guanine-N7)-methylation"/>
  </r>
  <r>
    <x v="0"/>
    <x v="1"/>
    <s v="Ofaveolata010372"/>
    <n v="-2.7193041"/>
    <n v="-1.5693611999999999"/>
    <s v="Direct"/>
    <s v="NA"/>
  </r>
  <r>
    <x v="0"/>
    <x v="1"/>
    <s v="Ofaveolata010373"/>
    <n v="-2.7205151000000001"/>
    <n v="-2.9384966000000001"/>
    <s v="Direct"/>
    <s v="NA"/>
  </r>
  <r>
    <x v="0"/>
    <x v="1"/>
    <s v="Ofaveolata010453"/>
    <n v="1.37218208"/>
    <n v="1.1101843300000001"/>
    <s v="Direct"/>
    <s v="NA"/>
  </r>
  <r>
    <x v="0"/>
    <x v="1"/>
    <s v="Ofaveolata010460"/>
    <n v="-1.5462416000000001"/>
    <n v="-3.6662452000000001"/>
    <s v="Direct"/>
    <s v="cyclic nucleotide-gated ion channel activity"/>
  </r>
  <r>
    <x v="0"/>
    <x v="1"/>
    <s v="Ofaveolata010474"/>
    <n v="2.2336497400000002"/>
    <n v="3.9708526200000001"/>
    <s v="Direct"/>
    <s v="NA"/>
  </r>
  <r>
    <x v="0"/>
    <x v="1"/>
    <s v="Ofaveolata010493"/>
    <n v="-1.0268041000000001"/>
    <n v="-2.2015110999999998"/>
    <s v="Direct"/>
    <s v="negative regulation of heat generation"/>
  </r>
  <r>
    <x v="0"/>
    <x v="1"/>
    <s v="Ofaveolata010499"/>
    <n v="1.26184137"/>
    <n v="6.8528643999999996"/>
    <s v="Direct"/>
    <s v="GTPase activator activity"/>
  </r>
  <r>
    <x v="0"/>
    <x v="1"/>
    <s v="Ofaveolata010513"/>
    <n v="-1.4241216000000001"/>
    <n v="-1.4942385"/>
    <s v="Direct"/>
    <s v="alpha-1,6-mannosylglycoprotein 6-beta-N-acetylglucosaminyltransferase activity"/>
  </r>
  <r>
    <x v="0"/>
    <x v="1"/>
    <s v="Ofaveolata010551"/>
    <n v="1.59791664"/>
    <n v="6.7200238399999996"/>
    <s v="Direct"/>
    <s v="NA"/>
  </r>
  <r>
    <x v="0"/>
    <x v="1"/>
    <s v="Ofaveolata010557"/>
    <n v="-2.0092892"/>
    <n v="-2.1048217999999999"/>
    <s v="Direct"/>
    <s v="NA"/>
  </r>
  <r>
    <x v="0"/>
    <x v="1"/>
    <s v="Ofaveolata010576"/>
    <n v="1.1421051099999999"/>
    <n v="1.6148562900000001"/>
    <s v="Direct"/>
    <s v="NA"/>
  </r>
  <r>
    <x v="0"/>
    <x v="1"/>
    <s v="Ofaveolata010588"/>
    <n v="-3.1095223999999999"/>
    <n v="-2.7734985000000001"/>
    <s v="Direct"/>
    <s v="N-acetyl-beta-glucosaminyl-glycoprotein 4-beta-N-acetylgalactosaminyltransferase activity"/>
  </r>
  <r>
    <x v="0"/>
    <x v="1"/>
    <s v="Ofaveolata010589"/>
    <n v="-3.2386479000000001"/>
    <n v="-1.3763238"/>
    <s v="Direct"/>
    <s v="axonogenesis involved in innervation"/>
  </r>
  <r>
    <x v="0"/>
    <x v="1"/>
    <s v="Ofaveolata010602"/>
    <n v="1.6034164500000001"/>
    <n v="2.1874950200000001"/>
    <s v="Direct"/>
    <s v="NA"/>
  </r>
  <r>
    <x v="0"/>
    <x v="1"/>
    <s v="Ofaveolata010622"/>
    <n v="1.4272294599999999"/>
    <n v="7.3504606600000004"/>
    <s v="Direct"/>
    <s v="Leucine-rich repeat protein"/>
  </r>
  <r>
    <x v="0"/>
    <x v="1"/>
    <s v="Ofaveolata010630"/>
    <n v="2.86829789"/>
    <n v="3.9260801500000002"/>
    <s v="Direct"/>
    <s v="NA"/>
  </r>
  <r>
    <x v="0"/>
    <x v="1"/>
    <s v="Ofaveolata010679"/>
    <n v="1.59931216"/>
    <n v="1.3905654000000001"/>
    <s v="Direct"/>
    <s v="ZIP Zinc transporter"/>
  </r>
  <r>
    <x v="0"/>
    <x v="1"/>
    <s v="Ofaveolata010766"/>
    <n v="1.35829961"/>
    <n v="1.73507506"/>
    <s v="Direct"/>
    <s v="Thyroglobulin type I repeats."/>
  </r>
  <r>
    <x v="0"/>
    <x v="1"/>
    <s v="Ofaveolata010877"/>
    <n v="1.71745573"/>
    <n v="2.47806484"/>
    <s v="Direct"/>
    <s v="NA"/>
  </r>
  <r>
    <x v="0"/>
    <x v="1"/>
    <s v="Ofaveolata010911"/>
    <n v="-2.4634504000000002"/>
    <n v="-2.9818384999999998"/>
    <s v="Direct"/>
    <s v="sequence-specific DNA binding"/>
  </r>
  <r>
    <x v="0"/>
    <x v="1"/>
    <s v="Ofaveolata010955"/>
    <n v="1.9544160800000001"/>
    <n v="3.13273139"/>
    <s v="Direct"/>
    <s v="ionotropic glutamate receptor activity"/>
  </r>
  <r>
    <x v="0"/>
    <x v="1"/>
    <s v="Ofaveolata010956"/>
    <n v="-1.1838645999999999"/>
    <n v="-2.4323366000000002"/>
    <s v="Direct"/>
    <s v="Rab GDP-dissociation inhibitor activity"/>
  </r>
  <r>
    <x v="0"/>
    <x v="1"/>
    <s v="Ofaveolata010967"/>
    <n v="-1.5422567"/>
    <n v="-4.2227275000000004"/>
    <s v="Direct"/>
    <s v="ATP-dependent microtubule motor activity"/>
  </r>
  <r>
    <x v="0"/>
    <x v="1"/>
    <s v="Ofaveolata011001"/>
    <n v="-1.5670139000000001"/>
    <n v="-2.3865213000000001"/>
    <s v="Direct"/>
    <s v="NA"/>
  </r>
  <r>
    <x v="0"/>
    <x v="1"/>
    <s v="Ofaveolata011052"/>
    <n v="2.1331708900000002"/>
    <n v="3.7522157699999998"/>
    <s v="Direct"/>
    <s v="NA"/>
  </r>
  <r>
    <x v="0"/>
    <x v="1"/>
    <s v="Ofaveolata011070"/>
    <n v="1.6488222100000001"/>
    <n v="1.7184877599999999"/>
    <s v="Direct"/>
    <s v="NA"/>
  </r>
  <r>
    <x v="0"/>
    <x v="1"/>
    <s v="Ofaveolata011112"/>
    <n v="1.4794113099999999"/>
    <n v="1.4327511900000001"/>
    <s v="Direct"/>
    <s v="histidine transport"/>
  </r>
  <r>
    <x v="0"/>
    <x v="1"/>
    <s v="Ofaveolata011122"/>
    <n v="1.0127523300000001"/>
    <n v="1.9405288300000001"/>
    <s v="Direct"/>
    <s v="NA"/>
  </r>
  <r>
    <x v="0"/>
    <x v="1"/>
    <s v="Ofaveolata011135"/>
    <n v="-1.1459634000000001"/>
    <n v="-3.0864785000000001"/>
    <s v="Direct"/>
    <s v="NA"/>
  </r>
  <r>
    <x v="0"/>
    <x v="1"/>
    <s v="Ofaveolata011139"/>
    <n v="-2.2131134000000001"/>
    <n v="-2.3199706999999998"/>
    <s v="Direct"/>
    <s v="NA"/>
  </r>
  <r>
    <x v="0"/>
    <x v="1"/>
    <s v="Ofaveolata011169"/>
    <n v="-1.4510297999999999"/>
    <n v="-1.7323109999999999"/>
    <s v="Direct"/>
    <s v="NA"/>
  </r>
  <r>
    <x v="0"/>
    <x v="1"/>
    <s v="Ofaveolata011210"/>
    <n v="1.5349455000000001"/>
    <n v="1.4309797099999999"/>
    <s v="Direct"/>
    <s v="Frizzled"/>
  </r>
  <r>
    <x v="0"/>
    <x v="1"/>
    <s v="Ofaveolata011218"/>
    <n v="2.4034810000000002"/>
    <n v="2.0894142000000002"/>
    <s v="Direct"/>
    <s v="NA"/>
  </r>
  <r>
    <x v="0"/>
    <x v="1"/>
    <s v="Ofaveolata011220"/>
    <n v="-1.4704611999999999"/>
    <n v="-1.9752892"/>
    <s v="Direct"/>
    <s v="It is involved in the biological process described with"/>
  </r>
  <r>
    <x v="0"/>
    <x v="1"/>
    <s v="Ofaveolata011222"/>
    <n v="2.2336497400000002"/>
    <n v="2.6126934300000002"/>
    <s v="Direct"/>
    <s v="MDM2/MDM4 family protein binding"/>
  </r>
  <r>
    <x v="0"/>
    <x v="1"/>
    <s v="Ofaveolata011227"/>
    <n v="1.85229746"/>
    <n v="2.4853020199999998"/>
    <s v="Direct"/>
    <s v="NA"/>
  </r>
  <r>
    <x v="0"/>
    <x v="1"/>
    <s v="Ofaveolata011272"/>
    <n v="3.1505819399999999"/>
    <n v="3.44243451"/>
    <s v="Direct"/>
    <s v="NA"/>
  </r>
  <r>
    <x v="0"/>
    <x v="1"/>
    <s v="Ofaveolata011357"/>
    <n v="1.8310436999999999"/>
    <n v="3.68608373"/>
    <s v="Direct"/>
    <s v="Coagulation factor 5/8 C-terminal domain, discoidin domain"/>
  </r>
  <r>
    <x v="0"/>
    <x v="1"/>
    <s v="Ofaveolata011358"/>
    <n v="1.0651548"/>
    <n v="1.3425297700000001"/>
    <s v="Direct"/>
    <s v="NA"/>
  </r>
  <r>
    <x v="0"/>
    <x v="1"/>
    <s v="Ofaveolata011377"/>
    <n v="2.6880253999999999"/>
    <n v="2.7213463500000001"/>
    <s v="Direct"/>
    <s v="heterogeneous nuclear ribonucleoprotein"/>
  </r>
  <r>
    <x v="0"/>
    <x v="1"/>
    <s v="Ofaveolata011455"/>
    <n v="2.3267220499999999"/>
    <n v="6.75615319"/>
    <s v="Direct"/>
    <s v="Low density lipoprotein receptor-related protein associated protein 1"/>
  </r>
  <r>
    <x v="0"/>
    <x v="1"/>
    <s v="Ofaveolata011478"/>
    <n v="4.1399814900000003"/>
    <n v="8.0515123800000001"/>
    <s v="Direct"/>
    <s v="NA"/>
  </r>
  <r>
    <x v="0"/>
    <x v="1"/>
    <s v="Ofaveolata011480"/>
    <n v="-2.1690200000000002"/>
    <n v="-1.8705304"/>
    <s v="Direct"/>
    <s v="NA"/>
  </r>
  <r>
    <x v="0"/>
    <x v="1"/>
    <s v="Ofaveolata011527"/>
    <n v="-2.2841562"/>
    <n v="-3.0211739999999998"/>
    <s v="Direct"/>
    <s v="mitogen-activated protein kinase kinase kinase 19"/>
  </r>
  <r>
    <x v="0"/>
    <x v="1"/>
    <s v="Ofaveolata011534"/>
    <n v="-1.3906997999999999"/>
    <n v="-5.9525398000000003"/>
    <s v="Direct"/>
    <s v="NA"/>
  </r>
  <r>
    <x v="0"/>
    <x v="1"/>
    <s v="Ofaveolata011537"/>
    <n v="1.80040811"/>
    <n v="7.2136457800000002"/>
    <s v="Direct"/>
    <s v="NA"/>
  </r>
  <r>
    <x v="0"/>
    <x v="1"/>
    <s v="Ofaveolata011550"/>
    <n v="1.27062341"/>
    <n v="4.02418225"/>
    <s v="Direct"/>
    <s v="Calcium release activated channel regulator"/>
  </r>
  <r>
    <x v="0"/>
    <x v="1"/>
    <s v="Ofaveolata011562"/>
    <n v="-1.4359601"/>
    <n v="-1.3187669"/>
    <s v="Direct"/>
    <s v="ATPase activity, coupled to transmembrane movement of substances"/>
  </r>
  <r>
    <x v="0"/>
    <x v="1"/>
    <s v="Ofaveolata011708"/>
    <n v="1.1938638399999999"/>
    <n v="1.54270178"/>
    <s v="Direct"/>
    <s v="protein linear deubiquitination"/>
  </r>
  <r>
    <x v="0"/>
    <x v="1"/>
    <s v="Ofaveolata011853"/>
    <n v="-1.5002803"/>
    <n v="-5.1245286999999999"/>
    <s v="Direct"/>
    <s v="NA"/>
  </r>
  <r>
    <x v="0"/>
    <x v="1"/>
    <s v="Ofaveolata011952"/>
    <n v="-3.5587789000000001"/>
    <n v="-1.8840319000000001"/>
    <s v="Direct"/>
    <s v="NA"/>
  </r>
  <r>
    <x v="0"/>
    <x v="1"/>
    <s v="Ofaveolata012036"/>
    <n v="-1.3257644"/>
    <n v="-1.0148767999999999"/>
    <s v="Direct"/>
    <s v="NA"/>
  </r>
  <r>
    <x v="0"/>
    <x v="1"/>
    <s v="Ofaveolata012071"/>
    <n v="1.92920984"/>
    <n v="1.0672111399999999"/>
    <s v="Direct"/>
    <s v="NA"/>
  </r>
  <r>
    <x v="0"/>
    <x v="1"/>
    <s v="Ofaveolata012158"/>
    <n v="1.28702988"/>
    <n v="3.4876894599999999"/>
    <s v="Direct"/>
    <s v="NA"/>
  </r>
  <r>
    <x v="0"/>
    <x v="1"/>
    <s v="Ofaveolata012289"/>
    <n v="1.27471417"/>
    <n v="2.3020738399999998"/>
    <s v="Direct"/>
    <s v="dipeptidyl-peptidase activity"/>
  </r>
  <r>
    <x v="0"/>
    <x v="1"/>
    <s v="Ofaveolata012297"/>
    <n v="-1.4704611999999999"/>
    <n v="-1.8384297000000001"/>
    <s v="Direct"/>
    <s v="NA"/>
  </r>
  <r>
    <x v="0"/>
    <x v="1"/>
    <s v="Ofaveolata012351"/>
    <n v="1.48173932"/>
    <n v="4.1097910500000001"/>
    <s v="Direct"/>
    <s v="NA"/>
  </r>
  <r>
    <x v="0"/>
    <x v="1"/>
    <s v="Ofaveolata012393"/>
    <n v="-1.9876832"/>
    <n v="-4.7332052999999998"/>
    <s v="Direct"/>
    <s v="NA"/>
  </r>
  <r>
    <x v="0"/>
    <x v="1"/>
    <s v="Ofaveolata012451"/>
    <n v="-1.461112"/>
    <n v="-3.1346763000000002"/>
    <s v="Direct"/>
    <s v="NA"/>
  </r>
  <r>
    <x v="0"/>
    <x v="1"/>
    <s v="Ofaveolata012490"/>
    <n v="1.78600205"/>
    <n v="1.7869305"/>
    <s v="Direct"/>
    <s v="NA"/>
  </r>
  <r>
    <x v="0"/>
    <x v="1"/>
    <s v="Ofaveolata012524"/>
    <n v="-1.3416248"/>
    <n v="-1.5276539"/>
    <s v="Direct"/>
    <s v="Transferase activity, transferring acyl groups other than amino-acyl groups"/>
  </r>
  <r>
    <x v="0"/>
    <x v="1"/>
    <s v="Ofaveolata012649"/>
    <n v="1.0391944500000001"/>
    <n v="2.6718415700000002"/>
    <s v="Direct"/>
    <s v="NA"/>
  </r>
  <r>
    <x v="0"/>
    <x v="1"/>
    <s v="Ofaveolata012651"/>
    <n v="-2.0967832"/>
    <n v="-1.9272537999999999"/>
    <s v="Direct"/>
    <s v="zinc ion binding"/>
  </r>
  <r>
    <x v="0"/>
    <x v="1"/>
    <s v="Ofaveolata012657"/>
    <n v="1.68020243"/>
    <n v="2.27328785"/>
    <s v="Direct"/>
    <s v="Endoplasmic reticulum-Golgi intermediate compartment protein"/>
  </r>
  <r>
    <x v="0"/>
    <x v="1"/>
    <s v="Ofaveolata012670"/>
    <n v="-2.3267220000000002"/>
    <n v="-6.9438556"/>
    <s v="Direct"/>
    <s v="NA"/>
  </r>
  <r>
    <x v="0"/>
    <x v="1"/>
    <s v="Ofaveolata012682"/>
    <n v="-1.0621358999999999"/>
    <n v="-4.1028326000000002"/>
    <s v="Direct"/>
    <s v="NA"/>
  </r>
  <r>
    <x v="0"/>
    <x v="1"/>
    <s v="Ofaveolata012743"/>
    <n v="-1.3155269999999999"/>
    <n v="-1.3770859"/>
    <s v="Direct"/>
    <s v="NA"/>
  </r>
  <r>
    <x v="0"/>
    <x v="1"/>
    <s v="Ofaveolata012752"/>
    <n v="-1.2434282000000001"/>
    <n v="-5.1699833000000002"/>
    <s v="Direct"/>
    <s v="NA"/>
  </r>
  <r>
    <x v="0"/>
    <x v="1"/>
    <s v="Ofaveolata012774"/>
    <n v="-2.2336497"/>
    <n v="-4.1306463000000004"/>
    <s v="Direct"/>
    <s v="NA"/>
  </r>
  <r>
    <x v="0"/>
    <x v="1"/>
    <s v="Ofaveolata012800"/>
    <n v="1.3299864400000001"/>
    <n v="1.94520724"/>
    <s v="Direct"/>
    <s v="NA"/>
  </r>
  <r>
    <x v="0"/>
    <x v="1"/>
    <s v="Ofaveolata012816"/>
    <n v="3.3318745500000002"/>
    <n v="5.1985045400000001"/>
    <s v="Direct"/>
    <s v="cysteine and glycine-rich protein"/>
  </r>
  <r>
    <x v="0"/>
    <x v="1"/>
    <s v="Ofaveolata012823"/>
    <n v="-2.4484094000000001"/>
    <n v="-17.112925000000001"/>
    <s v="Direct"/>
    <s v="SCY1-like protein 2"/>
  </r>
  <r>
    <x v="0"/>
    <x v="1"/>
    <s v="Ofaveolata012832"/>
    <n v="-2.2998561"/>
    <n v="-1.1045723999999999"/>
    <s v="Direct"/>
    <s v="Mab-21"/>
  </r>
  <r>
    <x v="0"/>
    <x v="1"/>
    <s v="Ofaveolata012928"/>
    <n v="1.4177591300000001"/>
    <n v="1.2915329900000001"/>
    <s v="Direct"/>
    <s v="CD151 molecule (Raph blood group)"/>
  </r>
  <r>
    <x v="0"/>
    <x v="1"/>
    <s v="Ofaveolata012950"/>
    <n v="1.55618064"/>
    <n v="1.05970188"/>
    <s v="Direct"/>
    <s v="cationic amino acid transporter"/>
  </r>
  <r>
    <x v="0"/>
    <x v="1"/>
    <s v="Ofaveolata012954"/>
    <n v="1.7916723400000001"/>
    <n v="3.2187208599999999"/>
    <s v="Direct"/>
    <s v="cell surface receptor signaling pathway"/>
  </r>
  <r>
    <x v="0"/>
    <x v="1"/>
    <s v="Ofaveolata012976"/>
    <n v="-3.7102054"/>
    <n v="-11.190512999999999"/>
    <s v="Direct"/>
    <s v="phosphatidylinositol binding"/>
  </r>
  <r>
    <x v="0"/>
    <x v="1"/>
    <s v="Ofaveolata013001"/>
    <n v="2.9470174600000001"/>
    <n v="8.1550016700000008"/>
    <s v="Direct"/>
    <s v="NA"/>
  </r>
  <r>
    <x v="0"/>
    <x v="1"/>
    <s v="Ofaveolata013014"/>
    <n v="-1.1047172999999999"/>
    <n v="-1.9848372000000001"/>
    <s v="Direct"/>
    <s v="NA"/>
  </r>
  <r>
    <x v="0"/>
    <x v="1"/>
    <s v="Ofaveolata013026"/>
    <n v="1.2509085600000001"/>
    <n v="2.5623813800000002"/>
    <s v="Direct"/>
    <s v="NA"/>
  </r>
  <r>
    <x v="0"/>
    <x v="1"/>
    <s v="Ofaveolata013056"/>
    <n v="1.7217405800000001"/>
    <n v="4.1309159700000002"/>
    <s v="Direct"/>
    <s v="Astacin (Peptidase family M12A)"/>
  </r>
  <r>
    <x v="0"/>
    <x v="1"/>
    <s v="Ofaveolata013062"/>
    <n v="1.15620604"/>
    <n v="1.3614223400000001"/>
    <s v="Direct"/>
    <s v="NA"/>
  </r>
  <r>
    <x v="0"/>
    <x v="1"/>
    <s v="Ofaveolata013087"/>
    <n v="1.5648122900000001"/>
    <n v="3.6450122600000001"/>
    <s v="Direct"/>
    <s v="calcium ion binding"/>
  </r>
  <r>
    <x v="0"/>
    <x v="1"/>
    <s v="Ofaveolata013088"/>
    <n v="3.4225901099999998"/>
    <n v="3.4344739899999999"/>
    <s v="Direct"/>
    <s v="calcium ion binding"/>
  </r>
  <r>
    <x v="0"/>
    <x v="1"/>
    <s v="Ofaveolata013102"/>
    <n v="-2.6152481999999999"/>
    <n v="-1.3072874999999999"/>
    <s v="Direct"/>
    <s v="sequence-specific DNA binding"/>
  </r>
  <r>
    <x v="0"/>
    <x v="1"/>
    <s v="Ofaveolata013104"/>
    <n v="1.6894477800000001"/>
    <n v="1.08125556"/>
    <s v="Direct"/>
    <s v="GNS1/SUR4 family"/>
  </r>
  <r>
    <x v="0"/>
    <x v="1"/>
    <s v="Ofaveolata013118"/>
    <n v="3.1500562799999998"/>
    <n v="3.3948878800000002"/>
    <s v="Direct"/>
    <s v="NA"/>
  </r>
  <r>
    <x v="0"/>
    <x v="1"/>
    <s v="Ofaveolata013196"/>
    <n v="-1.2904537"/>
    <n v="-1.913835"/>
    <s v="Direct"/>
    <s v="Toll-like receptor"/>
  </r>
  <r>
    <x v="0"/>
    <x v="1"/>
    <s v="Ofaveolata013240"/>
    <n v="-1.8294075999999999"/>
    <n v="-2.3821496"/>
    <s v="Direct"/>
    <s v="NA"/>
  </r>
  <r>
    <x v="0"/>
    <x v="1"/>
    <s v="Ofaveolata013242"/>
    <n v="-6.8839608999999999"/>
    <n v="-2.9527611999999999"/>
    <s v="Direct"/>
    <s v="NA"/>
  </r>
  <r>
    <x v="0"/>
    <x v="1"/>
    <s v="Ofaveolata013258"/>
    <n v="3.4321654599999998"/>
    <n v="9.2045481000000002"/>
    <s v="Direct"/>
    <s v="NA"/>
  </r>
  <r>
    <x v="0"/>
    <x v="1"/>
    <s v="Ofaveolata013259"/>
    <n v="1.87291615"/>
    <n v="6.9515534099999998"/>
    <s v="Direct"/>
    <s v="Trefoil factor 3"/>
  </r>
  <r>
    <x v="0"/>
    <x v="1"/>
    <s v="Ofaveolata013305"/>
    <n v="2.2296789399999999"/>
    <n v="2.1561367699999998"/>
    <s v="Direct"/>
    <s v="Putative cyclase"/>
  </r>
  <r>
    <x v="0"/>
    <x v="1"/>
    <s v="Ofaveolata013317"/>
    <n v="1.1847062100000001"/>
    <n v="3.7152741200000001"/>
    <s v="Direct"/>
    <s v="NA"/>
  </r>
  <r>
    <x v="0"/>
    <x v="1"/>
    <s v="Ofaveolata013334"/>
    <n v="1.3684310799999999"/>
    <n v="2.2310969300000001"/>
    <s v="Direct"/>
    <s v="electron-transferring-flavoprotein dehydrogenase activity"/>
  </r>
  <r>
    <x v="0"/>
    <x v="1"/>
    <s v="Ofaveolata013367"/>
    <n v="2.2846375000000001"/>
    <n v="1.10982556"/>
    <s v="Direct"/>
    <s v="NA"/>
  </r>
  <r>
    <x v="0"/>
    <x v="1"/>
    <s v="Ofaveolata013386"/>
    <n v="2.01026398"/>
    <n v="1.8113948200000001"/>
    <s v="Direct"/>
    <s v="NA"/>
  </r>
  <r>
    <x v="0"/>
    <x v="1"/>
    <s v="Ofaveolata013388"/>
    <n v="1.26373738"/>
    <n v="1.49191327"/>
    <s v="Direct"/>
    <s v="NA"/>
  </r>
  <r>
    <x v="0"/>
    <x v="1"/>
    <s v="Ofaveolata013410"/>
    <n v="1.0649615100000001"/>
    <n v="6.3973837600000003"/>
    <s v="Direct"/>
    <s v="NA"/>
  </r>
  <r>
    <x v="0"/>
    <x v="1"/>
    <s v="Ofaveolata013427"/>
    <n v="-1.8198122000000001"/>
    <n v="-4.4029784999999997"/>
    <s v="Direct"/>
    <s v="Metalloendopeptidase activity. It is involved in the biological process described with proteolysis"/>
  </r>
  <r>
    <x v="0"/>
    <x v="1"/>
    <s v="Ofaveolata013458"/>
    <n v="2.3520782499999999"/>
    <n v="6.2340190599999996"/>
    <s v="Direct"/>
    <s v="thyroid hormone transmembrane transporter activity"/>
  </r>
  <r>
    <x v="0"/>
    <x v="1"/>
    <s v="Ofaveolata013459"/>
    <n v="1.78747419"/>
    <n v="1.86450871"/>
    <s v="Direct"/>
    <s v="actin filament severing"/>
  </r>
  <r>
    <x v="0"/>
    <x v="1"/>
    <s v="Ofaveolata013482"/>
    <n v="1.47889877"/>
    <n v="1.2622433500000001"/>
    <s v="Direct"/>
    <s v="Belongs to the adenylyl cyclase class-4 guanylyl cyclase family"/>
  </r>
  <r>
    <x v="0"/>
    <x v="1"/>
    <s v="Ofaveolata013490"/>
    <n v="-1.1590415999999999"/>
    <n v="-3.6104813"/>
    <s v="Direct"/>
    <s v="N-acetyl-beta-glucosaminyl-glycoprotein 4-beta-N-acetylgalactosaminyltransferase activity"/>
  </r>
  <r>
    <x v="0"/>
    <x v="1"/>
    <s v="Ofaveolata013513"/>
    <n v="1.00202126"/>
    <n v="3.02896477"/>
    <s v="Direct"/>
    <s v="xylosyltransferase activity"/>
  </r>
  <r>
    <x v="0"/>
    <x v="1"/>
    <s v="Ofaveolata013518"/>
    <n v="1.1707709100000001"/>
    <n v="4.4620940200000003"/>
    <s v="Direct"/>
    <s v="Neuronal PAS"/>
  </r>
  <r>
    <x v="0"/>
    <x v="1"/>
    <s v="Ofaveolata013526"/>
    <n v="-1.3861528000000001"/>
    <n v="-4.3552337000000003"/>
    <s v="Direct"/>
    <s v="positive regulation of mediator complex assembly"/>
  </r>
  <r>
    <x v="0"/>
    <x v="1"/>
    <s v="Ofaveolata013530"/>
    <n v="-2.7331275000000002"/>
    <n v="-2.9610607"/>
    <s v="Direct"/>
    <s v="Hexosaminidase (glycosyl hydrolase family 20, catalytic domain) containing"/>
  </r>
  <r>
    <x v="0"/>
    <x v="1"/>
    <s v="Ofaveolata013538"/>
    <n v="1.0032213999999999"/>
    <n v="1.35064125"/>
    <s v="Direct"/>
    <s v="NA"/>
  </r>
  <r>
    <x v="0"/>
    <x v="1"/>
    <s v="Ofaveolata013767"/>
    <n v="-1.0024664000000001"/>
    <n v="-1.4612798"/>
    <s v="Direct"/>
    <s v="glycosylceramidase activity"/>
  </r>
  <r>
    <x v="0"/>
    <x v="1"/>
    <s v="Ofaveolata013798"/>
    <n v="1.55618064"/>
    <n v="1.49363585"/>
    <s v="Direct"/>
    <s v="NA"/>
  </r>
  <r>
    <x v="0"/>
    <x v="1"/>
    <s v="Ofaveolata013926"/>
    <n v="1.2440026"/>
    <n v="5.11576451"/>
    <s v="Direct"/>
    <s v="NA"/>
  </r>
  <r>
    <x v="0"/>
    <x v="1"/>
    <s v="Ofaveolata013951"/>
    <n v="2.2514224999999999"/>
    <n v="7.4409999899999999"/>
    <s v="Direct"/>
    <s v="ATP binding"/>
  </r>
  <r>
    <x v="0"/>
    <x v="1"/>
    <s v="Ofaveolata013972"/>
    <n v="1.1376704799999999"/>
    <n v="8.3239824000000002"/>
    <s v="Direct"/>
    <s v="cell adhesion"/>
  </r>
  <r>
    <x v="0"/>
    <x v="1"/>
    <s v="Ofaveolata014092"/>
    <n v="1.7921587999999999"/>
    <n v="2.2003219600000001"/>
    <s v="Direct"/>
    <s v="aryl hydrocarbon receptor activity"/>
  </r>
  <r>
    <x v="0"/>
    <x v="1"/>
    <s v="Ofaveolata014093"/>
    <n v="1.8512535000000001"/>
    <n v="1.1477038100000001"/>
    <s v="Direct"/>
    <s v="NA"/>
  </r>
  <r>
    <x v="0"/>
    <x v="1"/>
    <s v="Ofaveolata014240"/>
    <n v="-3.0434842999999998"/>
    <n v="-1.8812441"/>
    <s v="Direct"/>
    <s v="NA"/>
  </r>
  <r>
    <x v="0"/>
    <x v="1"/>
    <s v="Ofaveolata014259"/>
    <n v="-2.2443010000000001"/>
    <n v="-11.882370999999999"/>
    <s v="Direct"/>
    <s v="ADP-ribosylarginine hydrolase activity"/>
  </r>
  <r>
    <x v="0"/>
    <x v="1"/>
    <s v="Ofaveolata014262"/>
    <n v="-1.623116"/>
    <n v="-5.3954108999999999"/>
    <s v="Direct"/>
    <s v="NA"/>
  </r>
  <r>
    <x v="0"/>
    <x v="1"/>
    <s v="Ofaveolata014271"/>
    <n v="-1.4510297999999999"/>
    <n v="-9.7272500999999991"/>
    <s v="Direct"/>
    <s v="BEST Arabidopsis thaliana protein match is P-loop containing nucleoside triphosphate hydrolases superfamily protein (TAIR"/>
  </r>
  <r>
    <x v="0"/>
    <x v="1"/>
    <s v="Ofaveolata014299"/>
    <n v="1.34076861"/>
    <n v="1.39531213"/>
    <s v="Direct"/>
    <s v="PLAC8 family"/>
  </r>
  <r>
    <x v="0"/>
    <x v="1"/>
    <s v="Ofaveolata014317"/>
    <n v="-1.3305665"/>
    <n v="-1.3323008000000001"/>
    <s v="Direct"/>
    <s v="belongs to the actin family"/>
  </r>
  <r>
    <x v="0"/>
    <x v="1"/>
    <s v="Ofaveolata014323"/>
    <n v="3.6255665700000002"/>
    <n v="3.3916985400000002"/>
    <s v="Direct"/>
    <s v="ATP binding"/>
  </r>
  <r>
    <x v="0"/>
    <x v="1"/>
    <s v="Ofaveolata014337"/>
    <n v="1.25871735"/>
    <n v="4.6108760799999997"/>
    <s v="Direct"/>
    <s v="NA"/>
  </r>
  <r>
    <x v="0"/>
    <x v="1"/>
    <s v="Ofaveolata014341"/>
    <n v="1.7851913800000001"/>
    <n v="1.4141218600000001"/>
    <s v="Direct"/>
    <s v="GMP binding"/>
  </r>
  <r>
    <x v="0"/>
    <x v="1"/>
    <s v="Ofaveolata014345"/>
    <n v="-1.3551574"/>
    <n v="-1.6429233999999999"/>
    <s v="Direct"/>
    <s v="iron-sulfur cluster assembly"/>
  </r>
  <r>
    <x v="0"/>
    <x v="1"/>
    <s v="Ofaveolata014416"/>
    <n v="1.7393558"/>
    <n v="2.0119249799999999"/>
    <s v="Direct"/>
    <s v="NA"/>
  </r>
  <r>
    <x v="0"/>
    <x v="1"/>
    <s v="Ofaveolata014442"/>
    <n v="1.13543489"/>
    <n v="2.5879647499999998"/>
    <s v="Direct"/>
    <s v="ubiquinone biosynthetic process"/>
  </r>
  <r>
    <x v="0"/>
    <x v="1"/>
    <s v="Ofaveolata014493"/>
    <n v="1.4356470100000001"/>
    <n v="1.2695960100000001"/>
    <s v="Direct"/>
    <s v="Belongs to the TRAFAC class myosin-kinesin ATPase superfamily. Myosin family"/>
  </r>
  <r>
    <x v="0"/>
    <x v="1"/>
    <s v="Ofaveolata014507"/>
    <n v="1.03615536"/>
    <n v="1.84027717"/>
    <s v="Direct"/>
    <s v="coiled-coil"/>
  </r>
  <r>
    <x v="0"/>
    <x v="1"/>
    <s v="Ofaveolata014585"/>
    <n v="1.0547133900000001"/>
    <n v="1.04625323"/>
    <s v="Direct"/>
    <s v="NA"/>
  </r>
  <r>
    <x v="0"/>
    <x v="1"/>
    <s v="Ofaveolata014612"/>
    <n v="1.11804663"/>
    <n v="2.2360301200000001"/>
    <s v="Direct"/>
    <s v="NA"/>
  </r>
  <r>
    <x v="0"/>
    <x v="1"/>
    <s v="Ofaveolata014629"/>
    <n v="1.62338673"/>
    <n v="3.4298232999999998"/>
    <s v="Direct"/>
    <s v="NA"/>
  </r>
  <r>
    <x v="0"/>
    <x v="1"/>
    <s v="Ofaveolata014649"/>
    <n v="-1.3208864"/>
    <n v="-3.4678065999999999"/>
    <s v="Direct"/>
    <s v="methyltransferase"/>
  </r>
  <r>
    <x v="0"/>
    <x v="1"/>
    <s v="Ofaveolata014728"/>
    <n v="1.77946469"/>
    <n v="2.9752049199999999"/>
    <s v="Direct"/>
    <s v="Belongs to the glycosyl hydrolase 18 family"/>
  </r>
  <r>
    <x v="0"/>
    <x v="1"/>
    <s v="Ofaveolata014746"/>
    <n v="-1.6003541999999999"/>
    <n v="-2.2056808999999999"/>
    <s v="Direct"/>
    <s v="NA"/>
  </r>
  <r>
    <x v="0"/>
    <x v="1"/>
    <s v="Ofaveolata014778"/>
    <n v="1.29956973"/>
    <n v="2.9122763900000002"/>
    <s v="Direct"/>
    <s v="intracellular chloride channel activity"/>
  </r>
  <r>
    <x v="0"/>
    <x v="1"/>
    <s v="Ofaveolata014850"/>
    <n v="1.0032213999999999"/>
    <n v="1.8521597599999999"/>
    <s v="Direct"/>
    <s v="NA"/>
  </r>
  <r>
    <x v="0"/>
    <x v="1"/>
    <s v="Ofaveolata014852"/>
    <n v="-4.8439689000000001"/>
    <n v="-3.3475085"/>
    <s v="Direct"/>
    <s v="IPT/TIG domain"/>
  </r>
  <r>
    <x v="0"/>
    <x v="1"/>
    <s v="Ofaveolata014858"/>
    <n v="1.1459633899999999"/>
    <n v="5.6623194400000001"/>
    <s v="Direct"/>
    <s v="Dermatopontin"/>
  </r>
  <r>
    <x v="0"/>
    <x v="1"/>
    <s v="Ofaveolata014884"/>
    <n v="1.1932659400000001"/>
    <n v="2.3492608800000001"/>
    <s v="Direct"/>
    <s v="renal vesicle induction"/>
  </r>
  <r>
    <x v="0"/>
    <x v="1"/>
    <s v="Ofaveolata014896"/>
    <n v="-1.8443700000000001"/>
    <n v="-4.4766528000000001"/>
    <s v="Direct"/>
    <s v="NA"/>
  </r>
  <r>
    <x v="0"/>
    <x v="1"/>
    <s v="Ofaveolata014901"/>
    <n v="-3.8910041"/>
    <n v="-3.2470512999999999"/>
    <s v="Direct"/>
    <s v="NA"/>
  </r>
  <r>
    <x v="0"/>
    <x v="1"/>
    <s v="Ofaveolata014903"/>
    <n v="1.47292489"/>
    <n v="2.9677437000000002"/>
    <s v="Direct"/>
    <s v="G-protein coupled receptor activity"/>
  </r>
  <r>
    <x v="0"/>
    <x v="1"/>
    <s v="Ofaveolata014921"/>
    <n v="-1.4769582000000001"/>
    <n v="-4.4041683000000003"/>
    <s v="Direct"/>
    <s v="Ubiquitin specific protease 1"/>
  </r>
  <r>
    <x v="0"/>
    <x v="1"/>
    <s v="Ofaveolata014934"/>
    <n v="-2.4484094000000001"/>
    <n v="-2.7616893999999998"/>
    <s v="Direct"/>
    <s v="NA"/>
  </r>
  <r>
    <x v="0"/>
    <x v="1"/>
    <s v="Ofaveolata014963"/>
    <n v="4.1971751499999996"/>
    <n v="1.48858479"/>
    <s v="Direct"/>
    <s v="NA"/>
  </r>
  <r>
    <x v="0"/>
    <x v="1"/>
    <s v="Ofaveolata014972"/>
    <n v="-2.3845005000000001"/>
    <n v="-1.7562709000000001"/>
    <s v="Direct"/>
    <s v="15-hydroxyprostaglandin dehydrogenase (NADP+) activity"/>
  </r>
  <r>
    <x v="0"/>
    <x v="1"/>
    <s v="Ofaveolata014996"/>
    <n v="1.4014032199999999"/>
    <n v="3.5839122099999998"/>
    <s v="Direct"/>
    <s v="Coiled-coil domain containing 89"/>
  </r>
  <r>
    <x v="0"/>
    <x v="1"/>
    <s v="Ofaveolata014998"/>
    <n v="1.40471064"/>
    <n v="1.38170751"/>
    <s v="Direct"/>
    <s v="Coiled-coil domain containing 89"/>
  </r>
  <r>
    <x v="0"/>
    <x v="1"/>
    <s v="Ofaveolata015021"/>
    <n v="-2.1923330000000001"/>
    <n v="-2.8114099000000001"/>
    <s v="Direct"/>
    <s v="NA"/>
  </r>
  <r>
    <x v="0"/>
    <x v="1"/>
    <s v="Ofaveolata015050"/>
    <n v="3.7695405700000002"/>
    <n v="6.7345857999999996"/>
    <s v="Direct"/>
    <s v="structural constituent of cuticle"/>
  </r>
  <r>
    <x v="0"/>
    <x v="1"/>
    <s v="Ofaveolata015057"/>
    <n v="3.0820901100000002"/>
    <n v="4.3769679999999997"/>
    <s v="Direct"/>
    <s v="Fibrillar collagens C-terminal domain"/>
  </r>
  <r>
    <x v="0"/>
    <x v="1"/>
    <s v="Ofaveolata015061"/>
    <n v="1.0569935399999999"/>
    <n v="5.1914404899999997"/>
    <s v="Direct"/>
    <s v="negative regulation of cell proliferation involved in heart valve morphogenesis"/>
  </r>
  <r>
    <x v="0"/>
    <x v="1"/>
    <s v="Ofaveolata015074"/>
    <n v="3.9921785999999999"/>
    <n v="4.2456334699999996"/>
    <s v="Direct"/>
    <s v="structural constituent of cuticle"/>
  </r>
  <r>
    <x v="0"/>
    <x v="1"/>
    <s v="Ofaveolata015084"/>
    <n v="1.6369620499999999"/>
    <n v="1.98281248"/>
    <s v="Direct"/>
    <s v="NA"/>
  </r>
  <r>
    <x v="0"/>
    <x v="1"/>
    <s v="Ofaveolata015086"/>
    <n v="3.8227072600000001"/>
    <n v="1.5073873600000001"/>
    <s v="Direct"/>
    <s v="NA"/>
  </r>
  <r>
    <x v="0"/>
    <x v="1"/>
    <s v="Ofaveolata015101"/>
    <n v="1.7611323299999999"/>
    <n v="6.0058710599999996"/>
    <s v="Direct"/>
    <s v="NA"/>
  </r>
  <r>
    <x v="0"/>
    <x v="1"/>
    <s v="Ofaveolata015120"/>
    <n v="-1.5633528999999999"/>
    <n v="-1.4757294000000001"/>
    <s v="Direct"/>
    <s v="Nuclear factor erythroid"/>
  </r>
  <r>
    <x v="0"/>
    <x v="1"/>
    <s v="Ofaveolata015131"/>
    <n v="1.04081299"/>
    <n v="3.9635677299999998"/>
    <s v="Direct"/>
    <s v="NA"/>
  </r>
  <r>
    <x v="0"/>
    <x v="1"/>
    <s v="Ofaveolata015148"/>
    <n v="1.8872332999999999"/>
    <n v="2.90894925"/>
    <s v="Direct"/>
    <s v="NA"/>
  </r>
  <r>
    <x v="0"/>
    <x v="1"/>
    <s v="Ofaveolata015179"/>
    <n v="-1.2296821"/>
    <n v="-1.9975603"/>
    <s v="Direct"/>
    <s v="calcium ion-regulated exocytosis of neurotransmitter"/>
  </r>
  <r>
    <x v="0"/>
    <x v="1"/>
    <s v="Ofaveolata015272"/>
    <n v="-2.2091821"/>
    <n v="-2.3144201"/>
    <s v="Direct"/>
    <s v="CW-type Zinc Finger"/>
  </r>
  <r>
    <x v="0"/>
    <x v="1"/>
    <s v="Ofaveolata015297"/>
    <n v="-2.4890571000000001"/>
    <n v="-2.1021828"/>
    <s v="Direct"/>
    <s v="NA"/>
  </r>
  <r>
    <x v="0"/>
    <x v="1"/>
    <s v="Ofaveolata015359"/>
    <n v="-1.9053389000000001"/>
    <n v="-1.1589905"/>
    <s v="Direct"/>
    <s v="NA"/>
  </r>
  <r>
    <x v="0"/>
    <x v="1"/>
    <s v="Ofaveolata015365"/>
    <n v="-1.3298477"/>
    <n v="-2.7676794"/>
    <s v="Direct"/>
    <s v="NA"/>
  </r>
  <r>
    <x v="0"/>
    <x v="1"/>
    <s v="Ofaveolata015401"/>
    <n v="1.3228857199999999"/>
    <n v="2.5635435800000002"/>
    <s v="Direct"/>
    <s v="Carboxylesterase family"/>
  </r>
  <r>
    <x v="0"/>
    <x v="1"/>
    <s v="Ofaveolata015403"/>
    <n v="1.22968214"/>
    <n v="2.8526790700000002"/>
    <s v="Direct"/>
    <s v="Carboxylesterase family"/>
  </r>
  <r>
    <x v="0"/>
    <x v="1"/>
    <s v="Ofaveolata015416"/>
    <n v="-3.9583995999999999"/>
    <n v="-1.9350423999999999"/>
    <s v="Direct"/>
    <s v="NA"/>
  </r>
  <r>
    <x v="0"/>
    <x v="1"/>
    <s v="Ofaveolata015454"/>
    <n v="-1.2787598"/>
    <n v="-4.863963"/>
    <s v="Direct"/>
    <s v="NA"/>
  </r>
  <r>
    <x v="0"/>
    <x v="1"/>
    <s v="Ofaveolata015485"/>
    <n v="-1.3389207000000001"/>
    <n v="-1.3657184"/>
    <s v="Direct"/>
    <s v="negative regulation of inclusion body assembly"/>
  </r>
  <r>
    <x v="0"/>
    <x v="1"/>
    <s v="Ofaveolata015532"/>
    <n v="-1.2618414"/>
    <n v="-1.4531974000000001"/>
    <s v="Direct"/>
    <s v="ATPase activity, coupled to transmembrane movement of substances"/>
  </r>
  <r>
    <x v="0"/>
    <x v="1"/>
    <s v="Ofaveolata015558"/>
    <n v="-1.5030471999999999"/>
    <n v="-1.3598896"/>
    <s v="Direct"/>
    <s v="3-hydroxyisobutyrate dehydrogenase activity"/>
  </r>
  <r>
    <x v="0"/>
    <x v="1"/>
    <s v="Ofaveolata015576"/>
    <n v="-1.8804775"/>
    <n v="-2.5887617000000001"/>
    <s v="Direct"/>
    <s v="myosin light chain kinase activity"/>
  </r>
  <r>
    <x v="0"/>
    <x v="1"/>
    <s v="Ofaveolata015588"/>
    <n v="1.01708939"/>
    <n v="1.49081968"/>
    <s v="Direct"/>
    <s v="NA"/>
  </r>
  <r>
    <x v="0"/>
    <x v="1"/>
    <s v="Ofaveolata015617"/>
    <n v="3.0423036899999998"/>
    <n v="3.8670213100000002"/>
    <s v="Direct"/>
    <s v="NA"/>
  </r>
  <r>
    <x v="0"/>
    <x v="1"/>
    <s v="Ofaveolata015635"/>
    <n v="-1.3407686000000001"/>
    <n v="-1.8232946999999999"/>
    <s v="Direct"/>
    <s v="PMS1 postmeiotic segregation increased 1 (S. cerevisiae)"/>
  </r>
  <r>
    <x v="0"/>
    <x v="1"/>
    <s v="Ofaveolata015636"/>
    <n v="-2.8540258999999999"/>
    <n v="-2.6085348000000002"/>
    <s v="Direct"/>
    <s v="Ankyrin repeat and zinc finger"/>
  </r>
  <r>
    <x v="0"/>
    <x v="1"/>
    <s v="Ofaveolata015638"/>
    <n v="2.2380182799999999"/>
    <n v="1.0146403500000001"/>
    <s v="Direct"/>
    <s v="beta-galactosidase activity"/>
  </r>
  <r>
    <x v="0"/>
    <x v="1"/>
    <s v="Ofaveolata015639"/>
    <n v="1.95390351"/>
    <n v="4.8797469900000001"/>
    <s v="Direct"/>
    <s v="NA"/>
  </r>
  <r>
    <x v="0"/>
    <x v="1"/>
    <s v="Ofaveolata015668"/>
    <n v="1.09884932"/>
    <n v="2.9399403400000002"/>
    <s v="Direct"/>
    <s v="gamma-aminobutyric acid:sodium symporter activity"/>
  </r>
  <r>
    <x v="0"/>
    <x v="1"/>
    <s v="Ofaveolata015698"/>
    <n v="-1.0064569999999999"/>
    <n v="-1.3467629999999999"/>
    <s v="Direct"/>
    <s v="NA"/>
  </r>
  <r>
    <x v="0"/>
    <x v="1"/>
    <s v="Ofaveolata015708"/>
    <n v="1.63843009"/>
    <n v="2.0968414100000001"/>
    <s v="Direct"/>
    <s v="NA"/>
  </r>
  <r>
    <x v="0"/>
    <x v="1"/>
    <s v="Ofaveolata015716"/>
    <n v="-1.1673297"/>
    <n v="-1.3439873"/>
    <s v="Direct"/>
    <s v="NA"/>
  </r>
  <r>
    <x v="0"/>
    <x v="1"/>
    <s v="Ofaveolata015719"/>
    <n v="-2.9744215000000001"/>
    <n v="-5.7176039000000003"/>
    <s v="Direct"/>
    <s v="FAM124 family"/>
  </r>
  <r>
    <x v="0"/>
    <x v="1"/>
    <s v="Ofaveolata015720"/>
    <n v="-1.4180173"/>
    <n v="-3.6856201999999998"/>
    <s v="Direct"/>
    <s v="creatine kinase activity"/>
  </r>
  <r>
    <x v="0"/>
    <x v="1"/>
    <s v="Ofaveolata015742"/>
    <n v="-1.0653668999999999"/>
    <n v="-1.9051039000000001"/>
    <s v="Direct"/>
    <s v="NA"/>
  </r>
  <r>
    <x v="0"/>
    <x v="1"/>
    <s v="Ofaveolata015754"/>
    <n v="-4.3409548999999998"/>
    <n v="-8.9394007000000002"/>
    <s v="Direct"/>
    <s v="NA"/>
  </r>
  <r>
    <x v="0"/>
    <x v="1"/>
    <s v="Ofaveolata015759"/>
    <n v="-1.3038449000000001"/>
    <n v="-4.9273422"/>
    <s v="Direct"/>
    <s v="inner cell mass cell proliferation"/>
  </r>
  <r>
    <x v="0"/>
    <x v="1"/>
    <s v="Ofaveolata015769"/>
    <n v="-1.6757405999999999"/>
    <n v="-10.164966"/>
    <s v="Direct"/>
    <s v="NA"/>
  </r>
  <r>
    <x v="0"/>
    <x v="1"/>
    <s v="Ofaveolata015777"/>
    <n v="1.5856638700000001"/>
    <n v="2.9022659200000001"/>
    <s v="Direct"/>
    <s v="NA"/>
  </r>
  <r>
    <x v="0"/>
    <x v="1"/>
    <s v="Ofaveolata015800"/>
    <n v="1.4238173700000001"/>
    <n v="1.5257619899999999"/>
    <s v="Direct"/>
    <s v="NA"/>
  </r>
  <r>
    <x v="0"/>
    <x v="1"/>
    <s v="Ofaveolata015818"/>
    <n v="1.2434282000000001"/>
    <n v="1.44650999"/>
    <s v="Direct"/>
    <s v="helix loop helix domain"/>
  </r>
  <r>
    <x v="0"/>
    <x v="1"/>
    <s v="Ofaveolata015820"/>
    <n v="-1.3155269999999999"/>
    <n v="-1.9525726999999999"/>
    <s v="Direct"/>
    <s v="NA"/>
  </r>
  <r>
    <x v="0"/>
    <x v="1"/>
    <s v="Ofaveolata015857"/>
    <n v="2.2336497400000002"/>
    <n v="14.0127045"/>
    <s v="Direct"/>
    <s v="NA"/>
  </r>
  <r>
    <x v="0"/>
    <x v="1"/>
    <s v="Ofaveolata015858"/>
    <n v="1.4088440099999999"/>
    <n v="9.6188307099999992"/>
    <s v="Direct"/>
    <s v="NA"/>
  </r>
  <r>
    <x v="0"/>
    <x v="1"/>
    <s v="Ofaveolata015905"/>
    <n v="2.5360034300000001"/>
    <n v="1.62657253"/>
    <s v="Direct"/>
    <s v="NA"/>
  </r>
  <r>
    <x v="0"/>
    <x v="1"/>
    <s v="Ofaveolata016002"/>
    <n v="1.25443609"/>
    <n v="4.6398471900000002"/>
    <s v="Direct"/>
    <s v="sodium-dependent L-ascorbate transmembrane transporter activity"/>
  </r>
  <r>
    <x v="0"/>
    <x v="1"/>
    <s v="Ofaveolata016009"/>
    <n v="1.6423810000000001"/>
    <n v="4.06829515"/>
    <s v="Direct"/>
    <s v="sodium-dependent L-ascorbate transmembrane transporter activity"/>
  </r>
  <r>
    <x v="0"/>
    <x v="1"/>
    <s v="Ofaveolata016011"/>
    <n v="-1.6646715000000001"/>
    <n v="-1.8074535"/>
    <s v="Direct"/>
    <s v="sodium-dependent L-ascorbate transmembrane transporter activity"/>
  </r>
  <r>
    <x v="0"/>
    <x v="1"/>
    <s v="Ofaveolata016020"/>
    <n v="-1.0005841"/>
    <n v="-2.5251538999999998"/>
    <s v="Direct"/>
    <s v="Universal stress protein family"/>
  </r>
  <r>
    <x v="0"/>
    <x v="1"/>
    <s v="Ofaveolata016123"/>
    <n v="1.3483945399999999"/>
    <n v="3.9005255000000001"/>
    <s v="Direct"/>
    <s v="NA"/>
  </r>
  <r>
    <x v="0"/>
    <x v="1"/>
    <s v="Ofaveolata016127"/>
    <n v="1.3467814899999999"/>
    <n v="1.99717787"/>
    <s v="Direct"/>
    <s v="NA"/>
  </r>
  <r>
    <x v="0"/>
    <x v="1"/>
    <s v="Ofaveolata016136"/>
    <n v="1.26494427"/>
    <n v="2.48356961"/>
    <s v="Direct"/>
    <s v="sodium-dependent L-ascorbate transmembrane transporter activity"/>
  </r>
  <r>
    <x v="0"/>
    <x v="1"/>
    <s v="Ofaveolata016248"/>
    <n v="1.74225027"/>
    <n v="3.1758846799999998"/>
    <s v="Direct"/>
    <s v="Ventral anterior homeobox 2"/>
  </r>
  <r>
    <x v="0"/>
    <x v="1"/>
    <s v="Ofaveolata016270"/>
    <n v="-3.3779184999999998"/>
    <n v="-1.9175525"/>
    <s v="Direct"/>
    <s v="NA"/>
  </r>
  <r>
    <x v="0"/>
    <x v="1"/>
    <s v="Ofaveolata016403"/>
    <n v="-1.0293691"/>
    <n v="-3.9909161000000002"/>
    <s v="Direct"/>
    <s v="NA"/>
  </r>
  <r>
    <x v="0"/>
    <x v="1"/>
    <s v="Ofaveolata016426"/>
    <n v="-1.6190713999999999"/>
    <n v="-1.8226659000000001"/>
    <s v="Direct"/>
    <s v="NA"/>
  </r>
  <r>
    <x v="0"/>
    <x v="1"/>
    <s v="Ofaveolata016446"/>
    <n v="-1.1826823"/>
    <n v="-1.4529041"/>
    <s v="Direct"/>
    <s v="NA"/>
  </r>
  <r>
    <x v="0"/>
    <x v="1"/>
    <s v="Ofaveolata016485"/>
    <n v="-1.4017767000000001"/>
    <n v="-4.9336447000000003"/>
    <s v="Direct"/>
    <s v="Methyltransferase domain"/>
  </r>
  <r>
    <x v="0"/>
    <x v="1"/>
    <s v="Ofaveolata016488"/>
    <n v="1.69054221"/>
    <n v="2.4253223099999999"/>
    <s v="Direct"/>
    <s v="Methyltransferase domain"/>
  </r>
  <r>
    <x v="0"/>
    <x v="1"/>
    <s v="Ofaveolata016489"/>
    <n v="1.1028909"/>
    <n v="1.6831843399999999"/>
    <s v="Direct"/>
    <s v="Methyltransferase domain"/>
  </r>
  <r>
    <x v="0"/>
    <x v="1"/>
    <s v="Ofaveolata016495"/>
    <n v="-1.4068132"/>
    <n v="-1.3587180999999999"/>
    <s v="Direct"/>
    <s v="NA"/>
  </r>
  <r>
    <x v="0"/>
    <x v="1"/>
    <s v="Ofaveolata016500"/>
    <n v="-2.6194245999999999"/>
    <n v="-1.7367022000000001"/>
    <s v="Direct"/>
    <s v="Domain of unknown function (DUF4062)"/>
  </r>
  <r>
    <x v="0"/>
    <x v="1"/>
    <s v="Ofaveolata016513"/>
    <n v="-1.1459634000000001"/>
    <n v="-2.7321171999999998"/>
    <s v="Direct"/>
    <s v="NA"/>
  </r>
  <r>
    <x v="0"/>
    <x v="1"/>
    <s v="Ofaveolata016520"/>
    <n v="-1.1576719"/>
    <n v="-1.6362897999999999"/>
    <s v="Direct"/>
    <s v="proteasome assembly"/>
  </r>
  <r>
    <x v="0"/>
    <x v="1"/>
    <s v="Ofaveolata016535"/>
    <n v="-1.3565197"/>
    <n v="-1.2047656"/>
    <s v="Direct"/>
    <s v="RNA secondary structure unwinding"/>
  </r>
  <r>
    <x v="0"/>
    <x v="1"/>
    <s v="Ofaveolata016544"/>
    <n v="2.3669570499999999"/>
    <n v="1.2284975199999999"/>
    <s v="Direct"/>
    <s v="SH3 domain-binding protein 5-like"/>
  </r>
  <r>
    <x v="0"/>
    <x v="1"/>
    <s v="Ofaveolata016556"/>
    <n v="1.05186296"/>
    <n v="1.47259988"/>
    <s v="Direct"/>
    <s v="SAM dependent carboxyl methyltransferase"/>
  </r>
  <r>
    <x v="0"/>
    <x v="1"/>
    <s v="Ofaveolata016568"/>
    <n v="1.02215843"/>
    <n v="2.9942807600000001"/>
    <s v="Direct"/>
    <s v="NA"/>
  </r>
  <r>
    <x v="0"/>
    <x v="1"/>
    <s v="Ofaveolata016570"/>
    <n v="-1.0504788"/>
    <n v="-3.4947271999999998"/>
    <s v="Direct"/>
    <s v="NA"/>
  </r>
  <r>
    <x v="0"/>
    <x v="1"/>
    <s v="Ofaveolata016598"/>
    <n v="1.51557886"/>
    <n v="7.3833941300000001"/>
    <s v="Direct"/>
    <s v="NA"/>
  </r>
  <r>
    <x v="0"/>
    <x v="1"/>
    <s v="Ofaveolata016655"/>
    <n v="-1.1576340000000001"/>
    <n v="-3.9907897000000001"/>
    <s v="Direct"/>
    <s v="structural constituent of cytoskeleton"/>
  </r>
  <r>
    <x v="0"/>
    <x v="1"/>
    <s v="Ofaveolata016670"/>
    <n v="-3.0395827"/>
    <n v="-4.5034365000000003"/>
    <s v="Direct"/>
    <s v="proton transmembrane transport"/>
  </r>
  <r>
    <x v="0"/>
    <x v="1"/>
    <s v="Ofaveolata016671"/>
    <n v="-3.0332080000000001"/>
    <n v="-7.0627186000000002"/>
    <s v="Direct"/>
    <s v="NADH dehydrogenase ubiquinone 1 alpha subcomplex subunit 4"/>
  </r>
  <r>
    <x v="0"/>
    <x v="1"/>
    <s v="Ofaveolata016708"/>
    <n v="2.2336497400000002"/>
    <n v="1.06127507"/>
    <s v="Direct"/>
    <s v="plasmacytoid dendritic cell antigen processing and presentation"/>
  </r>
  <r>
    <x v="0"/>
    <x v="1"/>
    <s v="Ofaveolata016772"/>
    <n v="1.3672930599999999"/>
    <n v="1.9007026300000001"/>
    <s v="Direct"/>
    <s v="NA"/>
  </r>
  <r>
    <x v="0"/>
    <x v="1"/>
    <s v="Ofaveolata016792"/>
    <n v="1.31552699"/>
    <n v="2.8145386800000001"/>
    <s v="Direct"/>
    <s v="endocytosis"/>
  </r>
  <r>
    <x v="0"/>
    <x v="1"/>
    <s v="Ofaveolata016794"/>
    <n v="5.7189461899999996"/>
    <n v="11.2419194"/>
    <s v="Direct"/>
    <s v="Involved in the biogenesis of the 60S ribosomal subunit"/>
  </r>
  <r>
    <x v="0"/>
    <x v="1"/>
    <s v="Ofaveolata016805"/>
    <n v="1.2771230200000001"/>
    <n v="1.13089773"/>
    <s v="Direct"/>
    <s v="3'-5' exonuclease activity"/>
  </r>
  <r>
    <x v="0"/>
    <x v="1"/>
    <s v="Ofaveolata016813"/>
    <n v="1.2386672000000001"/>
    <n v="1.47602893"/>
    <s v="Direct"/>
    <s v="Allows the formation of correctly charged Gln-tRNA(Gln) through the transamidation of misacylated Glu-tRNA(Gln) in the mitochondria. The reaction takes place in the presence of glutamine and ATP through an activated gamma-phospho-Glu- tRNA(Gln)"/>
  </r>
  <r>
    <x v="0"/>
    <x v="1"/>
    <s v="Ofaveolata016816"/>
    <n v="2.1576345899999998"/>
    <n v="3.06089996"/>
    <s v="Direct"/>
    <s v="Allows the formation of correctly charged Gln-tRNA(Gln) through the transamidation of misacylated Glu-tRNA(Gln) in the mitochondria. The reaction takes place in the presence of glutamine and ATP through an activated gamma-phospho-Glu- tRNA(Gln)"/>
  </r>
  <r>
    <x v="0"/>
    <x v="1"/>
    <s v="Ofaveolata016834"/>
    <n v="-2.2336497"/>
    <n v="-6.2926510000000002"/>
    <s v="Direct"/>
    <s v="NA"/>
  </r>
  <r>
    <x v="0"/>
    <x v="1"/>
    <s v="Ofaveolata016843"/>
    <n v="1.96262782"/>
    <n v="1.1241954199999999"/>
    <s v="Direct"/>
    <s v="Fibrillar collagens C-terminal domain"/>
  </r>
  <r>
    <x v="0"/>
    <x v="1"/>
    <s v="Ofaveolata016864"/>
    <n v="-2.2336497"/>
    <n v="-1.7881514999999999"/>
    <s v="Direct"/>
    <s v="Alternative oxidase"/>
  </r>
  <r>
    <x v="0"/>
    <x v="1"/>
    <s v="Ofaveolata016942"/>
    <n v="1.33403502"/>
    <n v="2.61461371"/>
    <s v="Direct"/>
    <s v="NA"/>
  </r>
  <r>
    <x v="0"/>
    <x v="1"/>
    <s v="Ofaveolata016958"/>
    <n v="6.2382223000000003"/>
    <n v="2.5457305699999999"/>
    <s v="Direct"/>
    <s v="organic anion transmembrane transporter activity"/>
  </r>
  <r>
    <x v="0"/>
    <x v="1"/>
    <s v="Ofaveolata017006"/>
    <n v="3.7964918600000002"/>
    <n v="5.4084193699999998"/>
    <s v="Direct"/>
    <s v="NA"/>
  </r>
  <r>
    <x v="0"/>
    <x v="1"/>
    <s v="Ofaveolata017015"/>
    <n v="-5.1622431000000004"/>
    <n v="-6.9606304999999997"/>
    <s v="Direct"/>
    <s v="microtubule motor activity"/>
  </r>
  <r>
    <x v="0"/>
    <x v="1"/>
    <s v="Ofaveolata017017"/>
    <n v="-4.1539786000000003"/>
    <n v="-6.8754068000000004"/>
    <s v="Direct"/>
    <s v="NA"/>
  </r>
  <r>
    <x v="0"/>
    <x v="1"/>
    <s v="Ofaveolata017061"/>
    <n v="-1.7160489000000001"/>
    <n v="-2.9694957"/>
    <s v="Direct"/>
    <s v="guanylate cyclase activity"/>
  </r>
  <r>
    <x v="0"/>
    <x v="1"/>
    <s v="Ofaveolata017107"/>
    <n v="-1.0660992"/>
    <n v="-3.5262714000000002"/>
    <s v="Direct"/>
    <s v="NA"/>
  </r>
  <r>
    <x v="0"/>
    <x v="1"/>
    <s v="Ofaveolata017117"/>
    <n v="2.0745887199999999"/>
    <n v="1.6848965899999999"/>
    <s v="Direct"/>
    <s v="endoplasmic reticulum-plasma membrane tethering"/>
  </r>
  <r>
    <x v="0"/>
    <x v="1"/>
    <s v="Ofaveolata017129"/>
    <n v="3.22938138"/>
    <n v="9.3916222999999999"/>
    <s v="Direct"/>
    <s v="NA"/>
  </r>
  <r>
    <x v="0"/>
    <x v="1"/>
    <s v="Ofaveolata017131"/>
    <n v="1.23442472"/>
    <n v="3.5926015100000002"/>
    <s v="Direct"/>
    <s v="NA"/>
  </r>
  <r>
    <x v="0"/>
    <x v="1"/>
    <s v="Ofaveolata017155"/>
    <n v="1.2533337099999999"/>
    <n v="3.6229197499999999"/>
    <s v="Direct"/>
    <s v="TBC1 domain family, member 5"/>
  </r>
  <r>
    <x v="0"/>
    <x v="1"/>
    <s v="Ofaveolata017157"/>
    <n v="-1.6637069"/>
    <n v="-1.5199872999999999"/>
    <s v="Direct"/>
    <s v="integrin"/>
  </r>
  <r>
    <x v="0"/>
    <x v="1"/>
    <s v="Ofaveolata017170"/>
    <n v="2.7733463299999999"/>
    <n v="3.0034049399999998"/>
    <s v="Direct"/>
    <s v="NA"/>
  </r>
  <r>
    <x v="0"/>
    <x v="1"/>
    <s v="Ofaveolata017215"/>
    <n v="-1.1687741"/>
    <n v="-2.8365355000000001"/>
    <s v="Direct"/>
    <s v="CUB and zona pellucida-like domain-containing protein"/>
  </r>
  <r>
    <x v="0"/>
    <x v="1"/>
    <s v="Ofaveolata017222"/>
    <n v="1.06707471"/>
    <n v="2.08519801"/>
    <s v="Direct"/>
    <s v="CUB and zona pellucida-like domain-containing protein"/>
  </r>
  <r>
    <x v="0"/>
    <x v="1"/>
    <s v="Ofaveolata017246"/>
    <n v="2.3664728799999999"/>
    <n v="3.6415582299999998"/>
    <s v="Direct"/>
    <s v="NA"/>
  </r>
  <r>
    <x v="0"/>
    <x v="1"/>
    <s v="Ofaveolata017261"/>
    <n v="1.2846960999999999"/>
    <n v="-4.6070776000000002"/>
    <s v="Inverse"/>
    <s v="beta-galactosidase activity"/>
  </r>
  <r>
    <x v="0"/>
    <x v="1"/>
    <s v="Ofaveolata017291"/>
    <n v="1.0548182800000001"/>
    <n v="4.7703347000000003"/>
    <s v="Direct"/>
    <s v="Acyl-CoA synthetase long-chain family member"/>
  </r>
  <r>
    <x v="0"/>
    <x v="1"/>
    <s v="Ofaveolata017317"/>
    <n v="-1.4103178000000001"/>
    <n v="-3.0067056000000001"/>
    <s v="Direct"/>
    <s v="NA"/>
  </r>
  <r>
    <x v="0"/>
    <x v="1"/>
    <s v="Ofaveolata017324"/>
    <n v="1.01752164"/>
    <n v="1.4432376099999999"/>
    <s v="Direct"/>
    <s v="NA"/>
  </r>
  <r>
    <x v="0"/>
    <x v="1"/>
    <s v="Ofaveolata017393"/>
    <n v="-1.1187391"/>
    <n v="-4.7741458000000003"/>
    <s v="Direct"/>
    <s v="NA"/>
  </r>
  <r>
    <x v="0"/>
    <x v="1"/>
    <s v="Ofaveolata017394"/>
    <n v="1.1688501600000001"/>
    <n v="1.6960453499999999"/>
    <s v="Direct"/>
    <s v="NA"/>
  </r>
  <r>
    <x v="0"/>
    <x v="1"/>
    <s v="Ofaveolata017453"/>
    <n v="-1.2747142"/>
    <n v="-1.9638732999999999"/>
    <s v="Direct"/>
    <s v="phospholipid scrambling"/>
  </r>
  <r>
    <x v="0"/>
    <x v="1"/>
    <s v="Ofaveolata017468"/>
    <n v="-2.3683144999999999"/>
    <n v="-2.2022731000000002"/>
    <s v="Direct"/>
    <s v="Argininosuccinate"/>
  </r>
  <r>
    <x v="0"/>
    <x v="1"/>
    <s v="Ofaveolata017563"/>
    <n v="2.4360676400000001"/>
    <n v="4.0951035899999999"/>
    <s v="Direct"/>
    <s v="NA"/>
  </r>
  <r>
    <x v="0"/>
    <x v="1"/>
    <s v="Ofaveolata017565"/>
    <n v="-1.1914457000000001"/>
    <n v="-1.2660117"/>
    <s v="Direct"/>
    <s v="cAMP-dependent protein kinase activity"/>
  </r>
  <r>
    <x v="0"/>
    <x v="1"/>
    <s v="Ofaveolata017571"/>
    <n v="1.12115882"/>
    <n v="8.6015648200000001"/>
    <s v="Direct"/>
    <s v="zinc ion binding"/>
  </r>
  <r>
    <x v="0"/>
    <x v="1"/>
    <s v="Ofaveolata017573"/>
    <n v="2.4890570599999999"/>
    <n v="8.6120161300000007"/>
    <s v="Direct"/>
    <s v="zinc ion binding"/>
  </r>
  <r>
    <x v="0"/>
    <x v="1"/>
    <s v="Ofaveolata017575"/>
    <n v="1.6011077600000001"/>
    <n v="4.8797469900000001"/>
    <s v="Direct"/>
    <s v="Belongs to the sterol desaturase family"/>
  </r>
  <r>
    <x v="0"/>
    <x v="1"/>
    <s v="Ofaveolata017578"/>
    <n v="-2.3111989999999998"/>
    <n v="-1.7874821999999999"/>
    <s v="Direct"/>
    <s v="NA"/>
  </r>
  <r>
    <x v="0"/>
    <x v="1"/>
    <s v="Ofaveolata017583"/>
    <n v="2.5494391900000002"/>
    <n v="2.2143107999999998"/>
    <s v="Direct"/>
    <s v="NA"/>
  </r>
  <r>
    <x v="0"/>
    <x v="1"/>
    <s v="Ofaveolata017585"/>
    <n v="1.7775505300000001"/>
    <n v="3.010122"/>
    <s v="Direct"/>
    <s v="NA"/>
  </r>
  <r>
    <x v="0"/>
    <x v="1"/>
    <s v="Ofaveolata017606"/>
    <n v="3.8837439900000001"/>
    <n v="3.05639869"/>
    <s v="Direct"/>
    <s v="ACT domain"/>
  </r>
  <r>
    <x v="0"/>
    <x v="1"/>
    <s v="Ofaveolata017608"/>
    <n v="6.6494924500000003"/>
    <n v="9.9881107799999995"/>
    <s v="Direct"/>
    <s v="NA"/>
  </r>
  <r>
    <x v="0"/>
    <x v="1"/>
    <s v="Ofaveolata017642"/>
    <n v="2.2064220799999998"/>
    <n v="5.7155680699999998"/>
    <s v="Direct"/>
    <s v="mRNA-containing ribonucleoprotein complex export from nucleus"/>
  </r>
  <r>
    <x v="0"/>
    <x v="1"/>
    <s v="Ofaveolata017647"/>
    <n v="2.1690200100000001"/>
    <n v="2.4246598000000001"/>
    <s v="Direct"/>
    <s v="Rhomboid domain containing 1"/>
  </r>
  <r>
    <x v="0"/>
    <x v="1"/>
    <s v="Ofaveolata017699"/>
    <n v="3.2049561999999998"/>
    <n v="1.14555433"/>
    <s v="Direct"/>
    <s v="potassium voltage-gated channel"/>
  </r>
  <r>
    <x v="0"/>
    <x v="1"/>
    <s v="Ofaveolata017719"/>
    <n v="-1.6368783"/>
    <n v="-7.9454661"/>
    <s v="Direct"/>
    <s v="NA"/>
  </r>
  <r>
    <x v="0"/>
    <x v="1"/>
    <s v="Ofaveolata017730"/>
    <n v="-1.3890175"/>
    <n v="-1.0168832000000001"/>
    <s v="Direct"/>
    <s v="NA"/>
  </r>
  <r>
    <x v="0"/>
    <x v="1"/>
    <s v="Ofaveolata017732"/>
    <n v="-2.2538615000000002"/>
    <n v="-3.1452403000000002"/>
    <s v="Direct"/>
    <s v="NA"/>
  </r>
  <r>
    <x v="0"/>
    <x v="1"/>
    <s v="Ofaveolata017753"/>
    <n v="1.26727324"/>
    <n v="4.5730667199999999"/>
    <s v="Direct"/>
    <s v="NA"/>
  </r>
  <r>
    <x v="0"/>
    <x v="1"/>
    <s v="Ofaveolata017763"/>
    <n v="-1.9498854000000001"/>
    <n v="-1.849178"/>
    <s v="Direct"/>
    <s v="NA"/>
  </r>
  <r>
    <x v="0"/>
    <x v="1"/>
    <s v="Ofaveolata017767"/>
    <n v="-1.6953526000000001"/>
    <n v="-9.2224129000000001"/>
    <s v="Direct"/>
    <s v="NA"/>
  </r>
  <r>
    <x v="0"/>
    <x v="1"/>
    <s v="Ofaveolata017769"/>
    <n v="-1.0854245"/>
    <n v="-1.5603498"/>
    <s v="Direct"/>
    <s v="NA"/>
  </r>
  <r>
    <x v="0"/>
    <x v="1"/>
    <s v="Ofaveolata017773"/>
    <n v="-1.4390912"/>
    <n v="-2.7547465999999998"/>
    <s v="Direct"/>
    <s v="NA"/>
  </r>
  <r>
    <x v="0"/>
    <x v="1"/>
    <s v="Ofaveolata017776"/>
    <n v="-1.1932659000000001"/>
    <n v="-2.8627107999999999"/>
    <s v="Direct"/>
    <s v="NA"/>
  </r>
  <r>
    <x v="0"/>
    <x v="1"/>
    <s v="Ofaveolata017778"/>
    <n v="1.21578393"/>
    <n v="3.0227617800000002"/>
    <s v="Direct"/>
    <s v="NA"/>
  </r>
  <r>
    <x v="0"/>
    <x v="1"/>
    <s v="Ofaveolata017791"/>
    <n v="-2.8193358000000002"/>
    <n v="-1.4793839"/>
    <s v="Direct"/>
    <s v="Cytochrome P450, family 46, subfamily A, polypeptide"/>
  </r>
  <r>
    <x v="0"/>
    <x v="1"/>
    <s v="Ofaveolata017799"/>
    <n v="1.7492728200000001"/>
    <n v="2.3361918799999999"/>
    <s v="Direct"/>
    <s v="NA"/>
  </r>
  <r>
    <x v="0"/>
    <x v="1"/>
    <s v="Ofaveolata017812"/>
    <n v="1.00540976"/>
    <n v="1.96086754"/>
    <s v="Direct"/>
    <s v="nucleic acid-templated transcription"/>
  </r>
  <r>
    <x v="0"/>
    <x v="1"/>
    <s v="Ofaveolata017819"/>
    <n v="-2.4261469999999998"/>
    <n v="-4.2114484000000001"/>
    <s v="Direct"/>
    <s v="snRNA processing"/>
  </r>
  <r>
    <x v="0"/>
    <x v="1"/>
    <s v="Ofaveolata017861"/>
    <n v="-2.0865594999999999"/>
    <n v="-2.2473325000000002"/>
    <s v="Direct"/>
    <s v="Dedicator of cytokinesis"/>
  </r>
  <r>
    <x v="0"/>
    <x v="1"/>
    <s v="Ofaveolata017883"/>
    <n v="1.74754839"/>
    <n v="2.6716742400000002"/>
    <s v="Direct"/>
    <s v="SAM dependent carboxyl methyltransferase"/>
  </r>
  <r>
    <x v="0"/>
    <x v="1"/>
    <s v="Ofaveolata017891"/>
    <n v="2.37974351"/>
    <n v="3.0731430999999998"/>
    <s v="Direct"/>
    <s v="spindle assembly"/>
  </r>
  <r>
    <x v="0"/>
    <x v="1"/>
    <s v="Ofaveolata017923"/>
    <n v="-2.9366026999999999"/>
    <n v="-3.1727641000000002"/>
    <s v="Direct"/>
    <s v="Basic leucine zipper nuclear factor 1"/>
  </r>
  <r>
    <x v="0"/>
    <x v="1"/>
    <s v="Ofaveolata017942"/>
    <n v="1.12500098"/>
    <n v="1.95258299"/>
    <s v="Direct"/>
    <s v="NA"/>
  </r>
  <r>
    <x v="0"/>
    <x v="1"/>
    <s v="Ofaveolata017944"/>
    <n v="2.4310512000000002"/>
    <n v="7.0257622599999996"/>
    <s v="Direct"/>
    <s v="uridine-diphosphatase activity"/>
  </r>
  <r>
    <x v="0"/>
    <x v="1"/>
    <s v="Ofaveolata017991"/>
    <n v="1.33171745"/>
    <n v="6.4890153100000001"/>
    <s v="Direct"/>
    <s v="Pyridoxal-phosphate dependent enzyme"/>
  </r>
  <r>
    <x v="0"/>
    <x v="1"/>
    <s v="Ofaveolata018007"/>
    <n v="-1.9924272000000001"/>
    <n v="-2.3703243000000001"/>
    <s v="Direct"/>
    <s v="NA"/>
  </r>
  <r>
    <x v="0"/>
    <x v="1"/>
    <s v="Ofaveolata018010"/>
    <n v="2.5826051200000002"/>
    <n v="1.8033327800000001"/>
    <s v="Direct"/>
    <s v="NA"/>
  </r>
  <r>
    <x v="0"/>
    <x v="1"/>
    <s v="Ofaveolata018046"/>
    <n v="1.1107311799999999"/>
    <n v="1.7343389499999999"/>
    <s v="Direct"/>
    <s v="sodium potassium-transporting ATPase subunit"/>
  </r>
  <r>
    <x v="0"/>
    <x v="1"/>
    <s v="Ofaveolata018063"/>
    <n v="-2.0102639999999998"/>
    <n v="-4.4686776999999998"/>
    <s v="Direct"/>
    <s v="NA"/>
  </r>
  <r>
    <x v="0"/>
    <x v="1"/>
    <s v="Ofaveolata018066"/>
    <n v="2.8651066300000001"/>
    <n v="8.4356911300000004"/>
    <s v="Direct"/>
    <s v="NA"/>
  </r>
  <r>
    <x v="0"/>
    <x v="1"/>
    <s v="Ofaveolata018107"/>
    <n v="1.50053894"/>
    <n v="1.9265855000000001"/>
    <s v="Direct"/>
    <s v="NA"/>
  </r>
  <r>
    <x v="0"/>
    <x v="1"/>
    <s v="Ofaveolata018113"/>
    <n v="2.4750897900000002"/>
    <n v="4.0616946199999999"/>
    <s v="Direct"/>
    <s v="NA"/>
  </r>
  <r>
    <x v="0"/>
    <x v="1"/>
    <s v="Ofaveolata018127"/>
    <n v="1.7415193099999999"/>
    <n v="5.3379104999999996"/>
    <s v="Direct"/>
    <s v="NA"/>
  </r>
  <r>
    <x v="0"/>
    <x v="1"/>
    <s v="Ofaveolata018178"/>
    <n v="-1.0895952"/>
    <n v="-1.185848"/>
    <s v="Direct"/>
    <s v="NA"/>
  </r>
  <r>
    <x v="0"/>
    <x v="1"/>
    <s v="Ofaveolata018179"/>
    <n v="-3.2279928"/>
    <n v="-6.7164877000000001"/>
    <s v="Direct"/>
    <s v="NA"/>
  </r>
  <r>
    <x v="0"/>
    <x v="1"/>
    <s v="Ofaveolata018189"/>
    <n v="1.0278358400000001"/>
    <n v="1.1550334900000001"/>
    <s v="Direct"/>
    <s v="NA"/>
  </r>
  <r>
    <x v="0"/>
    <x v="1"/>
    <s v="Ofaveolata018221"/>
    <n v="1.97652516"/>
    <n v="5.5793312000000004"/>
    <s v="Direct"/>
    <s v="NA"/>
  </r>
  <r>
    <x v="0"/>
    <x v="1"/>
    <s v="Ofaveolata018240"/>
    <n v="2.0967831499999998"/>
    <n v="2.9198458199999999"/>
    <s v="Direct"/>
    <s v="NA"/>
  </r>
  <r>
    <x v="0"/>
    <x v="1"/>
    <s v="Ofaveolata018324"/>
    <n v="1.33671074"/>
    <n v="5.9320646999999997"/>
    <s v="Direct"/>
    <s v="Collagen triple helix"/>
  </r>
  <r>
    <x v="0"/>
    <x v="1"/>
    <s v="Ofaveolata018343"/>
    <n v="-4.4345568000000002"/>
    <n v="-1.0590820000000001"/>
    <s v="Direct"/>
    <s v="Gamma-aminobutyric acid (GABA) B receptor, 2"/>
  </r>
  <r>
    <x v="0"/>
    <x v="1"/>
    <s v="Ofaveolata018369"/>
    <n v="2.1525907100000001"/>
    <n v="3.08288429"/>
    <s v="Direct"/>
    <s v="NADPH:quinone reductase activity"/>
  </r>
  <r>
    <x v="0"/>
    <x v="1"/>
    <s v="Ofaveolata018415"/>
    <n v="2.6148582899999999"/>
    <n v="6.4684030400000001"/>
    <s v="Direct"/>
    <s v="Olfactomedin 1"/>
  </r>
  <r>
    <x v="0"/>
    <x v="1"/>
    <s v="Ofaveolata018431"/>
    <n v="1.95443118"/>
    <n v="5.5913701700000003"/>
    <s v="Direct"/>
    <s v="NA"/>
  </r>
  <r>
    <x v="0"/>
    <x v="1"/>
    <s v="Ofaveolata018505"/>
    <n v="1.40816596"/>
    <n v="1.4825225799999999"/>
    <s v="Direct"/>
    <s v="microtubule motor activity"/>
  </r>
  <r>
    <x v="0"/>
    <x v="1"/>
    <s v="Ofaveolata018519"/>
    <n v="-1.7532481"/>
    <n v="-3.1444223999999998"/>
    <s v="Direct"/>
    <s v="NA"/>
  </r>
  <r>
    <x v="0"/>
    <x v="1"/>
    <s v="Ofaveolata018523"/>
    <n v="-1.0948966"/>
    <n v="-1.3793812000000001"/>
    <s v="Direct"/>
    <s v="NA"/>
  </r>
  <r>
    <x v="0"/>
    <x v="1"/>
    <s v="Ofaveolata018558"/>
    <n v="1.10742881"/>
    <n v="1.36333361"/>
    <s v="Direct"/>
    <s v="fibroblast growth factor-activated receptor activity"/>
  </r>
  <r>
    <x v="0"/>
    <x v="1"/>
    <s v="Ofaveolata018567"/>
    <n v="1.34395051"/>
    <n v="6.2926510499999999"/>
    <s v="Direct"/>
    <s v="NA"/>
  </r>
  <r>
    <x v="0"/>
    <x v="1"/>
    <s v="Ofaveolata018750"/>
    <n v="1.29956973"/>
    <n v="4.2751343899999998"/>
    <s v="Direct"/>
    <s v="Catalyzes the transfer of endogenously produced octanoic acid from octanoyl-acyl-carrier-protein onto the lipoyl domains of lipoate-dependent enzymes. Lipoyl-ACP can also act as a substrate although octanoyl-ACP is likely to be the physiological substrate"/>
  </r>
  <r>
    <x v="0"/>
    <x v="1"/>
    <s v="Ofaveolata018771"/>
    <n v="1.3611504999999999"/>
    <n v="4.2170373300000001"/>
    <s v="Direct"/>
    <s v="NA"/>
  </r>
  <r>
    <x v="0"/>
    <x v="1"/>
    <s v="Ofaveolata018782"/>
    <n v="-1.5587857000000001"/>
    <n v="-2.2996221000000001"/>
    <s v="Direct"/>
    <s v="TMEM192 family"/>
  </r>
  <r>
    <x v="0"/>
    <x v="1"/>
    <s v="Ofaveolata018842"/>
    <n v="-2.0578815000000001"/>
    <n v="-1.2126496"/>
    <s v="Direct"/>
    <s v="RNA splicing"/>
  </r>
  <r>
    <x v="0"/>
    <x v="1"/>
    <s v="Ofaveolata018848"/>
    <n v="2.4088601000000001"/>
    <n v="3.0533983400000002"/>
    <s v="Direct"/>
    <s v="activation of NF-kappaB-inducing kinase activity"/>
  </r>
  <r>
    <x v="0"/>
    <x v="1"/>
    <s v="Ofaveolata018861"/>
    <n v="-2.71665"/>
    <n v="-1.2172323"/>
    <s v="Direct"/>
    <s v="thioesterase binding"/>
  </r>
  <r>
    <x v="0"/>
    <x v="1"/>
    <s v="Ofaveolata018880"/>
    <n v="1.23442472"/>
    <n v="2.6150853700000001"/>
    <s v="Direct"/>
    <s v="L-glutamate import across plasma membrane"/>
  </r>
  <r>
    <x v="0"/>
    <x v="1"/>
    <s v="Ofaveolata018920"/>
    <n v="-2.4128552000000001"/>
    <n v="-1.9899825"/>
    <s v="Direct"/>
    <s v="NA"/>
  </r>
  <r>
    <x v="0"/>
    <x v="1"/>
    <s v="Ofaveolata018936"/>
    <n v="1.6941065799999999"/>
    <n v="4.2784159400000004"/>
    <s v="Direct"/>
    <s v="NA"/>
  </r>
  <r>
    <x v="0"/>
    <x v="1"/>
    <s v="Ofaveolata018942"/>
    <n v="2.3445447599999998"/>
    <n v="1.4951316699999999"/>
    <s v="Direct"/>
    <s v="NA"/>
  </r>
  <r>
    <x v="0"/>
    <x v="1"/>
    <s v="Ofaveolata018945"/>
    <n v="1.7219401299999999"/>
    <n v="3.4242102000000001"/>
    <s v="Direct"/>
    <s v="NA"/>
  </r>
  <r>
    <x v="0"/>
    <x v="1"/>
    <s v="Ofaveolata018953"/>
    <n v="1.1451285200000001"/>
    <n v="2.6967067500000002"/>
    <s v="Direct"/>
    <s v="NA"/>
  </r>
  <r>
    <x v="0"/>
    <x v="1"/>
    <s v="Ofaveolata018989"/>
    <n v="-2.2504464999999998"/>
    <n v="-3.8370411"/>
    <s v="Direct"/>
    <s v="Belongs to the DHHC palmitoyltransferase family"/>
  </r>
  <r>
    <x v="0"/>
    <x v="1"/>
    <s v="Ofaveolata019022"/>
    <n v="1.2174596900000001"/>
    <n v="2.6034584399999998"/>
    <s v="Direct"/>
    <s v="omega-amidase activity"/>
  </r>
  <r>
    <x v="0"/>
    <x v="1"/>
    <s v="Ofaveolata019038"/>
    <n v="1.8358745400000001"/>
    <n v="2.1370152299999998"/>
    <s v="Direct"/>
    <s v="NA"/>
  </r>
  <r>
    <x v="0"/>
    <x v="1"/>
    <s v="Ofaveolata019080"/>
    <n v="1.8553902499999999"/>
    <n v="1.47003872"/>
    <s v="Direct"/>
    <s v="peptidyl-dipeptidase activity"/>
  </r>
  <r>
    <x v="0"/>
    <x v="1"/>
    <s v="Ofaveolata019097"/>
    <n v="2.9744214699999998"/>
    <n v="4.8074802999999999"/>
    <s v="Direct"/>
    <s v="heme binding"/>
  </r>
  <r>
    <x v="0"/>
    <x v="1"/>
    <s v="Ofaveolata019124"/>
    <n v="-1.0548183"/>
    <n v="-1.2930318999999999"/>
    <s v="Direct"/>
    <s v="NA"/>
  </r>
  <r>
    <x v="0"/>
    <x v="1"/>
    <s v="Ofaveolata019126"/>
    <n v="2.45626393"/>
    <n v="3.6967733699999998"/>
    <s v="Direct"/>
    <s v="Belongs to the UDP-glycosyltransferase family"/>
  </r>
  <r>
    <x v="0"/>
    <x v="1"/>
    <s v="Ofaveolata019130"/>
    <n v="5.3959248799999999"/>
    <n v="5.2196285800000002"/>
    <s v="Direct"/>
    <s v="NA"/>
  </r>
  <r>
    <x v="0"/>
    <x v="1"/>
    <s v="Ofaveolata019143"/>
    <n v="1.5409332600000001"/>
    <n v="2.6076012099999999"/>
    <s v="Direct"/>
    <s v="ligand-gated sodium channel activity"/>
  </r>
  <r>
    <x v="0"/>
    <x v="1"/>
    <s v="Ofaveolata019153"/>
    <n v="-1.4063148000000001"/>
    <n v="-3.2571948000000002"/>
    <s v="Direct"/>
    <s v="NA"/>
  </r>
  <r>
    <x v="0"/>
    <x v="1"/>
    <s v="Ofaveolata019155"/>
    <n v="-3.7695406"/>
    <n v="-1.6176183"/>
    <s v="Direct"/>
    <s v="NA"/>
  </r>
  <r>
    <x v="0"/>
    <x v="1"/>
    <s v="Ofaveolata019221"/>
    <n v="1.11330003"/>
    <n v="2.42122802"/>
    <s v="Direct"/>
    <s v="NA"/>
  </r>
  <r>
    <x v="0"/>
    <x v="1"/>
    <s v="Ofaveolata019294"/>
    <n v="-2.9416142000000001"/>
    <n v="-2.1048217999999999"/>
    <s v="Direct"/>
    <s v="calmodulin-dependent protein kinase activity"/>
  </r>
  <r>
    <x v="0"/>
    <x v="1"/>
    <s v="Ofaveolata019333"/>
    <n v="-1.6342673999999999"/>
    <n v="-5.2422797000000001"/>
    <s v="Direct"/>
    <s v="It is involved in the biological process described with"/>
  </r>
  <r>
    <x v="0"/>
    <x v="1"/>
    <s v="Ofaveolata019335"/>
    <n v="2.45626393"/>
    <n v="1.1774560700000001"/>
    <s v="Direct"/>
    <s v="metalloendopeptidase activity"/>
  </r>
  <r>
    <x v="0"/>
    <x v="1"/>
    <s v="Ofaveolata019357"/>
    <n v="-1.475346"/>
    <n v="-1.7857320000000001"/>
    <s v="Direct"/>
    <s v="L-ornithine transmembrane transport"/>
  </r>
  <r>
    <x v="0"/>
    <x v="1"/>
    <s v="Ofaveolata019383"/>
    <n v="-1.8793496000000001"/>
    <n v="-1.5847610999999999"/>
    <s v="Direct"/>
    <s v="NA"/>
  </r>
  <r>
    <x v="0"/>
    <x v="1"/>
    <s v="Ofaveolata019396"/>
    <n v="1.23640386"/>
    <n v="2.1802264299999998"/>
    <s v="Direct"/>
    <s v="NA"/>
  </r>
  <r>
    <x v="0"/>
    <x v="1"/>
    <s v="Ofaveolata019397"/>
    <n v="-1.2878620999999999"/>
    <n v="-1.5327679999999999"/>
    <s v="Direct"/>
    <s v="calcium-dependent cysteine-type endopeptidase activity"/>
  </r>
  <r>
    <x v="0"/>
    <x v="1"/>
    <s v="Ofaveolata019428"/>
    <n v="-1.5634191"/>
    <n v="-1.5375399999999999"/>
    <s v="Direct"/>
    <s v="NA"/>
  </r>
  <r>
    <x v="0"/>
    <x v="1"/>
    <s v="Ofaveolata019432"/>
    <n v="1.00394468"/>
    <n v="1.4757293499999999"/>
    <s v="Direct"/>
    <s v="Neuronal PAS"/>
  </r>
  <r>
    <x v="0"/>
    <x v="1"/>
    <s v="Ofaveolata019649"/>
    <n v="-1.3430785000000001"/>
    <n v="-4.5688658999999996"/>
    <s v="Direct"/>
    <s v="Deleted in malignant brain tumors 1"/>
  </r>
  <r>
    <x v="0"/>
    <x v="1"/>
    <s v="Ofaveolata019652"/>
    <n v="-1.8431173999999999"/>
    <n v="-1.4399223000000001"/>
    <s v="Direct"/>
    <s v="NA"/>
  </r>
  <r>
    <x v="0"/>
    <x v="1"/>
    <s v="Ofaveolata019806"/>
    <n v="-1.408166"/>
    <n v="-2.8860733000000001"/>
    <s v="Direct"/>
    <s v="NA"/>
  </r>
  <r>
    <x v="0"/>
    <x v="1"/>
    <s v="Ofaveolata019824"/>
    <n v="1.6687744200000001"/>
    <n v="1.7846358600000001"/>
    <s v="Direct"/>
    <s v="potassium voltage-gated channel, subfamily H"/>
  </r>
  <r>
    <x v="0"/>
    <x v="1"/>
    <s v="Ofaveolata019850"/>
    <n v="-2.9308885999999998"/>
    <n v="-2.4283294"/>
    <s v="Direct"/>
    <s v="NA"/>
  </r>
  <r>
    <x v="0"/>
    <x v="1"/>
    <s v="Ofaveolata019852"/>
    <n v="-1.0932063999999999"/>
    <n v="1.7317478100000001"/>
    <s v="Inverse"/>
    <s v="NA"/>
  </r>
  <r>
    <x v="0"/>
    <x v="1"/>
    <s v="Ofaveolata019863"/>
    <n v="-3.8910041"/>
    <n v="-3.1192514999999998"/>
    <s v="Direct"/>
    <s v="NA"/>
  </r>
  <r>
    <x v="0"/>
    <x v="1"/>
    <s v="Ofaveolata019865"/>
    <n v="-2.7526174999999999"/>
    <n v="-1.1354519000000001"/>
    <s v="Direct"/>
    <s v="NA"/>
  </r>
  <r>
    <x v="0"/>
    <x v="1"/>
    <s v="Ofaveolata019887"/>
    <n v="-4.8831221999999999"/>
    <n v="-6.8157848000000003"/>
    <s v="Direct"/>
    <s v="Cephalosporin hydroxylase"/>
  </r>
  <r>
    <x v="0"/>
    <x v="1"/>
    <s v="Ofaveolata019890"/>
    <n v="1.5409332600000001"/>
    <n v="4.2936008000000001"/>
    <s v="Direct"/>
    <s v="NA"/>
  </r>
  <r>
    <x v="0"/>
    <x v="1"/>
    <s v="Ofaveolata019918"/>
    <n v="-1.7795498999999999"/>
    <n v="-1.4815573"/>
    <s v="Direct"/>
    <s v="Rho guanyl-nucleotide exchange factor activity"/>
  </r>
  <r>
    <x v="0"/>
    <x v="1"/>
    <s v="Ofaveolata019928"/>
    <n v="-2.7801222999999999"/>
    <n v="-3.8896487999999998"/>
    <s v="Direct"/>
    <s v="NA"/>
  </r>
  <r>
    <x v="0"/>
    <x v="1"/>
    <s v="Ofaveolata019956"/>
    <n v="1.91548962"/>
    <n v="3.6055867300000002"/>
    <s v="Direct"/>
    <s v="galactosyltransferase activity"/>
  </r>
  <r>
    <x v="0"/>
    <x v="1"/>
    <s v="Ofaveolata019965"/>
    <n v="-3.4627207000000002"/>
    <n v="-2.1708612999999999"/>
    <s v="Direct"/>
    <s v="NA"/>
  </r>
  <r>
    <x v="0"/>
    <x v="1"/>
    <s v="Ofaveolata019991"/>
    <n v="1.6127715"/>
    <n v="2.37421024"/>
    <s v="Direct"/>
    <s v="negative regulation of phosphatase activity"/>
  </r>
  <r>
    <x v="0"/>
    <x v="1"/>
    <s v="Ofaveolata020048"/>
    <n v="3.26970809"/>
    <n v="4.3412262000000004"/>
    <s v="Direct"/>
    <s v="endodermal-mesodermal cell signaling"/>
  </r>
  <r>
    <x v="0"/>
    <x v="1"/>
    <s v="Ofaveolata020186"/>
    <n v="2.2336497400000002"/>
    <n v="5.9911553599999996"/>
    <s v="Direct"/>
    <s v="NA"/>
  </r>
  <r>
    <x v="0"/>
    <x v="1"/>
    <s v="Ofaveolata020687"/>
    <n v="-1.6953526000000001"/>
    <n v="-2.0104166000000001"/>
    <s v="Direct"/>
    <s v="NA"/>
  </r>
  <r>
    <x v="0"/>
    <x v="1"/>
    <s v="Ofaveolata020795"/>
    <n v="-1.1424041"/>
    <n v="-1.3362240999999999"/>
    <s v="Direct"/>
    <s v="NA"/>
  </r>
  <r>
    <x v="0"/>
    <x v="1"/>
    <s v="Ofaveolata020833"/>
    <n v="-1.3622258"/>
    <n v="-1.3381311"/>
    <s v="Direct"/>
    <s v="NA"/>
  </r>
  <r>
    <x v="0"/>
    <x v="1"/>
    <s v="Ofaveolata020859"/>
    <n v="-1.1920109999999999"/>
    <n v="-3.7144832000000001"/>
    <s v="Direct"/>
    <s v="NA"/>
  </r>
  <r>
    <x v="0"/>
    <x v="1"/>
    <s v="Ofaveolata020872"/>
    <n v="-1.2783127999999999"/>
    <n v="-1.8033328"/>
    <s v="Direct"/>
    <s v="NA"/>
  </r>
  <r>
    <x v="0"/>
    <x v="1"/>
    <s v="Ofaveolata020887"/>
    <n v="-1.1876469000000001"/>
    <n v="-6.2476979000000004"/>
    <s v="Direct"/>
    <s v="NA"/>
  </r>
  <r>
    <x v="0"/>
    <x v="1"/>
    <s v="Ofaveolata020891"/>
    <n v="-1.9239208999999999"/>
    <n v="-2.1891699"/>
    <s v="Direct"/>
    <s v="NA"/>
  </r>
  <r>
    <x v="0"/>
    <x v="1"/>
    <s v="Ofaveolata020920"/>
    <n v="2.8540258500000002"/>
    <n v="2.5661989300000001"/>
    <s v="Direct"/>
    <s v="NA"/>
  </r>
  <r>
    <x v="0"/>
    <x v="1"/>
    <s v="Ofaveolata020941"/>
    <n v="-1.1333943"/>
    <n v="-2.5896514000000002"/>
    <s v="Direct"/>
    <s v="Procollagen C-endopeptidase enhancer 2"/>
  </r>
  <r>
    <x v="0"/>
    <x v="1"/>
    <s v="Ofaveolata020961"/>
    <n v="-1.2003321"/>
    <n v="-3.5658173"/>
    <s v="Direct"/>
    <s v="Methyltransferase domain"/>
  </r>
  <r>
    <x v="0"/>
    <x v="1"/>
    <s v="Ofaveolata020999"/>
    <n v="1.04081299"/>
    <n v="1.74498785"/>
    <s v="Direct"/>
    <s v="regulation of cardiac muscle cell myoblast differentiation"/>
  </r>
  <r>
    <x v="0"/>
    <x v="1"/>
    <s v="Ofaveolata021016"/>
    <n v="2.55674329"/>
    <n v="3.7810222599999999"/>
    <s v="Direct"/>
    <s v="trans-synaptic signaling by soluble gas, modulating synaptic transmission"/>
  </r>
  <r>
    <x v="0"/>
    <x v="1"/>
    <s v="Ofaveolata021027"/>
    <n v="-2.2415552999999999"/>
    <n v="-4.7793030999999999"/>
    <s v="Direct"/>
    <s v="NA"/>
  </r>
  <r>
    <x v="0"/>
    <x v="1"/>
    <s v="Ofaveolata021048"/>
    <n v="1.41154997"/>
    <n v="10.3056927"/>
    <s v="Direct"/>
    <s v="Belongs to the class-I aminoacyl-tRNA synthetase family"/>
  </r>
  <r>
    <x v="0"/>
    <x v="1"/>
    <s v="Ofaveolata021090"/>
    <n v="1.6488222100000001"/>
    <n v="1.78085954"/>
    <s v="Direct"/>
    <s v="NA"/>
  </r>
  <r>
    <x v="0"/>
    <x v="1"/>
    <s v="Ofaveolata021094"/>
    <n v="-1.9542896000000001"/>
    <n v="-1.3723106"/>
    <s v="Direct"/>
    <s v="NA"/>
  </r>
  <r>
    <x v="0"/>
    <x v="1"/>
    <s v="Ofaveolata021120"/>
    <n v="1.22105419"/>
    <n v="1.1658044299999999"/>
    <s v="Direct"/>
    <s v="3',5'-cyclic-GMP phosphodiesterase activity"/>
  </r>
  <r>
    <x v="0"/>
    <x v="1"/>
    <s v="Ofaveolata021123"/>
    <n v="-1.3788407"/>
    <n v="-1.5498376"/>
    <s v="Direct"/>
    <s v="cilium assembly"/>
  </r>
  <r>
    <x v="0"/>
    <x v="1"/>
    <s v="Ofaveolata021270"/>
    <n v="15.1661451"/>
    <n v="29.201173600000001"/>
    <s v="Direct"/>
    <s v="NA"/>
  </r>
  <r>
    <x v="0"/>
    <x v="1"/>
    <s v="Ofaveolata021281"/>
    <n v="-1.9274210000000001"/>
    <n v="-2.0277433"/>
    <s v="Direct"/>
    <s v="NA"/>
  </r>
  <r>
    <x v="0"/>
    <x v="1"/>
    <s v="Ofaveolata021306"/>
    <n v="-1.6904870999999999"/>
    <n v="-1.3585039999999999"/>
    <s v="Direct"/>
    <s v="NA"/>
  </r>
  <r>
    <x v="0"/>
    <x v="1"/>
    <s v="Ofaveolata021308"/>
    <n v="-1.9544311999999999"/>
    <n v="-3.3814072999999998"/>
    <s v="Direct"/>
    <s v="NA"/>
  </r>
  <r>
    <x v="0"/>
    <x v="1"/>
    <s v="Ofaveolata021328"/>
    <n v="1.2611401200000001"/>
    <n v="1.63391094"/>
    <s v="Direct"/>
    <s v="Belongs to the CD36 family"/>
  </r>
  <r>
    <x v="0"/>
    <x v="1"/>
    <s v="Ofaveolata021343"/>
    <n v="-2.6053009999999999"/>
    <n v="-2.9808807000000002"/>
    <s v="Direct"/>
    <s v="NA"/>
  </r>
  <r>
    <x v="0"/>
    <x v="1"/>
    <s v="Ofaveolata021347"/>
    <n v="-1.2051187999999999"/>
    <n v="-2.9394041999999998"/>
    <s v="Direct"/>
    <s v="NA"/>
  </r>
  <r>
    <x v="0"/>
    <x v="1"/>
    <s v="Ofaveolata021432"/>
    <n v="-1.1964442"/>
    <n v="-2.2737994000000001"/>
    <s v="Direct"/>
    <s v="regulation of cellular response to hypoxia"/>
  </r>
  <r>
    <x v="0"/>
    <x v="1"/>
    <s v="Ofaveolata021473"/>
    <n v="1.6742263799999999"/>
    <n v="2.2501869800000001"/>
    <s v="Direct"/>
    <s v="Protein tyrosine kinase"/>
  </r>
  <r>
    <x v="0"/>
    <x v="1"/>
    <s v="Ofaveolata021516"/>
    <n v="-2.1694789000000001"/>
    <n v="-2.6051348999999999"/>
    <s v="Direct"/>
    <s v="glucuronosyltransferase activity"/>
  </r>
  <r>
    <x v="0"/>
    <x v="1"/>
    <s v="Ofaveolata021629"/>
    <n v="-4.7008083999999997"/>
    <n v="-6.9566011000000003"/>
    <s v="Direct"/>
    <s v="NA"/>
  </r>
  <r>
    <x v="0"/>
    <x v="1"/>
    <s v="Ofaveolata021783"/>
    <n v="-1.2450797"/>
    <n v="-5.7873738000000001"/>
    <s v="Direct"/>
    <s v="NA"/>
  </r>
  <r>
    <x v="0"/>
    <x v="1"/>
    <s v="Ofaveolata021813"/>
    <n v="-2.3620312999999999"/>
    <n v="-3.3113329999999999"/>
    <s v="Direct"/>
    <s v="NA"/>
  </r>
  <r>
    <x v="0"/>
    <x v="1"/>
    <s v="Ofaveolata021875"/>
    <n v="2.6590152499999999"/>
    <n v="12.0740368"/>
    <s v="Direct"/>
    <s v="NA"/>
  </r>
  <r>
    <x v="0"/>
    <x v="1"/>
    <s v="Ofaveolata021924"/>
    <n v="-3.0555157999999998"/>
    <n v="-1.1907542"/>
    <s v="Direct"/>
    <s v="Kinesin family"/>
  </r>
  <r>
    <x v="0"/>
    <x v="1"/>
    <s v="Ofaveolata021927"/>
    <n v="1.47256374"/>
    <n v="1.0582320999999999"/>
    <s v="Direct"/>
    <s v="NA"/>
  </r>
  <r>
    <x v="0"/>
    <x v="1"/>
    <s v="Ofaveolata021929"/>
    <n v="2.8651066300000001"/>
    <n v="1.3497485899999999"/>
    <s v="Direct"/>
    <s v="calcium ion binding"/>
  </r>
  <r>
    <x v="0"/>
    <x v="1"/>
    <s v="Ofaveolata021947"/>
    <n v="1.7613784400000001"/>
    <n v="1.5137693299999999"/>
    <s v="Direct"/>
    <s v="May act as a scaffolding protein within caveolar membranes. Interacts directly with G-protein alpha subunits and can functionally regulate their activity"/>
  </r>
  <r>
    <x v="0"/>
    <x v="1"/>
    <s v="Ofaveolata021971"/>
    <n v="-1.6632461000000001"/>
    <n v="-7.7891984000000001"/>
    <s v="Direct"/>
    <s v="NA"/>
  </r>
  <r>
    <x v="0"/>
    <x v="1"/>
    <s v="Ofaveolata021979"/>
    <n v="1.02836102"/>
    <n v="2.9040756399999998"/>
    <s v="Direct"/>
    <s v="NA"/>
  </r>
  <r>
    <x v="0"/>
    <x v="1"/>
    <s v="Ofaveolata021986"/>
    <n v="-1.1932659000000001"/>
    <n v="-3.7853563000000001"/>
    <s v="Direct"/>
    <s v="NA"/>
  </r>
  <r>
    <x v="0"/>
    <x v="1"/>
    <s v="Ofaveolata021988"/>
    <n v="-6.8130205000000004"/>
    <n v="-10.621002000000001"/>
    <s v="Direct"/>
    <s v="NA"/>
  </r>
  <r>
    <x v="0"/>
    <x v="1"/>
    <s v="Ofaveolata021989"/>
    <n v="2.3164896700000002"/>
    <n v="3.5055296199999999"/>
    <s v="Direct"/>
    <s v="NA"/>
  </r>
  <r>
    <x v="0"/>
    <x v="1"/>
    <s v="Ofaveolata021995"/>
    <n v="-1.1562060000000001"/>
    <n v="-1.1003541999999999"/>
    <s v="Direct"/>
    <s v="NA"/>
  </r>
  <r>
    <x v="0"/>
    <x v="1"/>
    <s v="Ofaveolata021996"/>
    <n v="-1.8337429999999999"/>
    <n v="-3.3316507999999998"/>
    <s v="Direct"/>
    <s v="NA"/>
  </r>
  <r>
    <x v="0"/>
    <x v="1"/>
    <s v="Ofaveolata021998"/>
    <n v="-2.2786659"/>
    <n v="-6.6504951999999999"/>
    <s v="Direct"/>
    <s v="tumor necrosis factor-activated receptor activity"/>
  </r>
  <r>
    <x v="0"/>
    <x v="1"/>
    <s v="Ofaveolata022050"/>
    <n v="1.4995558600000001"/>
    <n v="3.2014150199999998"/>
    <s v="Direct"/>
    <s v="serine threonine-protein kinase"/>
  </r>
  <r>
    <x v="0"/>
    <x v="1"/>
    <s v="Ofaveolata022051"/>
    <n v="1.04214958"/>
    <n v="3.39592932"/>
    <s v="Direct"/>
    <s v="Neuronal migration protein doublecortin"/>
  </r>
  <r>
    <x v="0"/>
    <x v="1"/>
    <s v="Ofaveolata022075"/>
    <n v="1.0499708299999999"/>
    <n v="2.12396669"/>
    <s v="Direct"/>
    <s v="N-acetylgalactosamine 4-O-sulfotransferase activity"/>
  </r>
  <r>
    <x v="0"/>
    <x v="1"/>
    <s v="Ofaveolata022113"/>
    <n v="-1.5811721000000001"/>
    <n v="-3.0125993000000002"/>
    <s v="Direct"/>
    <s v="NA"/>
  </r>
  <r>
    <x v="0"/>
    <x v="1"/>
    <s v="Ofaveolata022123"/>
    <n v="-1.0093356"/>
    <n v="-2.3398522000000002"/>
    <s v="Direct"/>
    <s v="G-protein coupled receptor activity"/>
  </r>
  <r>
    <x v="0"/>
    <x v="1"/>
    <s v="Ofaveolata022129"/>
    <n v="-1.4919534000000001"/>
    <n v="-2.1225337999999998"/>
    <s v="Direct"/>
    <s v="fibroblast growth factor-activated receptor activity"/>
  </r>
  <r>
    <x v="0"/>
    <x v="1"/>
    <s v="Ofaveolata022131"/>
    <n v="-2.1269262000000002"/>
    <n v="-4.3670852"/>
    <s v="Direct"/>
    <s v="NA"/>
  </r>
  <r>
    <x v="0"/>
    <x v="1"/>
    <s v="Ofaveolata022156"/>
    <n v="-4.0381516"/>
    <n v="-5.6005694999999998"/>
    <s v="Direct"/>
    <s v="fibroblast growth factor-activated receptor activity"/>
  </r>
  <r>
    <x v="0"/>
    <x v="1"/>
    <s v="Ofaveolata022159"/>
    <n v="-1.1421051"/>
    <n v="-1.1267906999999999"/>
    <s v="Direct"/>
    <s v="ATP binding. It is involved in the biological process described with protein phosphorylation"/>
  </r>
  <r>
    <x v="0"/>
    <x v="1"/>
    <s v="Ofaveolata022196"/>
    <n v="1.3782255800000001"/>
    <n v="1.4356698699999999"/>
    <s v="Direct"/>
    <s v="helicase superfamily c-terminal domain"/>
  </r>
  <r>
    <x v="0"/>
    <x v="1"/>
    <s v="Ofaveolata022235"/>
    <n v="2.4360676400000001"/>
    <n v="9.6366780100000007"/>
    <s v="Direct"/>
    <s v="NA"/>
  </r>
  <r>
    <x v="0"/>
    <x v="1"/>
    <s v="Ofaveolata022246"/>
    <n v="-4.8439689000000001"/>
    <n v="-5.3574741000000001"/>
    <s v="Direct"/>
    <s v="NA"/>
  </r>
  <r>
    <x v="0"/>
    <x v="1"/>
    <s v="Ofaveolata022268"/>
    <n v="3.2987597000000002"/>
    <n v="4.0147123699999998"/>
    <s v="Direct"/>
    <s v="NA"/>
  </r>
  <r>
    <x v="0"/>
    <x v="1"/>
    <s v="Ofaveolata022373"/>
    <n v="1.52826605"/>
    <n v="2.0668587999999999"/>
    <s v="Direct"/>
    <s v="Ureidoimidazoline (2-oxo-4-hydroxy-4-carboxy-5-) decarboxylase"/>
  </r>
  <r>
    <x v="0"/>
    <x v="1"/>
    <s v="Ofaveolata022379"/>
    <n v="-1.3078699"/>
    <n v="-4.516661"/>
    <s v="Direct"/>
    <s v="NA"/>
  </r>
  <r>
    <x v="0"/>
    <x v="1"/>
    <s v="Ofaveolata022400"/>
    <n v="1.1932659400000001"/>
    <n v="1.63653169"/>
    <s v="Direct"/>
    <s v="secondary active sulfate transmembrane transporter activity"/>
  </r>
  <r>
    <x v="0"/>
    <x v="1"/>
    <s v="Ofaveolata022425"/>
    <n v="1.15620604"/>
    <n v="1.65122565"/>
    <s v="Direct"/>
    <s v="FAD binding domain of DNA photolyase"/>
  </r>
  <r>
    <x v="0"/>
    <x v="1"/>
    <s v="Ofaveolata022447"/>
    <n v="1.7482038600000001"/>
    <n v="2.30715424"/>
    <s v="Direct"/>
    <s v="Transport and Golgi organisation 2"/>
  </r>
  <r>
    <x v="0"/>
    <x v="1"/>
    <s v="Ofaveolata022455"/>
    <n v="2.2336497400000002"/>
    <n v="1.62596757"/>
    <s v="Direct"/>
    <s v="laminin subunit"/>
  </r>
  <r>
    <x v="0"/>
    <x v="1"/>
    <s v="Ofaveolata022498"/>
    <n v="2.1669542399999999"/>
    <n v="7.2366549100000004"/>
    <s v="Direct"/>
    <s v="calcium ion binding"/>
  </r>
  <r>
    <x v="0"/>
    <x v="1"/>
    <s v="Ofaveolata022543"/>
    <n v="2.0996864400000002"/>
    <n v="7.3026246800000001"/>
    <s v="Direct"/>
    <s v="NA"/>
  </r>
  <r>
    <x v="0"/>
    <x v="1"/>
    <s v="Ofaveolata022550"/>
    <n v="-3.0305080000000002"/>
    <n v="-4.2429667000000002"/>
    <s v="Direct"/>
    <s v="NA"/>
  </r>
  <r>
    <x v="0"/>
    <x v="1"/>
    <s v="Ofaveolata022584"/>
    <n v="-1.7178260999999999"/>
    <n v="-5.1008562"/>
    <s v="Direct"/>
    <s v="magnesium ion binding"/>
  </r>
  <r>
    <x v="0"/>
    <x v="1"/>
    <s v="Ofaveolata022626"/>
    <n v="1.15451069"/>
    <n v="2.0155840700000001"/>
    <s v="Direct"/>
    <s v="NA"/>
  </r>
  <r>
    <x v="0"/>
    <x v="1"/>
    <s v="Ofaveolata022634"/>
    <n v="1.44203383"/>
    <n v="1.03793994"/>
    <s v="Direct"/>
    <s v="organic anion transmembrane transporter activity"/>
  </r>
  <r>
    <x v="0"/>
    <x v="1"/>
    <s v="Ofaveolata022723"/>
    <n v="1.5074283500000001"/>
    <n v="6.5944204800000001"/>
    <s v="Direct"/>
    <s v="NA"/>
  </r>
  <r>
    <x v="0"/>
    <x v="1"/>
    <s v="Ofaveolata022771"/>
    <n v="2.4411331700000001"/>
    <n v="5.2542675000000001"/>
    <s v="Direct"/>
    <s v="NA"/>
  </r>
  <r>
    <x v="0"/>
    <x v="1"/>
    <s v="Ofaveolata022778"/>
    <n v="-1.1602357000000001"/>
    <n v="-1.1672861000000001"/>
    <s v="Direct"/>
    <s v="NA"/>
  </r>
  <r>
    <x v="0"/>
    <x v="1"/>
    <s v="Ofaveolata022794"/>
    <n v="-1.3867313999999999"/>
    <n v="-1.1577774999999999"/>
    <s v="Direct"/>
    <s v="NA"/>
  </r>
  <r>
    <x v="0"/>
    <x v="1"/>
    <s v="Ofaveolata022834"/>
    <n v="-2.6815725000000001"/>
    <n v="-1.5674508"/>
    <s v="Direct"/>
    <s v="3'-phosphoadenosine 5'-phosphosulfate transmembrane transporter activity"/>
  </r>
  <r>
    <x v="0"/>
    <x v="1"/>
    <s v="Ofaveolata022876"/>
    <n v="-3.9921785999999999"/>
    <n v="-1.7698927"/>
    <s v="Direct"/>
    <s v="NA"/>
  </r>
  <r>
    <x v="0"/>
    <x v="1"/>
    <s v="Ofaveolata022890"/>
    <n v="3.5849269100000001"/>
    <n v="8.8896191200000008"/>
    <s v="Direct"/>
    <s v="calcium ion transport"/>
  </r>
  <r>
    <x v="0"/>
    <x v="1"/>
    <s v="Ofaveolata022968"/>
    <n v="-2.8227839000000001"/>
    <n v="-3.6039395999999999"/>
    <s v="Direct"/>
    <s v="neurofibromin"/>
  </r>
  <r>
    <x v="0"/>
    <x v="1"/>
    <s v="Ofaveolata023002"/>
    <n v="2.2336497400000002"/>
    <n v="5.8059527900000001"/>
    <s v="Direct"/>
    <s v="Solute carrier organic anion transporter family, member"/>
  </r>
  <r>
    <x v="0"/>
    <x v="1"/>
    <s v="Ofaveolata023024"/>
    <n v="-6.1974274999999999"/>
    <n v="-2.9886607000000001"/>
    <s v="Direct"/>
    <s v="Isocitrate lyase family"/>
  </r>
  <r>
    <x v="0"/>
    <x v="1"/>
    <s v="Ofaveolata023025"/>
    <n v="-4.0835856000000001"/>
    <n v="-5.4114819000000001"/>
    <s v="Direct"/>
    <s v="NA"/>
  </r>
  <r>
    <x v="0"/>
    <x v="1"/>
    <s v="Ofaveolata023143"/>
    <n v="-2.2178490000000002"/>
    <n v="-23.504940000000001"/>
    <s v="Direct"/>
    <s v="cellular macromolecule catabolic process"/>
  </r>
  <r>
    <x v="0"/>
    <x v="1"/>
    <s v="Ofaveolata023163"/>
    <n v="-1.1914062999999999"/>
    <n v="-6.3532662999999996"/>
    <s v="Direct"/>
    <s v="NA"/>
  </r>
  <r>
    <x v="0"/>
    <x v="1"/>
    <s v="Ofaveolata023203"/>
    <n v="1.1914456899999999"/>
    <n v="1.60634012"/>
    <s v="Direct"/>
    <s v="ribosomal protein S23"/>
  </r>
  <r>
    <x v="0"/>
    <x v="1"/>
    <s v="Ofaveolata023221"/>
    <n v="1.2509085600000001"/>
    <n v="4.3289088800000002"/>
    <s v="Direct"/>
    <s v="Transfers N-acetylgalactosamine (GalNAc) from UDP-GalNAc to N-acetylglucosamine-beta-benzyl with a beta-1,4-linkage to form N,N'-diacetyllactosediamine, GalNAc-beta-1,4-GlcNAc structures in N-linked glycans and probably O-linked glycans"/>
  </r>
  <r>
    <x v="0"/>
    <x v="1"/>
    <s v="Ofaveolata023246"/>
    <n v="-2.1690200000000002"/>
    <n v="-1.2982988"/>
    <s v="Direct"/>
    <s v="nitric-oxide synthase activity"/>
  </r>
  <r>
    <x v="0"/>
    <x v="1"/>
    <s v="Ofaveolata023252"/>
    <n v="1.7488578800000001"/>
    <n v="1.6955064900000001"/>
    <s v="Direct"/>
    <s v="beta-glucuronidase activity"/>
  </r>
  <r>
    <x v="0"/>
    <x v="1"/>
    <s v="Ofaveolata023277"/>
    <n v="2.7801222600000002"/>
    <n v="1.39019556"/>
    <s v="Direct"/>
    <s v="NA"/>
  </r>
  <r>
    <x v="0"/>
    <x v="1"/>
    <s v="Ofaveolata023343"/>
    <n v="-1.0633646000000001"/>
    <n v="-3.8054185"/>
    <s v="Direct"/>
    <s v="NA"/>
  </r>
  <r>
    <x v="0"/>
    <x v="1"/>
    <s v="Ofaveolata023385"/>
    <n v="1.07130345"/>
    <n v="1.01433887"/>
    <s v="Direct"/>
    <s v="seminal vesicle morphogenesis"/>
  </r>
  <r>
    <x v="0"/>
    <x v="1"/>
    <s v="Ofaveolata023439"/>
    <n v="1.58801657"/>
    <n v="1.0572910499999999"/>
    <s v="Direct"/>
    <s v="endoderm formation"/>
  </r>
  <r>
    <x v="0"/>
    <x v="1"/>
    <s v="Ofaveolata023458"/>
    <n v="2.86829789"/>
    <n v="4.7734703300000003"/>
    <s v="Direct"/>
    <s v="3',5'-cyclic-GMP phosphodiesterase activity"/>
  </r>
  <r>
    <x v="0"/>
    <x v="1"/>
    <s v="Ofaveolata023493"/>
    <n v="4.45454112"/>
    <n v="5.3535314200000004"/>
    <s v="Direct"/>
    <s v="NA"/>
  </r>
  <r>
    <x v="0"/>
    <x v="1"/>
    <s v="Ofaveolata023502"/>
    <n v="1.25672871"/>
    <n v="1.1893633699999999"/>
    <s v="Direct"/>
    <s v="NA"/>
  </r>
  <r>
    <x v="0"/>
    <x v="1"/>
    <s v="Ofaveolata023510"/>
    <n v="-1.0455165"/>
    <n v="-2.8069780999999998"/>
    <s v="Direct"/>
    <s v="NA"/>
  </r>
  <r>
    <x v="0"/>
    <x v="1"/>
    <s v="Ofaveolata023527"/>
    <n v="-3.5702045999999998"/>
    <n v="-9.3791682000000005"/>
    <s v="Direct"/>
    <s v="NA"/>
  </r>
  <r>
    <x v="0"/>
    <x v="1"/>
    <s v="Ofaveolata023541"/>
    <n v="1.6938895599999999"/>
    <n v="4.6227099300000001"/>
    <s v="Direct"/>
    <s v="amine oxidase"/>
  </r>
  <r>
    <x v="0"/>
    <x v="1"/>
    <s v="Ofaveolata023677"/>
    <n v="-2.3644221000000001"/>
    <n v="-7.8960752999999997"/>
    <s v="Direct"/>
    <s v="NA"/>
  </r>
  <r>
    <x v="0"/>
    <x v="1"/>
    <s v="Ofaveolata023785"/>
    <n v="2.11061649"/>
    <n v="3.0734229800000001"/>
    <s v="Direct"/>
    <s v="Carbonic anhydrase"/>
  </r>
  <r>
    <x v="0"/>
    <x v="1"/>
    <s v="Ofaveolata023792"/>
    <n v="-1.5952124000000001"/>
    <n v="-1.4950843"/>
    <s v="Direct"/>
    <s v="NA"/>
  </r>
  <r>
    <x v="0"/>
    <x v="1"/>
    <s v="Ofaveolata023809"/>
    <n v="-1.0301184000000001"/>
    <n v="-1.1934415"/>
    <s v="Direct"/>
    <s v="Putative peptidase family"/>
  </r>
  <r>
    <x v="0"/>
    <x v="1"/>
    <s v="Ofaveolata023826"/>
    <n v="2.9020793399999998"/>
    <n v="2.3919923000000001"/>
    <s v="Direct"/>
    <s v="positive regulation of mitochondrial translation"/>
  </r>
  <r>
    <x v="0"/>
    <x v="1"/>
    <s v="Ofaveolata023847"/>
    <n v="-1.6818461"/>
    <n v="-2.9394797000000001"/>
    <s v="Direct"/>
    <s v="NA"/>
  </r>
  <r>
    <x v="0"/>
    <x v="1"/>
    <s v="Ofaveolata023878"/>
    <n v="-1.3545012000000001"/>
    <n v="-4.0140399000000002"/>
    <s v="Direct"/>
    <s v="peptidyl-diphthamide biosynthetic process from peptidyl-histidine"/>
  </r>
  <r>
    <x v="0"/>
    <x v="1"/>
    <s v="Ofaveolata023950"/>
    <n v="1.75491273"/>
    <n v="1.4785858000000001"/>
    <s v="Direct"/>
    <s v="NA"/>
  </r>
  <r>
    <x v="0"/>
    <x v="1"/>
    <s v="Ofaveolata023976"/>
    <n v="-1.9702447999999999"/>
    <n v="-2.6215164"/>
    <s v="Direct"/>
    <s v="FAD dependent oxidoreductase"/>
  </r>
  <r>
    <x v="0"/>
    <x v="1"/>
    <s v="Ofaveolata023977"/>
    <n v="-2.3520781999999998"/>
    <n v="-3.1336129000000001"/>
    <s v="Direct"/>
    <s v="FAD dependent oxidoreductase"/>
  </r>
  <r>
    <x v="0"/>
    <x v="1"/>
    <s v="Ofaveolata023979"/>
    <n v="-2.2440937000000001"/>
    <n v="-2.2548054999999998"/>
    <s v="Direct"/>
    <s v="FAD dependent oxidoreductase"/>
  </r>
  <r>
    <x v="0"/>
    <x v="1"/>
    <s v="Ofaveolata023984"/>
    <n v="-1.4238173999999999"/>
    <n v="-1.7749637"/>
    <s v="Direct"/>
    <s v="FAD dependent oxidoreductase"/>
  </r>
  <r>
    <x v="0"/>
    <x v="1"/>
    <s v="Ofaveolata024018"/>
    <n v="1.3969508500000001"/>
    <n v="1.23537359"/>
    <s v="Direct"/>
    <s v="peptidase inhibitor activity"/>
  </r>
  <r>
    <x v="0"/>
    <x v="1"/>
    <s v="Ofaveolata024041"/>
    <n v="-1.3147629000000001"/>
    <n v="-2.8495666000000002"/>
    <s v="Direct"/>
    <s v="Acyl-CoA dehydrogenase, C-terminal domain"/>
  </r>
  <r>
    <x v="0"/>
    <x v="1"/>
    <s v="Ofaveolata024042"/>
    <n v="-1.7916723000000001"/>
    <n v="-1.2041061"/>
    <s v="Direct"/>
    <s v="NA"/>
  </r>
  <r>
    <x v="0"/>
    <x v="1"/>
    <s v="Ofaveolata024044"/>
    <n v="-2.3262100000000001"/>
    <n v="-1.6887462"/>
    <s v="Direct"/>
    <s v="Acyl-CoA dehydrogenase, C-terminal domain"/>
  </r>
  <r>
    <x v="0"/>
    <x v="1"/>
    <s v="Ofaveolata024046"/>
    <n v="1.5334333899999999"/>
    <n v="3.27489908"/>
    <s v="Direct"/>
    <s v="NA"/>
  </r>
  <r>
    <x v="0"/>
    <x v="1"/>
    <s v="Ofaveolata024081"/>
    <n v="-2.6480153"/>
    <n v="-1.5621038"/>
    <s v="Direct"/>
    <s v="RNA-directed 5'-3' RNA polymerase activity"/>
  </r>
  <r>
    <x v="0"/>
    <x v="1"/>
    <s v="Ofaveolata024082"/>
    <n v="-1.4254882"/>
    <n v="-6.3534739"/>
    <s v="Direct"/>
    <s v="RNA-directed 5'-3' RNA polymerase activity"/>
  </r>
  <r>
    <x v="0"/>
    <x v="1"/>
    <s v="Ofaveolata024083"/>
    <n v="-2.5695431000000002"/>
    <n v="-3.9254869999999999"/>
    <s v="Direct"/>
    <s v="RNA-directed 5'-3' RNA polymerase activity"/>
  </r>
  <r>
    <x v="0"/>
    <x v="1"/>
    <s v="Ofaveolata024090"/>
    <n v="2.6880253999999999"/>
    <n v="3.12076281"/>
    <s v="Direct"/>
    <s v="Common central domain of tyrosinase"/>
  </r>
  <r>
    <x v="0"/>
    <x v="1"/>
    <s v="Ofaveolata024159"/>
    <n v="1.6938895599999999"/>
    <n v="5.79527985"/>
    <s v="Direct"/>
    <s v="regulation of embryonic development"/>
  </r>
  <r>
    <x v="0"/>
    <x v="1"/>
    <s v="Ofaveolata024161"/>
    <n v="1.3026906899999999"/>
    <n v="3.8284669400000002"/>
    <s v="Direct"/>
    <s v="Phospholipase/Carboxylesterase"/>
  </r>
  <r>
    <x v="0"/>
    <x v="1"/>
    <s v="Ofaveolata024164"/>
    <n v="1.8847578899999999"/>
    <n v="3.01188141"/>
    <s v="Direct"/>
    <s v="NA"/>
  </r>
  <r>
    <x v="0"/>
    <x v="1"/>
    <s v="Ofaveolata024165"/>
    <n v="2.0337153799999999"/>
    <n v="7.86539477"/>
    <s v="Direct"/>
    <s v="NA"/>
  </r>
  <r>
    <x v="0"/>
    <x v="1"/>
    <s v="Ofaveolata024200"/>
    <n v="2.1465920700000001"/>
    <n v="-1.3249675999999999"/>
    <s v="Inverse"/>
    <s v="Cellular repressor of E1A-stimulated genes 2"/>
  </r>
  <r>
    <x v="0"/>
    <x v="1"/>
    <s v="Ofaveolata024221"/>
    <n v="1.47889877"/>
    <n v="6.2824340400000001"/>
    <s v="Direct"/>
    <s v="NA"/>
  </r>
  <r>
    <x v="0"/>
    <x v="1"/>
    <s v="Ofaveolata024230"/>
    <n v="-1.0911500999999999"/>
    <n v="-1.2936224000000001"/>
    <s v="Direct"/>
    <s v="NA"/>
  </r>
  <r>
    <x v="0"/>
    <x v="1"/>
    <s v="Ofaveolata024256"/>
    <n v="1.05186296"/>
    <n v="4.5618808"/>
    <s v="Direct"/>
    <s v="NA"/>
  </r>
  <r>
    <x v="0"/>
    <x v="1"/>
    <s v="Ofaveolata024283"/>
    <n v="2.9468621499999998"/>
    <n v="1.64158749"/>
    <s v="Direct"/>
    <s v="Thrombospondin N-terminal -like domains."/>
  </r>
  <r>
    <x v="0"/>
    <x v="1"/>
    <s v="Ofaveolata024328"/>
    <n v="1.3587023"/>
    <n v="1.8851378999999999"/>
    <s v="Direct"/>
    <s v="NA"/>
  </r>
  <r>
    <x v="0"/>
    <x v="1"/>
    <s v="Ofaveolata024339"/>
    <n v="-1.8522974999999999"/>
    <n v="-2.3984318"/>
    <s v="Direct"/>
    <s v="oxidoreductase activity, acting on peroxide as acceptor"/>
  </r>
  <r>
    <x v="0"/>
    <x v="1"/>
    <s v="Ofaveolata024356"/>
    <n v="-3.2200709999999999"/>
    <n v="-4.7273997999999997"/>
    <s v="Direct"/>
    <s v="FAD dependent oxidoreductase"/>
  </r>
  <r>
    <x v="0"/>
    <x v="1"/>
    <s v="Ofaveolata024399"/>
    <n v="2.1541313199999998"/>
    <n v="6.1461694700000002"/>
    <s v="Direct"/>
    <s v="structural constituent of cytoskeleton"/>
  </r>
  <r>
    <x v="0"/>
    <x v="1"/>
    <s v="Ofaveolata024404"/>
    <n v="-2.2239583000000001"/>
    <n v="-7.9946741000000001"/>
    <s v="Direct"/>
    <s v="negative regulation of chemokine (C-C motif) ligand 5 production"/>
  </r>
  <r>
    <x v="0"/>
    <x v="1"/>
    <s v="Ofaveolata024431"/>
    <n v="1.1353593099999999"/>
    <n v="6.0492457499999999"/>
    <s v="Direct"/>
    <s v="GTPase that associates with pre-60S ribosomal subunits in the nucleolus and is required for their nuclear export and maturation"/>
  </r>
  <r>
    <x v="0"/>
    <x v="1"/>
    <s v="Ofaveolata024504"/>
    <n v="2.4360676400000001"/>
    <n v="2.5970433900000001"/>
    <s v="Direct"/>
    <s v="NA"/>
  </r>
  <r>
    <x v="0"/>
    <x v="1"/>
    <s v="Ofaveolata024529"/>
    <n v="-1.0366329999999999"/>
    <n v="-1.0432452999999999"/>
    <s v="Direct"/>
    <s v="NA"/>
  </r>
  <r>
    <x v="0"/>
    <x v="1"/>
    <s v="Ofaveolata024603"/>
    <n v="3.4580718199999998"/>
    <n v="1.3913896800000001"/>
    <s v="Direct"/>
    <s v="Taurine catabolism dioxygenase TauD, TfdA family"/>
  </r>
  <r>
    <x v="0"/>
    <x v="1"/>
    <s v="Ofaveolata024605"/>
    <n v="1.51666488"/>
    <n v="6.0687033499999998"/>
    <s v="Direct"/>
    <s v="lipid catabolic process"/>
  </r>
  <r>
    <x v="0"/>
    <x v="1"/>
    <s v="Ofaveolata024613"/>
    <n v="1.06440292"/>
    <n v="2.1546600200000001"/>
    <s v="Direct"/>
    <s v="NA"/>
  </r>
  <r>
    <x v="0"/>
    <x v="1"/>
    <s v="Ofaveolata024673"/>
    <n v="-1.5821702"/>
    <n v="-3.5784273"/>
    <s v="Direct"/>
    <s v="oxidation-reduction process"/>
  </r>
  <r>
    <x v="0"/>
    <x v="1"/>
    <s v="Ofaveolata024680"/>
    <n v="-3.7102054"/>
    <n v="-5.6320182000000001"/>
    <s v="Direct"/>
    <s v="phosphoenolpyruvate carboxykinase activity"/>
  </r>
  <r>
    <x v="0"/>
    <x v="1"/>
    <s v="Ofaveolata024686"/>
    <n v="-1.2227243000000001"/>
    <n v="-1.5151235000000001"/>
    <s v="Direct"/>
    <s v="NA"/>
  </r>
  <r>
    <x v="0"/>
    <x v="1"/>
    <s v="Ofaveolata024711"/>
    <n v="1.19979192"/>
    <n v="5.8018357199999997"/>
    <s v="Direct"/>
    <s v="metalloaminopeptidase activity"/>
  </r>
  <r>
    <x v="0"/>
    <x v="1"/>
    <s v="Ofaveolata024722"/>
    <n v="1.0355276099999999"/>
    <n v="1.7587851800000001"/>
    <s v="Direct"/>
    <s v="glutathione synthase activity"/>
  </r>
  <r>
    <x v="0"/>
    <x v="1"/>
    <s v="Ofaveolata024729"/>
    <n v="1.0078994999999999"/>
    <n v="3.6121801800000002"/>
    <s v="Direct"/>
    <s v="NA"/>
  </r>
  <r>
    <x v="0"/>
    <x v="1"/>
    <s v="Ofaveolata024732"/>
    <n v="-1.9778184000000001"/>
    <n v="-1.2517012999999999"/>
    <s v="Direct"/>
    <s v="Belongs to the sodium neurotransmitter symporter (SNF) (TC 2.A.22) family"/>
  </r>
  <r>
    <x v="0"/>
    <x v="1"/>
    <s v="Ofaveolata024748"/>
    <n v="1.5654871100000001"/>
    <n v="3.7285371199999999"/>
    <s v="Direct"/>
    <s v="NA"/>
  </r>
  <r>
    <x v="0"/>
    <x v="1"/>
    <s v="Ofaveolata024792"/>
    <n v="1.82940758"/>
    <n v="5.4752868000000001"/>
    <s v="Direct"/>
    <s v="calcium ion binding"/>
  </r>
  <r>
    <x v="0"/>
    <x v="1"/>
    <s v="Ofaveolata024841"/>
    <n v="3.2080155600000002"/>
    <n v="3.4876894599999999"/>
    <s v="Direct"/>
    <s v="NA"/>
  </r>
  <r>
    <x v="0"/>
    <x v="1"/>
    <s v="Ofaveolata024843"/>
    <n v="-1.1932659000000001"/>
    <n v="-1.4972302"/>
    <s v="Direct"/>
    <s v="NA"/>
  </r>
  <r>
    <x v="0"/>
    <x v="1"/>
    <s v="Ofaveolata024890"/>
    <n v="-1.3257644"/>
    <n v="-5.0137625000000003"/>
    <s v="Direct"/>
    <s v="ubiquitin conjugating enzyme binding"/>
  </r>
  <r>
    <x v="0"/>
    <x v="1"/>
    <s v="Ofaveolata024897"/>
    <n v="1.90188205"/>
    <n v="5.48488255"/>
    <s v="Direct"/>
    <s v="Collagen triple helix"/>
  </r>
  <r>
    <x v="0"/>
    <x v="1"/>
    <s v="Ofaveolata024904"/>
    <n v="1.2962028800000001"/>
    <n v="2.72788422"/>
    <s v="Direct"/>
    <s v="Collagen triple helix"/>
  </r>
  <r>
    <x v="0"/>
    <x v="1"/>
    <s v="Ofaveolata024919"/>
    <n v="-2.8230181000000001"/>
    <n v="-2.3024051999999999"/>
    <s v="Direct"/>
    <s v="NA"/>
  </r>
  <r>
    <x v="0"/>
    <x v="1"/>
    <s v="Ofaveolata024921"/>
    <n v="-3.1948530000000002"/>
    <n v="-2.9102747999999998"/>
    <s v="Direct"/>
    <s v="NA"/>
  </r>
  <r>
    <x v="0"/>
    <x v="1"/>
    <s v="Ofaveolata024923"/>
    <n v="-1.1810632000000001"/>
    <n v="-4.1944486000000003"/>
    <s v="Direct"/>
    <s v="TNF receptor-associated factor"/>
  </r>
  <r>
    <x v="0"/>
    <x v="1"/>
    <s v="Ofaveolata024924"/>
    <n v="-1.3483944999999999"/>
    <n v="-4.0988670999999997"/>
    <s v="Direct"/>
    <s v="TNF receptor-associated factor"/>
  </r>
  <r>
    <x v="0"/>
    <x v="1"/>
    <s v="Ofaveolata024929"/>
    <n v="1.3808327499999999"/>
    <n v="2.2245441399999999"/>
    <s v="Direct"/>
    <s v="TNF receptor-associated factor"/>
  </r>
  <r>
    <x v="0"/>
    <x v="1"/>
    <s v="Ofaveolata024948"/>
    <n v="1.40505396"/>
    <n v="4.5673717299999996"/>
    <s v="Direct"/>
    <s v="NAD-dependent lysine demalonylase, desuccinylase and deglutarylase that specifically removes malonyl, succinyl and glutaryl groups on target proteins. Activates CPS1 and contributes to the regulation of blood ammonia levels during prolonged fasting acts b"/>
  </r>
  <r>
    <x v="0"/>
    <x v="1"/>
    <s v="Ofaveolata024964"/>
    <n v="1.0192748899999999"/>
    <n v="1.6244567599999999"/>
    <s v="Direct"/>
    <s v="cysteine-type endopeptidase activity"/>
  </r>
  <r>
    <x v="0"/>
    <x v="1"/>
    <s v="Ofaveolata024968"/>
    <n v="2.0589454699999998"/>
    <n v="1.9584797700000001"/>
    <s v="Direct"/>
    <s v="cysteine-type endopeptidase activity"/>
  </r>
  <r>
    <x v="0"/>
    <x v="1"/>
    <s v="Ofaveolata024982"/>
    <n v="-2.3731757"/>
    <n v="-2.5610420999999999"/>
    <s v="Direct"/>
    <s v="NA"/>
  </r>
  <r>
    <x v="0"/>
    <x v="1"/>
    <s v="Ofaveolata024990"/>
    <n v="-2.2384612000000002"/>
    <n v="-1.7071832"/>
    <s v="Direct"/>
    <s v="NA"/>
  </r>
  <r>
    <x v="0"/>
    <x v="1"/>
    <s v="Ofaveolata024998"/>
    <n v="1.0091068599999999"/>
    <n v="2.0715983499999999"/>
    <s v="Direct"/>
    <s v="regulation of cell cycle"/>
  </r>
  <r>
    <x v="0"/>
    <x v="1"/>
    <s v="Ofaveolata025090"/>
    <n v="2.2729978200000001"/>
    <n v="7.63564255"/>
    <s v="Direct"/>
    <s v="Collagen triple helix"/>
  </r>
  <r>
    <x v="0"/>
    <x v="1"/>
    <s v="Ofaveolata025092"/>
    <n v="2.0437135999999998"/>
    <n v="6.1059869300000003"/>
    <s v="Direct"/>
    <s v="Collagen triple helix"/>
  </r>
  <r>
    <x v="0"/>
    <x v="1"/>
    <s v="Ofaveolata025133"/>
    <n v="-1.6951240000000001"/>
    <n v="-6.7584583"/>
    <s v="Direct"/>
    <s v="NA"/>
  </r>
  <r>
    <x v="0"/>
    <x v="1"/>
    <s v="Ofaveolata025135"/>
    <n v="-1.0064245999999999"/>
    <n v="-1.7212278000000001"/>
    <s v="Direct"/>
    <s v="Collagen triple helix"/>
  </r>
  <r>
    <x v="0"/>
    <x v="1"/>
    <s v="Ofaveolata025231"/>
    <n v="2.7963513299999998"/>
    <n v="8.4907366700000004"/>
    <s v="Direct"/>
    <s v="NA"/>
  </r>
  <r>
    <x v="0"/>
    <x v="1"/>
    <s v="Ofaveolata025250"/>
    <n v="-1.4704611999999999"/>
    <n v="-1.1651749"/>
    <s v="Direct"/>
    <s v="NA"/>
  </r>
  <r>
    <x v="0"/>
    <x v="1"/>
    <s v="Ofaveolata025330"/>
    <n v="-4.2655889"/>
    <n v="2.4216443299999999"/>
    <s v="Inverse"/>
    <s v="NA"/>
  </r>
  <r>
    <x v="0"/>
    <x v="1"/>
    <s v="Ofaveolata025369"/>
    <n v="1.63843009"/>
    <n v="2.4124654799999998"/>
    <s v="Direct"/>
    <s v="manganese-transporting ATPase activity"/>
  </r>
  <r>
    <x v="0"/>
    <x v="1"/>
    <s v="Ofaveolata025431"/>
    <n v="6.3700699099999998"/>
    <n v="8.0462163499999999"/>
    <s v="Direct"/>
    <s v="semaphorin receptor binding"/>
  </r>
  <r>
    <x v="0"/>
    <x v="1"/>
    <s v="Ofaveolata025432"/>
    <n v="3.4369013499999999"/>
    <n v="3.0667977500000001"/>
    <s v="Direct"/>
    <s v="NA"/>
  </r>
  <r>
    <x v="0"/>
    <x v="1"/>
    <s v="Ofaveolata025474"/>
    <n v="-2.0745887000000001"/>
    <n v="-5.1247995"/>
    <s v="Direct"/>
    <s v="Dehydrogenase reductase SDR family member"/>
  </r>
  <r>
    <x v="0"/>
    <x v="1"/>
    <s v="Ofaveolata025520"/>
    <n v="-1.105075"/>
    <n v="-5.5954180999999998"/>
    <s v="Direct"/>
    <s v="Arp2/3 complex-mediated actin nucleation"/>
  </r>
  <r>
    <x v="0"/>
    <x v="1"/>
    <s v="Ofaveolata025522"/>
    <n v="8.4542620500000005"/>
    <n v="11.710690400000001"/>
    <s v="Direct"/>
    <s v="Protein tyrosine kinase"/>
  </r>
  <r>
    <x v="0"/>
    <x v="1"/>
    <s v="Ofaveolata025659"/>
    <n v="2.2978964199999998"/>
    <n v="5.9991198299999997"/>
    <s v="Direct"/>
    <s v="establishment of animal organ orientation"/>
  </r>
  <r>
    <x v="0"/>
    <x v="1"/>
    <s v="Ofaveolata025717"/>
    <n v="1.40471064"/>
    <n v="1.3266900399999999"/>
    <s v="Direct"/>
    <s v="regulation of ryanodine-sensitive calcium-release channel activity"/>
  </r>
  <r>
    <x v="0"/>
    <x v="1"/>
    <s v="Ofaveolata025755"/>
    <n v="-1.901224"/>
    <n v="-1.5964099"/>
    <s v="Direct"/>
    <s v="negative regulation of sequestering of triglyceride"/>
  </r>
  <r>
    <x v="0"/>
    <x v="1"/>
    <s v="Ofaveolata025791"/>
    <n v="1.2469927599999999"/>
    <n v="8.9210490399999998"/>
    <s v="Direct"/>
    <s v="NA"/>
  </r>
  <r>
    <x v="0"/>
    <x v="1"/>
    <s v="Ofaveolata025817"/>
    <n v="-1.2902825"/>
    <n v="-4.6722665000000001"/>
    <s v="Direct"/>
    <s v="Responsible for the deiodination of T4 (3,5,3',5'- tetraiodothyronine)"/>
  </r>
  <r>
    <x v="0"/>
    <x v="1"/>
    <s v="Ofaveolata025818"/>
    <n v="-1.4063148000000001"/>
    <n v="-2.2403985"/>
    <s v="Direct"/>
    <s v="NA"/>
  </r>
  <r>
    <x v="0"/>
    <x v="1"/>
    <s v="Ofaveolata025849"/>
    <n v="1.23051317"/>
    <n v="1.2487563500000001"/>
    <s v="Direct"/>
    <s v="Myosin, light"/>
  </r>
  <r>
    <x v="0"/>
    <x v="1"/>
    <s v="Ofaveolata025870"/>
    <n v="-1.4238173999999999"/>
    <n v="-2.2628989000000002"/>
    <s v="Direct"/>
    <s v="NA"/>
  </r>
  <r>
    <x v="0"/>
    <x v="1"/>
    <s v="Ofaveolata025982"/>
    <n v="1.2296136499999999"/>
    <n v="7.6300997300000004"/>
    <s v="Direct"/>
    <s v="establishment of planar polarity involved in neural tube closure"/>
  </r>
  <r>
    <x v="0"/>
    <x v="1"/>
    <s v="Ofaveolata026014"/>
    <n v="-1.0499708000000001"/>
    <n v="-4.1473765"/>
    <s v="Direct"/>
    <s v="NA"/>
  </r>
  <r>
    <x v="0"/>
    <x v="1"/>
    <s v="Ofaveolata026080"/>
    <n v="-1.5396224000000001"/>
    <n v="-5.2629220999999999"/>
    <s v="Direct"/>
    <s v="NA"/>
  </r>
  <r>
    <x v="0"/>
    <x v="1"/>
    <s v="Ofaveolata026092"/>
    <n v="-1.6602231999999999"/>
    <n v="-3.0211663999999998"/>
    <s v="Direct"/>
    <s v="NA"/>
  </r>
  <r>
    <x v="0"/>
    <x v="1"/>
    <s v="Ofaveolata026102"/>
    <n v="-2.9744215000000001"/>
    <n v="-1.5874855999999999"/>
    <s v="Direct"/>
    <s v="NA"/>
  </r>
  <r>
    <x v="0"/>
    <x v="1"/>
    <s v="Ofaveolata026113"/>
    <n v="3.9756650100000002"/>
    <n v="4.4832122999999999"/>
    <s v="Direct"/>
    <s v="amine sulfotransferase activity"/>
  </r>
  <r>
    <x v="0"/>
    <x v="1"/>
    <s v="Ofaveolata026133"/>
    <n v="1.3684310799999999"/>
    <n v="1.55439671"/>
    <s v="Direct"/>
    <s v="methyltransferase"/>
  </r>
  <r>
    <x v="0"/>
    <x v="1"/>
    <s v="Ofaveolata026149"/>
    <n v="1.21685328"/>
    <n v="11.4629525"/>
    <s v="Direct"/>
    <s v="Cleavage and polyadenylation"/>
  </r>
  <r>
    <x v="0"/>
    <x v="1"/>
    <s v="Ofaveolata026244"/>
    <n v="-1.3999033999999999"/>
    <n v="1.9057806100000001"/>
    <s v="Inverse"/>
    <s v="regulation of cell cycle"/>
  </r>
  <r>
    <x v="0"/>
    <x v="1"/>
    <s v="Ofaveolata026251"/>
    <n v="-1.4185223"/>
    <n v="-4.0702826999999999"/>
    <s v="Direct"/>
    <s v="NA"/>
  </r>
  <r>
    <x v="0"/>
    <x v="1"/>
    <s v="Ofaveolata026266"/>
    <n v="-1.2795563000000001"/>
    <n v="-1.5687584999999999"/>
    <s v="Direct"/>
    <s v="NA"/>
  </r>
  <r>
    <x v="0"/>
    <x v="1"/>
    <s v="Ofaveolata026271"/>
    <n v="2.6193894900000001"/>
    <n v="2.7211673699999999"/>
    <s v="Direct"/>
    <s v="cell cycle G1/S phase transition"/>
  </r>
  <r>
    <x v="0"/>
    <x v="1"/>
    <s v="Ofaveolata026272"/>
    <n v="3.0434843100000002"/>
    <n v="1.51760804"/>
    <s v="Direct"/>
    <s v="5-oxoprolinase (ATP-hydrolyzing) activity"/>
  </r>
  <r>
    <x v="0"/>
    <x v="1"/>
    <s v="Ofaveolata026368"/>
    <n v="3.9394337699999999"/>
    <n v="1.03991849"/>
    <s v="Direct"/>
    <s v="Metastasis suppressor protein 1-like"/>
  </r>
  <r>
    <x v="0"/>
    <x v="1"/>
    <s v="Ofaveolata026401"/>
    <n v="-1.6951240000000001"/>
    <n v="-4.0152707000000003"/>
    <s v="Direct"/>
    <s v="V-maf avian musculoaponeurotic fibrosarcoma oncogene homolog"/>
  </r>
  <r>
    <x v="0"/>
    <x v="1"/>
    <s v="Ofaveolata026424"/>
    <n v="6.1237504200000004"/>
    <n v="8.01788116"/>
    <s v="Direct"/>
    <s v="zinc ion binding"/>
  </r>
  <r>
    <x v="0"/>
    <x v="1"/>
    <s v="Ofaveolata026429"/>
    <n v="-1.0542925000000001"/>
    <n v="-4.6971566999999999"/>
    <s v="Direct"/>
    <s v="Zinc finger, C3HC4 type (RING finger)"/>
  </r>
  <r>
    <x v="0"/>
    <x v="1"/>
    <s v="Ofaveolata026430"/>
    <n v="-5.2054289000000002"/>
    <n v="-7.7516008999999997"/>
    <s v="Direct"/>
    <s v="NA"/>
  </r>
  <r>
    <x v="0"/>
    <x v="1"/>
    <s v="Ofaveolata026524"/>
    <n v="1.5350692800000001"/>
    <n v="4.9535572300000004"/>
    <s v="Direct"/>
    <s v="N-acetyl-beta-glucosaminyl-glycoprotein 4-beta-N-acetylgalactosaminyltransferase activity"/>
  </r>
  <r>
    <x v="0"/>
    <x v="1"/>
    <s v="Ofaveolata026525"/>
    <n v="4.0970490599999998"/>
    <n v="18.954132600000001"/>
    <s v="Direct"/>
    <s v="Kelch motif"/>
  </r>
  <r>
    <x v="0"/>
    <x v="1"/>
    <s v="Ofaveolata026548"/>
    <n v="-1.2119139000000001"/>
    <n v="-3.0317020000000001"/>
    <s v="Direct"/>
    <s v="NA"/>
  </r>
  <r>
    <x v="0"/>
    <x v="1"/>
    <s v="Ofaveolata026560"/>
    <n v="-1.1827152999999999"/>
    <n v="-2.1275731000000002"/>
    <s v="Direct"/>
    <s v="NA"/>
  </r>
  <r>
    <x v="0"/>
    <x v="1"/>
    <s v="Ofaveolata026701"/>
    <n v="-2.3152552000000002"/>
    <n v="-2.710172"/>
    <s v="Direct"/>
    <s v="NA"/>
  </r>
  <r>
    <x v="0"/>
    <x v="1"/>
    <s v="Ofaveolata026785"/>
    <n v="-2.9020793"/>
    <n v="-3.1254852"/>
    <s v="Direct"/>
    <s v="dipeptidyl-peptidase activity"/>
  </r>
  <r>
    <x v="0"/>
    <x v="1"/>
    <s v="Ofaveolata026807"/>
    <n v="1.25719596"/>
    <n v="2.7232125800000002"/>
    <s v="Direct"/>
    <s v="G-protein coupled receptor activity"/>
  </r>
  <r>
    <x v="0"/>
    <x v="1"/>
    <s v="Ofaveolata026861"/>
    <n v="2.6880253999999999"/>
    <n v="4.6697253700000001"/>
    <s v="Direct"/>
    <s v="NA"/>
  </r>
  <r>
    <x v="0"/>
    <x v="1"/>
    <s v="Ofaveolata026878"/>
    <n v="-1.0285702000000001"/>
    <n v="-1.3528931"/>
    <s v="Direct"/>
    <s v="C-type lectin (CTL) or carbohydrate-recognition domain (CRD)"/>
  </r>
  <r>
    <x v="0"/>
    <x v="1"/>
    <s v="Ofaveolata026914"/>
    <n v="1.02528625"/>
    <n v="4.8856117399999999"/>
    <s v="Direct"/>
    <s v="NA"/>
  </r>
  <r>
    <x v="0"/>
    <x v="1"/>
    <s v="Ofaveolata026928"/>
    <n v="-1.1416156"/>
    <n v="-1.4584442"/>
    <s v="Direct"/>
    <s v="Calcium-binding protein"/>
  </r>
  <r>
    <x v="0"/>
    <x v="1"/>
    <s v="Ofaveolata026932"/>
    <n v="1.07568072"/>
    <n v="5.4111239099999997"/>
    <s v="Direct"/>
    <s v="N-acetylglucosamine 6-O-sulfotransferase activity"/>
  </r>
  <r>
    <x v="0"/>
    <x v="1"/>
    <s v="Ofaveolata026982"/>
    <n v="-1.1964494000000001"/>
    <n v="-1.1462429000000001"/>
    <s v="Direct"/>
    <s v="RNA helicase activity"/>
  </r>
  <r>
    <x v="0"/>
    <x v="1"/>
    <s v="Ofaveolata026992"/>
    <n v="-3.1946257999999998"/>
    <n v="-2.4412180999999999"/>
    <s v="Direct"/>
    <s v="NA"/>
  </r>
  <r>
    <x v="0"/>
    <x v="1"/>
    <s v="Ofaveolata026995"/>
    <n v="-2.3413270000000002"/>
    <n v="-2.3198173"/>
    <s v="Direct"/>
    <s v="Coagulation factor 5/8 C-terminal domain, discoidin domain"/>
  </r>
  <r>
    <x v="0"/>
    <x v="1"/>
    <s v="Ofaveolata027016"/>
    <n v="1.55954441"/>
    <n v="4.6884575599999998"/>
    <s v="Direct"/>
    <s v="Sterol-sensing domain of SREBP cleavage-activation"/>
  </r>
  <r>
    <x v="0"/>
    <x v="1"/>
    <s v="Ofaveolata027037"/>
    <n v="-1.0713035"/>
    <n v="-2.9485871000000001"/>
    <s v="Direct"/>
    <s v="NA"/>
  </r>
  <r>
    <x v="0"/>
    <x v="1"/>
    <s v="Ofaveolata027047"/>
    <n v="1.54129095"/>
    <n v="5.9699199800000002"/>
    <s v="Direct"/>
    <s v="NA"/>
  </r>
  <r>
    <x v="0"/>
    <x v="1"/>
    <s v="Ofaveolata027053"/>
    <n v="-1.6301076999999999"/>
    <n v="-4.7211536000000001"/>
    <s v="Direct"/>
    <s v="NA"/>
  </r>
  <r>
    <x v="0"/>
    <x v="1"/>
    <s v="Ofaveolata027055"/>
    <n v="1.52826605"/>
    <n v="1.03673101"/>
    <s v="Direct"/>
    <s v="Myosin, light"/>
  </r>
  <r>
    <x v="0"/>
    <x v="1"/>
    <s v="Ofaveolata027056"/>
    <n v="3.4627206899999998"/>
    <n v="4.7297962199999999"/>
    <s v="Direct"/>
    <s v="metalloendopeptidase activity"/>
  </r>
  <r>
    <x v="0"/>
    <x v="1"/>
    <s v="Ofaveolata027085"/>
    <n v="3.7973486900000002"/>
    <n v="1.9462001"/>
    <s v="Direct"/>
    <s v="NA"/>
  </r>
  <r>
    <x v="0"/>
    <x v="1"/>
    <s v="Ofaveolata027100"/>
    <n v="1.5127782700000001"/>
    <n v="2.3093778"/>
    <s v="Direct"/>
    <s v="BLOC-2 complex binding"/>
  </r>
  <r>
    <x v="0"/>
    <x v="1"/>
    <s v="Ofaveolata027102"/>
    <n v="-1.1923119"/>
    <n v="-6.8209299000000003"/>
    <s v="Direct"/>
    <s v="NA"/>
  </r>
  <r>
    <x v="0"/>
    <x v="1"/>
    <s v="Ofaveolata027116"/>
    <n v="1.6731186600000001"/>
    <n v="8.44614011"/>
    <s v="Direct"/>
    <s v="protein tyrosine kinase collagen receptor activity"/>
  </r>
  <r>
    <x v="0"/>
    <x v="1"/>
    <s v="Ofaveolata027149"/>
    <n v="1.6456259600000001"/>
    <n v="8.8786916999999992"/>
    <s v="Direct"/>
    <s v="NA"/>
  </r>
  <r>
    <x v="0"/>
    <x v="1"/>
    <s v="Ofaveolata027183"/>
    <n v="1.0211220000000001"/>
    <n v="1.8584584500000001"/>
    <s v="Direct"/>
    <s v="Oxidoreductase activity. It is involved in the biological process described with oxidation-reduction process"/>
  </r>
  <r>
    <x v="0"/>
    <x v="1"/>
    <s v="Ofaveolata027185"/>
    <n v="1.8601631599999999"/>
    <n v="2.4495556700000001"/>
    <s v="Direct"/>
    <s v="common myeloid progenitor cell proliferation"/>
  </r>
  <r>
    <x v="0"/>
    <x v="1"/>
    <s v="Ofaveolata027211"/>
    <n v="-2.7155124000000002"/>
    <n v="-5.5219180999999997"/>
    <s v="Direct"/>
    <s v="phosphoglucomutase activity"/>
  </r>
  <r>
    <x v="0"/>
    <x v="1"/>
    <s v="Ofaveolata027251"/>
    <n v="-1.5358845000000001"/>
    <n v="-1.9786946999999999"/>
    <s v="Direct"/>
    <s v="Polysaccharide deacetylase"/>
  </r>
  <r>
    <x v="0"/>
    <x v="1"/>
    <s v="Ofaveolata027262"/>
    <n v="-1.1974558"/>
    <n v="-4.0951035999999998"/>
    <s v="Direct"/>
    <s v="histone acetyltransferase activity"/>
  </r>
  <r>
    <x v="0"/>
    <x v="1"/>
    <s v="Ofaveolata027266"/>
    <n v="-2.7428226000000002"/>
    <n v="-1.1530883000000001"/>
    <s v="Direct"/>
    <s v="NA"/>
  </r>
  <r>
    <x v="0"/>
    <x v="1"/>
    <s v="Ofaveolata027273"/>
    <n v="-1.7151422999999999"/>
    <n v="-2.9698696999999998"/>
    <s v="Direct"/>
    <s v="NA"/>
  </r>
  <r>
    <x v="0"/>
    <x v="1"/>
    <s v="Ofaveolata027275"/>
    <n v="1.8832513200000001"/>
    <n v="1.3604093799999999"/>
    <s v="Direct"/>
    <s v="Helicase conserved C-terminal domain"/>
  </r>
  <r>
    <x v="0"/>
    <x v="1"/>
    <s v="Ofaveolata027281"/>
    <n v="3.4970467599999999"/>
    <n v="1.9897619600000001"/>
    <s v="Direct"/>
    <s v="NA"/>
  </r>
  <r>
    <x v="0"/>
    <x v="1"/>
    <s v="Ofaveolata027325"/>
    <n v="2.7452800399999999"/>
    <n v="3.1801864800000001"/>
    <s v="Direct"/>
    <s v="Tachylectin"/>
  </r>
  <r>
    <x v="0"/>
    <x v="1"/>
    <s v="Ofaveolata027354"/>
    <n v="2.4162879099999999"/>
    <n v="3.0455877199999999"/>
    <s v="Direct"/>
    <s v="NA"/>
  </r>
  <r>
    <x v="0"/>
    <x v="1"/>
    <s v="Ofaveolata027355"/>
    <n v="1.03663303"/>
    <n v="1.6830684499999999"/>
    <s v="Direct"/>
    <s v="NA"/>
  </r>
  <r>
    <x v="0"/>
    <x v="1"/>
    <s v="Ofaveolata027358"/>
    <n v="3.1917749799999999"/>
    <n v="4.9646279699999996"/>
    <s v="Direct"/>
    <s v="NA"/>
  </r>
  <r>
    <x v="0"/>
    <x v="1"/>
    <s v="Ofaveolata027439"/>
    <n v="-1.6214131000000001"/>
    <n v="-4.1445359000000002"/>
    <s v="Direct"/>
    <s v="NA"/>
  </r>
  <r>
    <x v="0"/>
    <x v="1"/>
    <s v="Ofaveolata027478"/>
    <n v="-2.9255057"/>
    <n v="-5.3481332999999998"/>
    <s v="Direct"/>
    <s v="NA"/>
  </r>
  <r>
    <x v="0"/>
    <x v="1"/>
    <s v="Ofaveolata027502"/>
    <n v="1.1914062999999999"/>
    <n v="3.81306703"/>
    <s v="Direct"/>
    <s v="Belongs to the peptidase M10A family"/>
  </r>
  <r>
    <x v="0"/>
    <x v="1"/>
    <s v="Ofaveolata027520"/>
    <n v="-2.9470174999999998"/>
    <n v="-2.7458184000000001"/>
    <s v="Direct"/>
    <s v="NA"/>
  </r>
  <r>
    <x v="0"/>
    <x v="1"/>
    <s v="Ofaveolata027538"/>
    <n v="5.7189461899999996"/>
    <n v="10.2486944"/>
    <s v="Direct"/>
    <s v="NA"/>
  </r>
  <r>
    <x v="0"/>
    <x v="1"/>
    <s v="Ofaveolata027542"/>
    <n v="5.3959248799999999"/>
    <n v="7.8002800299999997"/>
    <s v="Direct"/>
    <s v="Eukaryotic-type carbonic anhydrase"/>
  </r>
  <r>
    <x v="0"/>
    <x v="1"/>
    <s v="Ofaveolata027559"/>
    <n v="1.04153801"/>
    <n v="1.5972601"/>
    <s v="Direct"/>
    <s v="NA"/>
  </r>
  <r>
    <x v="0"/>
    <x v="1"/>
    <s v="Ofaveolata027568"/>
    <n v="-1.5396224000000001"/>
    <n v="-2.5928816000000001"/>
    <s v="Direct"/>
    <s v="UDP-glucuronic acid transmembrane transporter activity"/>
  </r>
  <r>
    <x v="0"/>
    <x v="1"/>
    <s v="Ofaveolata027573"/>
    <n v="1.2129791000000001"/>
    <n v="2.6381219800000002"/>
    <s v="Direct"/>
    <s v="Threonine dehydratase"/>
  </r>
  <r>
    <x v="0"/>
    <x v="1"/>
    <s v="Ofaveolata027574"/>
    <n v="1.3929564000000001"/>
    <n v="5.2177249200000002"/>
    <s v="Direct"/>
    <s v="NA"/>
  </r>
  <r>
    <x v="0"/>
    <x v="1"/>
    <s v="Ofaveolata027575"/>
    <n v="1.5588532100000001"/>
    <n v="2.3584068500000002"/>
    <s v="Direct"/>
    <s v="NA"/>
  </r>
  <r>
    <x v="0"/>
    <x v="1"/>
    <s v="Ofaveolata027643"/>
    <n v="-6.8890585"/>
    <n v="-2.0745501000000002"/>
    <s v="Direct"/>
    <s v="NA"/>
  </r>
  <r>
    <x v="0"/>
    <x v="1"/>
    <s v="Ofaveolata027650"/>
    <n v="1.67150281"/>
    <n v="-1.6225206999999999"/>
    <s v="Inverse"/>
    <s v="NA"/>
  </r>
  <r>
    <x v="0"/>
    <x v="1"/>
    <s v="Ofaveolata027709"/>
    <n v="-5.2748882000000004"/>
    <n v="-2.6014783000000001"/>
    <s v="Direct"/>
    <s v="spindle assembly"/>
  </r>
  <r>
    <x v="0"/>
    <x v="1"/>
    <s v="Ofaveolata027716"/>
    <n v="-1.3074819"/>
    <n v="-3.9003106999999999"/>
    <s v="Direct"/>
    <s v="NA"/>
  </r>
  <r>
    <x v="0"/>
    <x v="1"/>
    <s v="Ofaveolata027807"/>
    <n v="-1.5282659999999999"/>
    <n v="-3.9003106999999999"/>
    <s v="Direct"/>
    <s v="Regulator of chromosome condensation (RCC1). Source PGD"/>
  </r>
  <r>
    <x v="0"/>
    <x v="1"/>
    <s v="Ofaveolata027834"/>
    <n v="6.6494924500000003"/>
    <n v="7.9194252699999996"/>
    <s v="Direct"/>
    <s v="inhibin, beta A"/>
  </r>
  <r>
    <x v="0"/>
    <x v="1"/>
    <s v="Ofaveolata027844"/>
    <n v="-1.2449485"/>
    <n v="-2.0162026000000002"/>
    <s v="Direct"/>
    <s v="axoneme assembly"/>
  </r>
  <r>
    <x v="0"/>
    <x v="1"/>
    <s v="Ofaveolata027889"/>
    <n v="2.6480153"/>
    <n v="2.0555998899999999"/>
    <s v="Direct"/>
    <s v="tachykinin receptor activity"/>
  </r>
  <r>
    <x v="0"/>
    <x v="1"/>
    <s v="Ofaveolata027903"/>
    <n v="1.2651617799999999"/>
    <n v="4.1582286599999998"/>
    <s v="Direct"/>
    <s v="BTB/POZ domain"/>
  </r>
  <r>
    <x v="0"/>
    <x v="1"/>
    <s v="Ofaveolata027947"/>
    <n v="1.56681683"/>
    <n v="4.0646432199999998"/>
    <s v="Direct"/>
    <s v="calcium ion binding"/>
  </r>
  <r>
    <x v="0"/>
    <x v="1"/>
    <s v="Ofaveolata027956"/>
    <n v="2.2841562099999999"/>
    <n v="2.3257876999999998"/>
    <s v="Direct"/>
    <s v="hedgehog receptor activity"/>
  </r>
  <r>
    <x v="0"/>
    <x v="1"/>
    <s v="Ofaveolata027983"/>
    <n v="1.0818963500000001"/>
    <n v="1.87534983"/>
    <s v="Direct"/>
    <s v="Pyruvate formate lyase-like"/>
  </r>
  <r>
    <x v="0"/>
    <x v="1"/>
    <s v="Ofaveolata027984"/>
    <n v="3.0478281200000001"/>
    <n v="1.6353477000000001"/>
    <s v="Direct"/>
    <s v="Pyruvate formate lyase-like"/>
  </r>
  <r>
    <x v="0"/>
    <x v="1"/>
    <s v="Ofaveolata028034"/>
    <n v="-2.2336497"/>
    <n v="-1.0911943"/>
    <s v="Direct"/>
    <s v="NA"/>
  </r>
  <r>
    <x v="0"/>
    <x v="1"/>
    <s v="Ofaveolata028038"/>
    <n v="3.6347527500000001"/>
    <n v="4.3552023399999999"/>
    <s v="Direct"/>
    <s v="NA"/>
  </r>
  <r>
    <x v="0"/>
    <x v="1"/>
    <s v="Ofaveolata028042"/>
    <n v="3.3386568699999999"/>
    <n v="7.8452081400000004"/>
    <s v="Direct"/>
    <s v="NA"/>
  </r>
  <r>
    <x v="0"/>
    <x v="1"/>
    <s v="Ofaveolata028048"/>
    <n v="1.5670139300000001"/>
    <n v="3.2681800700000001"/>
    <s v="Direct"/>
    <s v="calcium ion transmembrane transport"/>
  </r>
  <r>
    <x v="0"/>
    <x v="1"/>
    <s v="Ofaveolata028056"/>
    <n v="2.7733463299999999"/>
    <n v="1.76607911"/>
    <s v="Direct"/>
    <s v="NA"/>
  </r>
  <r>
    <x v="0"/>
    <x v="1"/>
    <s v="Ofaveolata028098"/>
    <n v="-1.2521477000000001"/>
    <n v="-2.4420301000000002"/>
    <s v="Direct"/>
    <s v="NA"/>
  </r>
  <r>
    <x v="0"/>
    <x v="1"/>
    <s v="Ofaveolata028105"/>
    <n v="2.3731756900000001"/>
    <n v="8.8071990699999994"/>
    <s v="Direct"/>
    <s v="Belongs to the AB hydrolase superfamily. Lipase family"/>
  </r>
  <r>
    <x v="0"/>
    <x v="1"/>
    <s v="Ofaveolata028144"/>
    <n v="2.51725435"/>
    <n v="4.5499102599999999"/>
    <s v="Direct"/>
    <s v="NA"/>
  </r>
  <r>
    <x v="0"/>
    <x v="1"/>
    <s v="Ofaveolata028192"/>
    <n v="1.92535558"/>
    <n v="1.8657912400000001"/>
    <s v="Direct"/>
    <s v="NA"/>
  </r>
  <r>
    <x v="0"/>
    <x v="1"/>
    <s v="Ofaveolata028196"/>
    <n v="3.9921785999999999"/>
    <n v="5.0474444099999998"/>
    <s v="Direct"/>
    <s v="NA"/>
  </r>
  <r>
    <x v="0"/>
    <x v="1"/>
    <s v="Ofaveolata028204"/>
    <n v="1.4238173700000001"/>
    <n v="3.8824387599999999"/>
    <s v="Direct"/>
    <s v="NA"/>
  </r>
  <r>
    <x v="0"/>
    <x v="1"/>
    <s v="Ofaveolata028237"/>
    <n v="-1.1323472000000001"/>
    <n v="-2.6481029999999999"/>
    <s v="Direct"/>
    <s v="calcium ion-regulated exocytosis of neurotransmitter"/>
  </r>
  <r>
    <x v="0"/>
    <x v="1"/>
    <s v="Ofaveolata028245"/>
    <n v="-2.5936230999999998"/>
    <n v="-2.0197847000000002"/>
    <s v="Direct"/>
    <s v="NA"/>
  </r>
  <r>
    <x v="0"/>
    <x v="1"/>
    <s v="Ofaveolata028261"/>
    <n v="-1.6404747"/>
    <n v="-1.2021516000000001"/>
    <s v="Direct"/>
    <s v="La ribonucleoprotein domain family member 6"/>
  </r>
  <r>
    <x v="0"/>
    <x v="1"/>
    <s v="Ofaveolata028262"/>
    <n v="-5.8901811999999998"/>
    <n v="-6.4092659999999997"/>
    <s v="Direct"/>
    <s v="GRAM domain containing 1B"/>
  </r>
  <r>
    <x v="0"/>
    <x v="1"/>
    <s v="Ofaveolata028265"/>
    <n v="-2.1548389999999999"/>
    <n v="-4.0438513"/>
    <s v="Direct"/>
    <s v="Sodium/calcium exchanger protein"/>
  </r>
  <r>
    <x v="0"/>
    <x v="1"/>
    <s v="Ofaveolata028315"/>
    <n v="1.34955398"/>
    <n v="2.5554502399999999"/>
    <s v="Direct"/>
    <s v="regulation of Golgi inheritance"/>
  </r>
  <r>
    <x v="0"/>
    <x v="1"/>
    <s v="Ofaveolata028557"/>
    <n v="1.8687266199999999"/>
    <n v="1.4692627599999999"/>
    <s v="Direct"/>
    <s v="NA"/>
  </r>
  <r>
    <x v="0"/>
    <x v="1"/>
    <s v="Ofaveolata028558"/>
    <n v="-1.4185223"/>
    <n v="-2.0555998999999998"/>
    <s v="Direct"/>
    <s v="phosphorylase kinase regulator activity"/>
  </r>
  <r>
    <x v="0"/>
    <x v="1"/>
    <s v="Ofaveolata028588"/>
    <n v="-1.5670139000000001"/>
    <n v="-3.2154942000000002"/>
    <s v="Direct"/>
    <s v="NA"/>
  </r>
  <r>
    <x v="0"/>
    <x v="1"/>
    <s v="Ofaveolata028642"/>
    <n v="1.19523662"/>
    <n v="2.6703698299999998"/>
    <s v="Direct"/>
    <s v="NA"/>
  </r>
  <r>
    <x v="0"/>
    <x v="1"/>
    <s v="Ofaveolata028652"/>
    <n v="2.6480153"/>
    <n v="4.9183278100000001"/>
    <s v="Direct"/>
    <s v="regulation of nucleic acid-templated transcription"/>
  </r>
  <r>
    <x v="0"/>
    <x v="1"/>
    <s v="Ofaveolata028664"/>
    <n v="1.0232590500000001"/>
    <n v="3.2729694500000002"/>
    <s v="Direct"/>
    <s v="negative regulation of smooth muscle cell differentiation"/>
  </r>
  <r>
    <x v="0"/>
    <x v="1"/>
    <s v="Ofaveolata028667"/>
    <n v="1.30334957"/>
    <n v="3.0699064800000002"/>
    <s v="Direct"/>
    <s v="negative regulation of smooth muscle cell differentiation"/>
  </r>
  <r>
    <x v="0"/>
    <x v="1"/>
    <s v="Ofaveolata028682"/>
    <n v="1.7863580299999999"/>
    <n v="3.2190616300000001"/>
    <s v="Direct"/>
    <s v="NA"/>
  </r>
  <r>
    <x v="0"/>
    <x v="1"/>
    <s v="Ofaveolata028711"/>
    <n v="1.86052141"/>
    <n v="3.69868445"/>
    <s v="Direct"/>
    <s v="structural molecule activity"/>
  </r>
  <r>
    <x v="0"/>
    <x v="1"/>
    <s v="Ofaveolata028756"/>
    <n v="1.00642458"/>
    <n v="4.7766769800000004"/>
    <s v="Direct"/>
    <s v="Ribosomal protein S11"/>
  </r>
  <r>
    <x v="0"/>
    <x v="1"/>
    <s v="Ofaveolata028758"/>
    <n v="1.1701967200000001"/>
    <n v="1.62588271"/>
    <s v="Direct"/>
    <s v="NA"/>
  </r>
  <r>
    <x v="0"/>
    <x v="1"/>
    <s v="Ofaveolata028767"/>
    <n v="1.69048708"/>
    <n v="6.6770440799999999"/>
    <s v="Direct"/>
    <s v="PPIases accelerate the folding of proteins. It catalyzes the cis-trans isomerization of proline imidic peptide bonds in oligopeptides"/>
  </r>
  <r>
    <x v="0"/>
    <x v="1"/>
    <s v="Ofaveolata028817"/>
    <n v="2.1943288399999998"/>
    <n v="2.2310969300000001"/>
    <s v="Direct"/>
    <s v="regulation of embryonic development"/>
  </r>
  <r>
    <x v="0"/>
    <x v="1"/>
    <s v="Ofaveolata028846"/>
    <n v="1.26184137"/>
    <n v="2.8139370499999998"/>
    <s v="Direct"/>
    <s v="NA"/>
  </r>
  <r>
    <x v="0"/>
    <x v="1"/>
    <s v="Ofaveolata028935"/>
    <n v="-1.0192749000000001"/>
    <n v="-1.1781406000000001"/>
    <s v="Direct"/>
    <s v="Alpha beta hydrolase domain-containing protein"/>
  </r>
  <r>
    <x v="0"/>
    <x v="1"/>
    <s v="Ofaveolata029048"/>
    <n v="1.33671074"/>
    <n v="1.6088015499999999"/>
    <s v="Direct"/>
    <s v="NA"/>
  </r>
  <r>
    <x v="0"/>
    <x v="1"/>
    <s v="Ofaveolata029155"/>
    <n v="1.14598248"/>
    <n v="2.8229768800000001"/>
    <s v="Direct"/>
    <s v="NA"/>
  </r>
  <r>
    <x v="0"/>
    <x v="1"/>
    <s v="Ofaveolata029189"/>
    <n v="-1.5058889"/>
    <n v="-2.2160335"/>
    <s v="Direct"/>
    <s v="betaine-homocysteine S-methyltransferase activity"/>
  </r>
  <r>
    <x v="0"/>
    <x v="1"/>
    <s v="Ofaveolata029192"/>
    <n v="1.04822887"/>
    <n v="2.0861814500000002"/>
    <s v="Direct"/>
    <s v="MAC/Perforin domain"/>
  </r>
  <r>
    <x v="0"/>
    <x v="1"/>
    <s v="Ofaveolata029199"/>
    <n v="-2.8586285999999999"/>
    <n v="-3.5080391"/>
    <s v="Direct"/>
    <s v="NA"/>
  </r>
  <r>
    <x v="0"/>
    <x v="1"/>
    <s v="Ofaveolata029215"/>
    <n v="-2.6664911999999998"/>
    <n v="-1.8879847000000001"/>
    <s v="Direct"/>
    <s v="NA"/>
  </r>
  <r>
    <x v="0"/>
    <x v="1"/>
    <s v="Ofaveolata029232"/>
    <n v="-1.6953526000000001"/>
    <n v="-1.0275793"/>
    <s v="Direct"/>
    <s v="NA"/>
  </r>
  <r>
    <x v="0"/>
    <x v="1"/>
    <s v="Ofaveolata029294"/>
    <n v="-2.9834071"/>
    <n v="-5.7094521"/>
    <s v="Direct"/>
    <s v="Belongs to the oxygen-dependent FAD-linked oxidoreductase family"/>
  </r>
  <r>
    <x v="0"/>
    <x v="1"/>
    <s v="Ofaveolata029295"/>
    <n v="-1.5799038999999999"/>
    <n v="-2.8055021999999998"/>
    <s v="Direct"/>
    <s v="NA"/>
  </r>
  <r>
    <x v="0"/>
    <x v="1"/>
    <s v="Ofaveolata029301"/>
    <n v="1.84933061"/>
    <n v="2.9711570900000002"/>
    <s v="Direct"/>
    <s v="NA"/>
  </r>
  <r>
    <x v="0"/>
    <x v="1"/>
    <s v="Ofaveolata029344"/>
    <n v="1.71919065"/>
    <n v="4.6044711899999999"/>
    <s v="Direct"/>
    <s v="Excises uracil residues from the DNA which can arise as a result of misincorporation of dUMP residues by DNA polymerase or due to deamination of cytosine"/>
  </r>
  <r>
    <x v="0"/>
    <x v="1"/>
    <s v="Ofaveolata029346"/>
    <n v="1.0554777200000001"/>
    <n v="1.16745118"/>
    <s v="Direct"/>
    <s v="Excises uracil residues from the DNA which can arise as a result of misincorporation of dUMP residues by DNA polymerase or due to deamination of cytosine"/>
  </r>
  <r>
    <x v="0"/>
    <x v="1"/>
    <s v="Ofaveolata029375"/>
    <n v="-1.3572565999999999"/>
    <n v="-1.3901956"/>
    <s v="Direct"/>
    <s v="NA"/>
  </r>
  <r>
    <x v="0"/>
    <x v="1"/>
    <s v="Ofaveolata029391"/>
    <n v="-1.1061772999999999"/>
    <n v="-3.7798129"/>
    <s v="Direct"/>
    <s v="G-protein coupled receptor activity"/>
  </r>
  <r>
    <x v="0"/>
    <x v="1"/>
    <s v="Ofaveolata029443"/>
    <n v="-2.1392283999999999"/>
    <n v="-1.4893128"/>
    <s v="Direct"/>
    <s v="NA"/>
  </r>
  <r>
    <x v="0"/>
    <x v="1"/>
    <s v="Ofaveolata029478"/>
    <n v="1.0127523300000001"/>
    <n v="1.8439832300000001"/>
    <s v="Direct"/>
    <s v="EGF domain-specific O-linked N-acetylglucosamine"/>
  </r>
  <r>
    <x v="0"/>
    <x v="1"/>
    <s v="Ofaveolata029493"/>
    <n v="-1.2230007000000001"/>
    <n v="-4.9403055"/>
    <s v="Direct"/>
    <s v="E3 ubiquitin-protein ligase"/>
  </r>
  <r>
    <x v="0"/>
    <x v="1"/>
    <s v="Ofaveolata029515"/>
    <n v="-1.2070973"/>
    <n v="-1.2152938"/>
    <s v="Direct"/>
    <s v="NA"/>
  </r>
  <r>
    <x v="0"/>
    <x v="1"/>
    <s v="Ofaveolata029557"/>
    <n v="-1.3941922"/>
    <n v="-2.2297308999999998"/>
    <s v="Direct"/>
    <s v="Heparan-alpha-glucosaminide N-acetyltransferase"/>
  </r>
  <r>
    <x v="0"/>
    <x v="1"/>
    <s v="Ofaveolata029562"/>
    <n v="-1.6312433"/>
    <n v="-1.4706471000000001"/>
    <s v="Direct"/>
    <s v="NA"/>
  </r>
  <r>
    <x v="0"/>
    <x v="1"/>
    <s v="Ofaveolata029586"/>
    <n v="1.99757732"/>
    <n v="2.9875431400000001"/>
    <s v="Direct"/>
    <s v="endodermal-mesodermal cell signaling"/>
  </r>
  <r>
    <x v="0"/>
    <x v="1"/>
    <s v="Ofaveolata029600"/>
    <n v="1.6335308900000001"/>
    <n v="1.82696356"/>
    <s v="Direct"/>
    <s v="NA"/>
  </r>
  <r>
    <x v="0"/>
    <x v="1"/>
    <s v="Ofaveolata029612"/>
    <n v="1.05729447"/>
    <n v="3.69073216"/>
    <s v="Direct"/>
    <s v="NA"/>
  </r>
  <r>
    <x v="0"/>
    <x v="1"/>
    <s v="Ofaveolata029633"/>
    <n v="5.0187003900000002"/>
    <n v="6.2824340400000001"/>
    <s v="Direct"/>
    <s v="Flavin-binding monooxygenase-like"/>
  </r>
  <r>
    <x v="0"/>
    <x v="1"/>
    <s v="Ofaveolata029635"/>
    <n v="2.86829789"/>
    <n v="8.1104901399999996"/>
    <s v="Direct"/>
    <s v="Flavin-binding monooxygenase-like"/>
  </r>
  <r>
    <x v="0"/>
    <x v="1"/>
    <s v="Ofaveolata029652"/>
    <n v="3.08642035"/>
    <n v="6.75615319"/>
    <s v="Direct"/>
    <s v="NA"/>
  </r>
  <r>
    <x v="0"/>
    <x v="1"/>
    <s v="Ofaveolata029695"/>
    <n v="-3.2676685999999999"/>
    <n v="-1.7985959"/>
    <s v="Direct"/>
    <s v="Ribosomal protein S16"/>
  </r>
  <r>
    <x v="0"/>
    <x v="1"/>
    <s v="Ofaveolata029700"/>
    <n v="1.7532481"/>
    <n v="2.7484403500000001"/>
    <s v="Direct"/>
    <s v="serotonin receptor activity"/>
  </r>
  <r>
    <x v="0"/>
    <x v="1"/>
    <s v="Ofaveolata029732"/>
    <n v="-1.5127782999999999"/>
    <n v="-4.7291112999999996"/>
    <s v="Direct"/>
    <s v="Responsible for the deiodination of T4 (3,5,3',5'- tetraiodothyronine)"/>
  </r>
  <r>
    <x v="0"/>
    <x v="1"/>
    <s v="Ofaveolata029735"/>
    <n v="1.0221690400000001"/>
    <n v="2.7405703400000001"/>
    <s v="Direct"/>
    <s v="Deiodinase, iodothyronine, type I"/>
  </r>
  <r>
    <x v="0"/>
    <x v="1"/>
    <s v="Ofaveolata029739"/>
    <n v="1.1309832799999999"/>
    <n v="2.0021857999999999"/>
    <s v="Direct"/>
    <s v="NA"/>
  </r>
  <r>
    <x v="0"/>
    <x v="1"/>
    <s v="Ofaveolata029755"/>
    <n v="-2.5236049999999999"/>
    <n v="-1.2613972"/>
    <s v="Direct"/>
    <s v="Peptidase M16 inactive domain"/>
  </r>
  <r>
    <x v="0"/>
    <x v="1"/>
    <s v="Ofaveolata029766"/>
    <n v="3.7069266500000002"/>
    <n v="4.64463765"/>
    <s v="Direct"/>
    <s v="NA"/>
  </r>
  <r>
    <x v="0"/>
    <x v="1"/>
    <s v="Ofaveolata029768"/>
    <n v="1.03013113"/>
    <n v="1.90344804"/>
    <s v="Direct"/>
    <s v="calcium ion binding"/>
  </r>
  <r>
    <x v="0"/>
    <x v="1"/>
    <s v="Ofaveolata029811"/>
    <n v="-1.0026086000000001"/>
    <n v="-1.1509092999999999"/>
    <s v="Direct"/>
    <s v="NA"/>
  </r>
  <r>
    <x v="0"/>
    <x v="1"/>
    <s v="Ofaveolata029819"/>
    <n v="-1.0563716999999999"/>
    <n v="-1.5668342"/>
    <s v="Direct"/>
    <s v="coreceptor activity involved in Wnt signaling pathway, planar cell polarity pathway"/>
  </r>
  <r>
    <x v="0"/>
    <x v="1"/>
    <s v="Ofaveolata029851"/>
    <n v="1.5127782700000001"/>
    <n v="2.13782782"/>
    <s v="Direct"/>
    <s v="Lim homeobox"/>
  </r>
  <r>
    <x v="0"/>
    <x v="1"/>
    <s v="Ofaveolata029853"/>
    <n v="1.29956973"/>
    <n v="2.2395808499999998"/>
    <s v="Direct"/>
    <s v="NA"/>
  </r>
  <r>
    <x v="0"/>
    <x v="1"/>
    <s v="Ofaveolata029881"/>
    <n v="1.4185223300000001"/>
    <n v="1.2926421699999999"/>
    <s v="Direct"/>
    <s v="collagen"/>
  </r>
  <r>
    <x v="0"/>
    <x v="1"/>
    <s v="Ofaveolata029897"/>
    <n v="-1.9018820000000001"/>
    <n v="-5.7470813999999999"/>
    <s v="Direct"/>
    <s v="UDP-glucoronosyl and UDP-glucosyl transferase"/>
  </r>
  <r>
    <x v="0"/>
    <x v="1"/>
    <s v="Ofaveolata029911"/>
    <n v="1.1069429200000001"/>
    <n v="1.4559858000000001"/>
    <s v="Direct"/>
    <s v="Alcohol dehydrogenase GroES-like domain"/>
  </r>
  <r>
    <x v="0"/>
    <x v="1"/>
    <s v="Ofaveolata029955"/>
    <n v="-1.2747142"/>
    <n v="-5.5884432000000004"/>
    <s v="Direct"/>
    <s v="negative regulation of cellular response to hepatocyte growth factor stimulus"/>
  </r>
  <r>
    <x v="0"/>
    <x v="1"/>
    <s v="Ofaveolata029965"/>
    <n v="-1.2765624"/>
    <n v="-4.2041753999999996"/>
    <s v="Direct"/>
    <s v="NA"/>
  </r>
  <r>
    <x v="0"/>
    <x v="1"/>
    <s v="Ofaveolata029971"/>
    <n v="-1.3099007"/>
    <n v="-2.720002"/>
    <s v="Direct"/>
    <s v="NA"/>
  </r>
  <r>
    <x v="0"/>
    <x v="1"/>
    <s v="Ofaveolata030005"/>
    <n v="1.3572566100000001"/>
    <n v="8.3299881800000009"/>
    <s v="Direct"/>
    <s v="NA"/>
  </r>
  <r>
    <x v="0"/>
    <x v="1"/>
    <s v="Ofaveolata030026"/>
    <n v="1.4359601399999999"/>
    <n v="4.3303526899999998"/>
    <s v="Direct"/>
    <s v="NA"/>
  </r>
  <r>
    <x v="0"/>
    <x v="1"/>
    <s v="Ofaveolata030061"/>
    <n v="-1.4862375999999999"/>
    <n v="-1.3598896"/>
    <s v="Direct"/>
    <s v="NA"/>
  </r>
  <r>
    <x v="0"/>
    <x v="1"/>
    <s v="Ofaveolata030081"/>
    <n v="-2.0631309999999998"/>
    <n v="-5.3152720999999996"/>
    <s v="Direct"/>
    <s v="NA"/>
  </r>
  <r>
    <x v="0"/>
    <x v="1"/>
    <s v="Ofaveolata030090"/>
    <n v="1.04511811"/>
    <n v="5.7076246199999998"/>
    <s v="Direct"/>
    <s v="haloacid dehalogenase-like hydrolase"/>
  </r>
  <r>
    <x v="0"/>
    <x v="1"/>
    <s v="Ofaveolata030135"/>
    <n v="-1.2795563000000001"/>
    <n v="-1.1416647"/>
    <s v="Direct"/>
    <s v="Sorting nexin 13"/>
  </r>
  <r>
    <x v="0"/>
    <x v="1"/>
    <s v="Ofaveolata030147"/>
    <n v="-1.3407686000000001"/>
    <n v="-2.3492609"/>
    <s v="Direct"/>
    <s v="NA"/>
  </r>
  <r>
    <x v="0"/>
    <x v="1"/>
    <s v="Ofaveolata030157"/>
    <n v="-1.0888654"/>
    <n v="-1.350328"/>
    <s v="Direct"/>
    <s v="NA"/>
  </r>
  <r>
    <x v="0"/>
    <x v="1"/>
    <s v="Ofaveolata030187"/>
    <n v="1.63843009"/>
    <n v="3.8430436000000001"/>
    <s v="Direct"/>
    <s v="NA"/>
  </r>
  <r>
    <x v="0"/>
    <x v="1"/>
    <s v="Ofaveolata030198"/>
    <n v="2.0806094900000001"/>
    <n v="2.6095042899999998"/>
    <s v="Direct"/>
    <s v="NA"/>
  </r>
  <r>
    <x v="0"/>
    <x v="1"/>
    <s v="Ofaveolata030237"/>
    <n v="2.51725435"/>
    <n v="3.4235467800000001"/>
    <s v="Direct"/>
    <s v="xylosyltransferase activity"/>
  </r>
  <r>
    <x v="0"/>
    <x v="1"/>
    <s v="Ofaveolata030275"/>
    <n v="-1.106905"/>
    <n v="-2.0807392999999998"/>
    <s v="Direct"/>
    <s v="Asp (abnormal spindle)-like, microcephaly associated (Drosophila)"/>
  </r>
  <r>
    <x v="0"/>
    <x v="1"/>
    <s v="Ofaveolata030278"/>
    <n v="3.1919053399999999"/>
    <n v="3.5924444699999998"/>
    <s v="Direct"/>
    <s v="Catalyzes conversion of folates to polyglutamate derivatives allowing concentration of folate compounds in the cell and the intracellular retention of these cofactors, which are important substrates for most of the folate-dependent enzymes that are involv"/>
  </r>
  <r>
    <x v="0"/>
    <x v="1"/>
    <s v="Ofaveolata030316"/>
    <n v="-4.0970491000000004"/>
    <n v="-2.5054444999999999"/>
    <s v="Direct"/>
    <s v="NA"/>
  </r>
  <r>
    <x v="0"/>
    <x v="1"/>
    <s v="Ofaveolata030323"/>
    <n v="-1.2253156000000001"/>
    <n v="-1.1319178000000001"/>
    <s v="Direct"/>
    <s v="NA"/>
  </r>
  <r>
    <x v="0"/>
    <x v="1"/>
    <s v="Ofaveolata030350"/>
    <n v="3.0820901100000002"/>
    <n v="2.32144284"/>
    <s v="Direct"/>
    <s v="TBC1 domain family member"/>
  </r>
  <r>
    <x v="0"/>
    <x v="1"/>
    <s v="Ofaveolata030358"/>
    <n v="-2.2336497"/>
    <n v="-6.1270543000000002"/>
    <s v="Direct"/>
    <s v="NA"/>
  </r>
  <r>
    <x v="0"/>
    <x v="1"/>
    <s v="Ofaveolata030368"/>
    <n v="1.59448021"/>
    <n v="2.2256457599999999"/>
    <s v="Direct"/>
    <s v="queuine tRNA-ribosyltransferase activity"/>
  </r>
  <r>
    <x v="0"/>
    <x v="1"/>
    <s v="Ofaveolata030398"/>
    <n v="2.8651066300000001"/>
    <n v="11.3760157"/>
    <s v="Direct"/>
    <s v="NA"/>
  </r>
  <r>
    <x v="0"/>
    <x v="1"/>
    <s v="Ofaveolata030399"/>
    <n v="2.55674329"/>
    <n v="1.68319277"/>
    <s v="Direct"/>
    <s v="NA"/>
  </r>
  <r>
    <x v="0"/>
    <x v="1"/>
    <s v="Ofaveolata030436"/>
    <n v="1.05424092"/>
    <n v="2.4131492699999999"/>
    <s v="Direct"/>
    <s v="Rho guanine nucleotide exchange factor"/>
  </r>
  <r>
    <x v="0"/>
    <x v="1"/>
    <s v="Ofaveolata030445"/>
    <n v="2.06603256"/>
    <n v="1.80493511"/>
    <s v="Direct"/>
    <s v="histone H3-S10 phosphorylation involved in chromosome condensation"/>
  </r>
  <r>
    <x v="0"/>
    <x v="1"/>
    <s v="Ofaveolata030446"/>
    <n v="1.0587641299999999"/>
    <n v="2.8703227600000001"/>
    <s v="Direct"/>
    <s v="voltage-gated anion channel activity"/>
  </r>
  <r>
    <x v="0"/>
    <x v="1"/>
    <s v="Ofaveolata030474"/>
    <n v="-1.3954082000000001"/>
    <n v="-2.5782254"/>
    <s v="Direct"/>
    <s v="protein kinase activity"/>
  </r>
  <r>
    <x v="0"/>
    <x v="1"/>
    <s v="Ofaveolata030484"/>
    <n v="1.3906998399999999"/>
    <n v="6.9424189099999998"/>
    <s v="Direct"/>
    <s v="ligand-gated sodium channel activity"/>
  </r>
  <r>
    <x v="0"/>
    <x v="1"/>
    <s v="Ofaveolata030493"/>
    <n v="-4.3632255999999998"/>
    <n v="-4.2382197000000001"/>
    <s v="Direct"/>
    <s v="Formyl transferase, C-terminal domain"/>
  </r>
  <r>
    <x v="0"/>
    <x v="1"/>
    <s v="Ofaveolata030502"/>
    <n v="-1.6905422000000001"/>
    <n v="-1.5492026999999999"/>
    <s v="Direct"/>
    <s v="G-protein gamma-subunit binding"/>
  </r>
  <r>
    <x v="0"/>
    <x v="1"/>
    <s v="Ofaveolata030532"/>
    <n v="-2.0996864"/>
    <n v="-10.352499999999999"/>
    <s v="Direct"/>
    <s v="Zona pellucida-like domain"/>
  </r>
  <r>
    <x v="0"/>
    <x v="1"/>
    <s v="Ofaveolata030646"/>
    <n v="1.0009172200000001"/>
    <n v="1.97612382"/>
    <s v="Direct"/>
    <s v="NA"/>
  </r>
  <r>
    <x v="0"/>
    <x v="1"/>
    <s v="Ofaveolata030656"/>
    <n v="4.0247528299999997"/>
    <n v="9.7481093300000001"/>
    <s v="Direct"/>
    <s v="Crystallin, zeta (quinone reductase)"/>
  </r>
  <r>
    <x v="0"/>
    <x v="1"/>
    <s v="Ofaveolata030677"/>
    <n v="1.34076861"/>
    <n v="2.98168218"/>
    <s v="Direct"/>
    <s v="proximal promoter DNA-binding transcription activator activity, RNA polymerase II-specific"/>
  </r>
  <r>
    <x v="0"/>
    <x v="1"/>
    <s v="Ofaveolata030678"/>
    <n v="1.8735169599999999"/>
    <n v="13.308389999999999"/>
    <s v="Direct"/>
    <s v="Protein odr-4 homolog"/>
  </r>
  <r>
    <x v="0"/>
    <x v="1"/>
    <s v="Ofaveolata030702"/>
    <n v="-1.5041909"/>
    <n v="-2.1568105000000002"/>
    <s v="Direct"/>
    <s v="neurotransmitter:sodium symporter activity"/>
  </r>
  <r>
    <x v="0"/>
    <x v="1"/>
    <s v="Ofaveolata030703"/>
    <n v="1.0511442600000001"/>
    <n v="2.3967147500000001"/>
    <s v="Direct"/>
    <s v="NA"/>
  </r>
  <r>
    <x v="0"/>
    <x v="1"/>
    <s v="Ofaveolata030708"/>
    <n v="1.96104148"/>
    <n v="3.8430436000000001"/>
    <s v="Direct"/>
    <s v="CUB and zona pellucida-like domain-containing protein"/>
  </r>
  <r>
    <x v="0"/>
    <x v="1"/>
    <s v="Ofaveolata030722"/>
    <n v="1.1964494299999999"/>
    <n v="1.8951125099999999"/>
    <s v="Direct"/>
    <s v="NA"/>
  </r>
  <r>
    <x v="0"/>
    <x v="1"/>
    <s v="Ofaveolata030807"/>
    <n v="2.1095483100000001"/>
    <n v="5.2220570500000001"/>
    <s v="Direct"/>
    <s v="phospholipase domain containing 6"/>
  </r>
  <r>
    <x v="0"/>
    <x v="1"/>
    <s v="Ofaveolata030814"/>
    <n v="-1.2405382"/>
    <n v="-3.1258811999999998"/>
    <s v="Direct"/>
    <s v="NA"/>
  </r>
  <r>
    <x v="0"/>
    <x v="1"/>
    <s v="Ofaveolata030882"/>
    <n v="1.3430784499999999"/>
    <n v="2.2913369000000001"/>
    <s v="Direct"/>
    <s v="NA"/>
  </r>
  <r>
    <x v="0"/>
    <x v="1"/>
    <s v="Ofaveolata030885"/>
    <n v="-1.1701967"/>
    <n v="-1.4950843"/>
    <s v="Direct"/>
    <s v="Protein rolling stone-like"/>
  </r>
  <r>
    <x v="0"/>
    <x v="1"/>
    <s v="Ofaveolata030899"/>
    <n v="-1.5228092"/>
    <n v="-6.6630839000000002"/>
    <s v="Direct"/>
    <s v="NA"/>
  </r>
  <r>
    <x v="0"/>
    <x v="1"/>
    <s v="Ofaveolata030902"/>
    <n v="-1.051863"/>
    <n v="-10.009833"/>
    <s v="Direct"/>
    <s v="Belongs to the peptidase S8 family"/>
  </r>
  <r>
    <x v="0"/>
    <x v="1"/>
    <s v="Ofaveolata030905"/>
    <n v="-1.7651686"/>
    <n v="-9.5935436000000003"/>
    <s v="Direct"/>
    <s v="coreceptor activity involved in Wnt signaling pathway, planar cell polarity pathway"/>
  </r>
  <r>
    <x v="0"/>
    <x v="1"/>
    <s v="Ofaveolata030906"/>
    <n v="-1.7408729999999999"/>
    <n v="-10.909803"/>
    <s v="Direct"/>
    <s v="positive regulation of smooth muscle cell-matrix adhesion"/>
  </r>
  <r>
    <x v="0"/>
    <x v="1"/>
    <s v="Ofaveolata030934"/>
    <n v="-1.0764373"/>
    <n v="-4.9379089"/>
    <s v="Direct"/>
    <s v="NA"/>
  </r>
  <r>
    <x v="0"/>
    <x v="1"/>
    <s v="Ofaveolata030970"/>
    <n v="2.7733463299999999"/>
    <n v="1.2284975199999999"/>
    <s v="Direct"/>
    <s v="RNA binding motif protein"/>
  </r>
  <r>
    <x v="0"/>
    <x v="1"/>
    <s v="Ofaveolata030977"/>
    <n v="-1.2940543"/>
    <n v="-1.846662"/>
    <s v="Direct"/>
    <s v="MAP kinase activity"/>
  </r>
  <r>
    <x v="0"/>
    <x v="1"/>
    <s v="Ofaveolata030986"/>
    <n v="1.8705547600000001"/>
    <n v="2.06942972"/>
    <s v="Direct"/>
    <s v="fibroblast growth factor-activated receptor activity"/>
  </r>
  <r>
    <x v="0"/>
    <x v="1"/>
    <s v="Ofaveolata030991"/>
    <n v="-1.2180801999999999"/>
    <n v="-11.808094000000001"/>
    <s v="Direct"/>
    <s v="coreceptor activity involved in Wnt signaling pathway, planar cell polarity pathway"/>
  </r>
  <r>
    <x v="0"/>
    <x v="1"/>
    <s v="Ofaveolata031012"/>
    <n v="-1.2582222999999999"/>
    <n v="-2.0213223"/>
    <s v="Direct"/>
    <s v="NA"/>
  </r>
  <r>
    <x v="0"/>
    <x v="1"/>
    <s v="Ofaveolata031066"/>
    <n v="1.2795563299999999"/>
    <n v="1.6227561399999999"/>
    <s v="Direct"/>
    <s v="rRNA base methylation"/>
  </r>
  <r>
    <x v="0"/>
    <x v="1"/>
    <s v="Ofaveolata031080"/>
    <n v="1.41041064"/>
    <n v="-2.3828998000000001"/>
    <s v="Inverse"/>
    <s v="fibroblast growth factor-activated receptor activity"/>
  </r>
  <r>
    <x v="0"/>
    <x v="1"/>
    <s v="Ofaveolata031168"/>
    <n v="1.1050749799999999"/>
    <n v="2.0873363500000002"/>
    <s v="Direct"/>
    <s v="serine-type endopeptidase activity"/>
  </r>
  <r>
    <x v="0"/>
    <x v="1"/>
    <s v="Ofaveolata031179"/>
    <n v="-1.0552143"/>
    <n v="-1.1967753000000001"/>
    <s v="Direct"/>
    <s v="carbohydrate binding"/>
  </r>
  <r>
    <x v="0"/>
    <x v="1"/>
    <s v="Ofaveolata031202"/>
    <n v="1.9577126300000001"/>
    <n v="7.8901711399999996"/>
    <s v="Direct"/>
    <s v="NA"/>
  </r>
  <r>
    <x v="0"/>
    <x v="1"/>
    <s v="Ofaveolata031269"/>
    <n v="1.1914062999999999"/>
    <n v="3.8343595399999999"/>
    <s v="Direct"/>
    <s v="calmodulin-dependent protein kinase activity"/>
  </r>
  <r>
    <x v="0"/>
    <x v="1"/>
    <s v="Ofaveolata031334"/>
    <n v="4.0970490599999998"/>
    <n v="14.610932099999999"/>
    <s v="Direct"/>
    <s v="Common central domain of tyrosinase"/>
  </r>
  <r>
    <x v="0"/>
    <x v="1"/>
    <s v="Ofaveolata031343"/>
    <n v="2.1392284300000002"/>
    <n v="2.0204805600000002"/>
    <s v="Direct"/>
    <s v="NA"/>
  </r>
  <r>
    <x v="0"/>
    <x v="1"/>
    <s v="Ofaveolata031366"/>
    <n v="1.22406367"/>
    <n v="-1.5630975"/>
    <s v="Inverse"/>
    <s v="Sea anemone cytotoxic protein"/>
  </r>
  <r>
    <x v="0"/>
    <x v="1"/>
    <s v="Ofaveolata031416"/>
    <n v="1.53664651"/>
    <n v="-2.2385885999999999"/>
    <s v="Inverse"/>
    <s v="Sea anemone cytotoxic protein"/>
  </r>
  <r>
    <x v="0"/>
    <x v="1"/>
    <s v="Ofaveolata031462"/>
    <n v="1.1069429200000001"/>
    <n v="1.73008929"/>
    <s v="Direct"/>
    <s v="Solute carrier family 35 (UDP-galactose transporter), member A2"/>
  </r>
  <r>
    <x v="0"/>
    <x v="1"/>
    <s v="Ofaveolata031467"/>
    <n v="3.7828983599999999"/>
    <n v="15.6072869"/>
    <s v="Direct"/>
    <s v="NA"/>
  </r>
  <r>
    <x v="0"/>
    <x v="1"/>
    <s v="Ofaveolata031469"/>
    <n v="2.8651066300000001"/>
    <n v="10.309813500000001"/>
    <s v="Direct"/>
    <s v="DBH-like monooxygenase protein 1"/>
  </r>
  <r>
    <x v="0"/>
    <x v="1"/>
    <s v="Ofaveolata031470"/>
    <n v="-1.0890253000000001"/>
    <n v="-5.1775706000000001"/>
    <s v="Direct"/>
    <s v="DBH-like monooxygenase protein 1"/>
  </r>
  <r>
    <x v="0"/>
    <x v="1"/>
    <s v="Ofaveolata031492"/>
    <n v="-1.6509801"/>
    <n v="-1.8433326000000001"/>
    <s v="Direct"/>
    <s v="NA"/>
  </r>
  <r>
    <x v="0"/>
    <x v="1"/>
    <s v="Ofaveolata031493"/>
    <n v="-1.1562060000000001"/>
    <n v="-8.0453641000000005"/>
    <s v="Direct"/>
    <s v="Belongs to the peptidase S8 family"/>
  </r>
  <r>
    <x v="0"/>
    <x v="1"/>
    <s v="Ofaveolata031522"/>
    <n v="-1.6420326999999999"/>
    <n v="-1.8120700999999999"/>
    <s v="Direct"/>
    <s v="NA"/>
  </r>
  <r>
    <x v="0"/>
    <x v="1"/>
    <s v="Ofaveolata031524"/>
    <n v="-1.0366329999999999"/>
    <n v="-3.2942667000000001"/>
    <s v="Direct"/>
    <s v="NA"/>
  </r>
  <r>
    <x v="0"/>
    <x v="1"/>
    <s v="Ofaveolata031533"/>
    <n v="1.59892751"/>
    <n v="1.3300149400000001"/>
    <s v="Direct"/>
    <s v="NA"/>
  </r>
  <r>
    <x v="0"/>
    <x v="1"/>
    <s v="Ofaveolata031601"/>
    <n v="1.6962735900000001"/>
    <n v="4.0620857099999998"/>
    <s v="Direct"/>
    <s v="NA"/>
  </r>
  <r>
    <x v="0"/>
    <x v="1"/>
    <s v="Ofaveolata031610"/>
    <n v="1.9289059799999999"/>
    <n v="4.0798884900000001"/>
    <s v="Direct"/>
    <s v="NA"/>
  </r>
  <r>
    <x v="0"/>
    <x v="1"/>
    <s v="Ofaveolata031620"/>
    <n v="-1.4238173999999999"/>
    <n v="-1.7415122999999999"/>
    <s v="Direct"/>
    <s v="NA"/>
  </r>
  <r>
    <x v="0"/>
    <x v="1"/>
    <s v="Ofaveolata031623"/>
    <n v="2.6480153"/>
    <n v="1.01985148"/>
    <s v="Direct"/>
    <s v="NA"/>
  </r>
  <r>
    <x v="0"/>
    <x v="1"/>
    <s v="Ofaveolata031628"/>
    <n v="1.04822887"/>
    <n v="1.9483951900000001"/>
    <s v="Direct"/>
    <s v="NA"/>
  </r>
  <r>
    <x v="0"/>
    <x v="1"/>
    <s v="Ofaveolata031672"/>
    <n v="1.82940758"/>
    <n v="2.5293713200000001"/>
    <s v="Direct"/>
    <s v="amine sulfotransferase activity"/>
  </r>
  <r>
    <x v="0"/>
    <x v="1"/>
    <s v="Ofaveolata031686"/>
    <n v="4.78140711"/>
    <n v="6.3422461500000002"/>
    <s v="Direct"/>
    <s v="ADP-ribosylglycohydrolase"/>
  </r>
  <r>
    <x v="0"/>
    <x v="1"/>
    <s v="Ofaveolata031688"/>
    <n v="-2.3731757"/>
    <n v="-5.3934479"/>
    <s v="Direct"/>
    <s v="ADP-ribosylglycohydrolase"/>
  </r>
  <r>
    <x v="0"/>
    <x v="1"/>
    <s v="Ofaveolata031713"/>
    <n v="-2.3663596"/>
    <n v="-1.6460851000000001"/>
    <s v="Direct"/>
    <s v="Protein rolling stone-like"/>
  </r>
  <r>
    <x v="0"/>
    <x v="1"/>
    <s v="Ofaveolata031733"/>
    <n v="5.3959248799999999"/>
    <n v="12.0740368"/>
    <s v="Direct"/>
    <s v="NA"/>
  </r>
  <r>
    <x v="0"/>
    <x v="1"/>
    <s v="Ofaveolata031737"/>
    <n v="2.7659941099999998"/>
    <n v="3.911044"/>
    <s v="Direct"/>
    <s v="NA"/>
  </r>
  <r>
    <x v="0"/>
    <x v="1"/>
    <s v="Ofaveolata031772"/>
    <n v="-1.3796208000000001"/>
    <n v="-2.2253365000000001"/>
    <s v="Direct"/>
    <s v="orotate phosphoribosyltransferase activity"/>
  </r>
  <r>
    <x v="0"/>
    <x v="1"/>
    <s v="Ofaveolata031868"/>
    <n v="2.8865291200000001"/>
    <n v="10.7565496"/>
    <s v="Direct"/>
    <s v="NA"/>
  </r>
  <r>
    <x v="0"/>
    <x v="1"/>
    <s v="Ofaveolata031921"/>
    <n v="-1.1044783"/>
    <n v="-7.8292785"/>
    <s v="Direct"/>
    <s v="dol-P-Man:Man(7)GlcNAc(2)-PP-Dol alpha-1,6-mannosyltransferase activity"/>
  </r>
  <r>
    <x v="0"/>
    <x v="1"/>
    <s v="Ofaveolata031936"/>
    <n v="-1.2636270000000001"/>
    <n v="1.4531974400000001"/>
    <s v="Inverse"/>
    <s v="calcium ion transport"/>
  </r>
  <r>
    <x v="0"/>
    <x v="1"/>
    <s v="Ofaveolata031950"/>
    <n v="-1.0614231999999999"/>
    <n v="-1.4404838"/>
    <s v="Direct"/>
    <s v="DBD domain binding"/>
  </r>
  <r>
    <x v="0"/>
    <x v="1"/>
    <s v="Ofaveolata031958"/>
    <n v="1.85229746"/>
    <n v="3.0304487500000001"/>
    <s v="Direct"/>
    <s v="NA"/>
  </r>
  <r>
    <x v="0"/>
    <x v="1"/>
    <s v="Ofaveolata031960"/>
    <n v="1.0040721500000001"/>
    <n v="3.01438732"/>
    <s v="Direct"/>
    <s v="NA"/>
  </r>
  <r>
    <x v="0"/>
    <x v="1"/>
    <s v="Ofaveolata031981"/>
    <n v="-1.0756806999999999"/>
    <n v="-1.1661982"/>
    <s v="Direct"/>
    <s v="galactose-3-O-sulfotransferase 1"/>
  </r>
  <r>
    <x v="0"/>
    <x v="1"/>
    <s v="Ofaveolata032001"/>
    <n v="-1.3782255999999999"/>
    <n v="-1.9337247"/>
    <s v="Direct"/>
    <s v="NA"/>
  </r>
  <r>
    <x v="0"/>
    <x v="1"/>
    <s v="Ofaveolata032008"/>
    <n v="1.3616075700000001"/>
    <n v="3.5342069"/>
    <s v="Direct"/>
    <s v="NA"/>
  </r>
  <r>
    <x v="0"/>
    <x v="1"/>
    <s v="Ofaveolata032073"/>
    <n v="-1.6214972000000001"/>
    <n v="-2.1707112999999998"/>
    <s v="Direct"/>
    <s v="NA"/>
  </r>
  <r>
    <x v="0"/>
    <x v="1"/>
    <s v="Ofaveolata032103"/>
    <n v="-2.8651065999999998"/>
    <n v="-4.2827183"/>
    <s v="Direct"/>
    <s v="NA"/>
  </r>
  <r>
    <x v="0"/>
    <x v="1"/>
    <s v="Ofaveolata032105"/>
    <n v="-2.7428226000000002"/>
    <n v="-6.2118536999999998"/>
    <s v="Direct"/>
    <s v="Heat shock 70 kDa protein 12A-like"/>
  </r>
  <r>
    <x v="0"/>
    <x v="1"/>
    <s v="Ofaveolata032231"/>
    <n v="2.52504733"/>
    <n v="5.4752868000000001"/>
    <s v="Direct"/>
    <s v="G-protein coupled receptor activity"/>
  </r>
  <r>
    <x v="0"/>
    <x v="1"/>
    <s v="Ofaveolata032252"/>
    <n v="1.2230007199999999"/>
    <n v="3.4505240700000002"/>
    <s v="Direct"/>
    <s v="NA"/>
  </r>
  <r>
    <x v="0"/>
    <x v="1"/>
    <s v="Ofaveolata032294"/>
    <n v="2.1033723200000001"/>
    <n v="4.32969794"/>
    <s v="Direct"/>
    <s v="NA"/>
  </r>
  <r>
    <x v="0"/>
    <x v="1"/>
    <s v="Ofaveolata032302"/>
    <n v="3.0047762499999999"/>
    <n v="8.4196291700000003"/>
    <s v="Direct"/>
    <s v="NA"/>
  </r>
  <r>
    <x v="0"/>
    <x v="1"/>
    <s v="Ofaveolata032304"/>
    <n v="-4.4545411000000001"/>
    <n v="-7.9080814000000004"/>
    <s v="Direct"/>
    <s v="Catalyzes the formation of S-adenosylmethionine from methionine and ATP"/>
  </r>
  <r>
    <x v="0"/>
    <x v="1"/>
    <s v="Ofaveolata032315"/>
    <n v="2.0168690800000002"/>
    <n v="2.50296751"/>
    <s v="Direct"/>
    <s v="Von Willebrand factor A"/>
  </r>
  <r>
    <x v="0"/>
    <x v="1"/>
    <s v="Ofaveolata032330"/>
    <n v="2.5940509500000002"/>
    <n v="4.6515366199999999"/>
    <s v="Direct"/>
    <s v="NA"/>
  </r>
  <r>
    <x v="0"/>
    <x v="1"/>
    <s v="Ofaveolata032336"/>
    <n v="1.1701967200000001"/>
    <n v="1.97869468"/>
    <s v="Direct"/>
    <s v="zinc ion binding"/>
  </r>
  <r>
    <x v="0"/>
    <x v="1"/>
    <s v="Ofaveolata032352"/>
    <n v="1.4272294599999999"/>
    <n v="2.5534679699999998"/>
    <s v="Direct"/>
    <s v="acetylserotonin O-methyltransferase activity"/>
  </r>
  <r>
    <x v="0"/>
    <x v="1"/>
    <s v="Ofaveolata032360"/>
    <n v="1.12711765"/>
    <n v="1.8940696800000001"/>
    <s v="Direct"/>
    <s v="Ataxin-1 and HBP1 module (AXH)"/>
  </r>
  <r>
    <x v="0"/>
    <x v="1"/>
    <s v="Ofaveolata032396"/>
    <n v="1.3314227700000001"/>
    <n v="2.7577733000000002"/>
    <s v="Direct"/>
    <s v="NA"/>
  </r>
  <r>
    <x v="0"/>
    <x v="1"/>
    <s v="Ofaveolata032399"/>
    <n v="1.02910006"/>
    <n v="3.03966512"/>
    <s v="Direct"/>
    <s v="Sec63 Brl domain"/>
  </r>
  <r>
    <x v="0"/>
    <x v="1"/>
    <s v="Ofaveolata032423"/>
    <n v="-1.5396224000000001"/>
    <n v="-1.7226208000000001"/>
    <s v="Direct"/>
    <s v="NA"/>
  </r>
  <r>
    <x v="0"/>
    <x v="1"/>
    <s v="Ofaveolata032427"/>
    <n v="1.26575601"/>
    <n v="3.14036143"/>
    <s v="Direct"/>
    <s v="NA"/>
  </r>
  <r>
    <x v="0"/>
    <x v="1"/>
    <s v="Ofaveolata032448"/>
    <n v="1.56513646"/>
    <n v="1.24018184"/>
    <s v="Direct"/>
    <s v="NA"/>
  </r>
  <r>
    <x v="0"/>
    <x v="1"/>
    <s v="Ofaveolata032467"/>
    <n v="-1.5921832"/>
    <n v="-1.7045485"/>
    <s v="Direct"/>
    <s v="purine-rich negative regulatory element binding"/>
  </r>
  <r>
    <x v="0"/>
    <x v="1"/>
    <s v="Ofaveolata032483"/>
    <n v="-1.9387741999999999"/>
    <n v="-1.2396"/>
    <s v="Direct"/>
    <s v="RNA dependent RNA polymerase"/>
  </r>
  <r>
    <x v="0"/>
    <x v="1"/>
    <s v="Ofaveolata032490"/>
    <n v="-1.3467298000000001"/>
    <n v="-1.2751568"/>
    <s v="Direct"/>
    <s v="NA"/>
  </r>
  <r>
    <x v="0"/>
    <x v="1"/>
    <s v="Ofaveolata032525"/>
    <n v="1.0547793599999999"/>
    <n v="4.4742909300000004"/>
    <s v="Direct"/>
    <s v="NA"/>
  </r>
  <r>
    <x v="0"/>
    <x v="1"/>
    <s v="Ofaveolata032526"/>
    <n v="3.8910040700000001"/>
    <n v="2.5388576299999999"/>
    <s v="Direct"/>
    <s v="NA"/>
  </r>
  <r>
    <x v="0"/>
    <x v="1"/>
    <s v="Ofaveolata032532"/>
    <n v="1.6319230899999999"/>
    <n v="2.0732631399999999"/>
    <s v="Direct"/>
    <s v="positive regulation of division septum assembly"/>
  </r>
  <r>
    <x v="0"/>
    <x v="1"/>
    <s v="Ofaveolata032563"/>
    <n v="1.48173932"/>
    <n v="1.2872848699999999"/>
    <s v="Direct"/>
    <s v="Beta-lactamase"/>
  </r>
  <r>
    <x v="0"/>
    <x v="1"/>
    <s v="Ofaveolata032580"/>
    <n v="-1.2765624"/>
    <n v="-1.5241526000000001"/>
    <s v="Direct"/>
    <s v="RNA polymerase"/>
  </r>
  <r>
    <x v="0"/>
    <x v="1"/>
    <s v="Ofaveolata032610"/>
    <n v="1.4278964599999999"/>
    <n v="2.79575606"/>
    <s v="Direct"/>
    <s v="Protein SSUH2 homolog"/>
  </r>
  <r>
    <x v="0"/>
    <x v="1"/>
    <s v="Ofaveolata032623"/>
    <n v="-1.3776318999999999"/>
    <n v="-2.5188956"/>
    <s v="Direct"/>
    <s v="NA"/>
  </r>
  <r>
    <x v="0"/>
    <x v="1"/>
    <s v="Ofaveolata032676"/>
    <n v="-1.7974102999999999"/>
    <n v="-2.5293713000000002"/>
    <s v="Direct"/>
    <s v="box H/ACA snoRNP assembly"/>
  </r>
  <r>
    <x v="0"/>
    <x v="1"/>
    <s v="Ofaveolata032677"/>
    <n v="2.3902529800000001"/>
    <n v="1.0240269399999999"/>
    <s v="Direct"/>
    <s v="amine oxidase"/>
  </r>
  <r>
    <x v="0"/>
    <x v="1"/>
    <s v="Ofaveolata032793"/>
    <n v="1.21540625"/>
    <n v="1.2481633000000001"/>
    <s v="Direct"/>
    <s v="NA"/>
  </r>
  <r>
    <x v="0"/>
    <x v="1"/>
    <s v="Ofaveolata032836"/>
    <n v="2.2182463000000001"/>
    <n v="8.8771300600000007"/>
    <s v="Direct"/>
    <s v="NA"/>
  </r>
  <r>
    <x v="0"/>
    <x v="1"/>
    <s v="Ofaveolata032851"/>
    <n v="-1.1923324"/>
    <n v="-6.0058636999999999"/>
    <s v="Direct"/>
    <s v="7 transmembrane receptor (rhodopsin family)"/>
  </r>
  <r>
    <x v="0"/>
    <x v="1"/>
    <s v="Ofaveolata032885"/>
    <n v="1.0932063700000001"/>
    <n v="2.1204670399999999"/>
    <s v="Direct"/>
    <s v="alpha-1,6-mannosylglycoprotein 6-beta-N-acetylglucosaminyltransferase activity"/>
  </r>
  <r>
    <x v="0"/>
    <x v="1"/>
    <s v="Ofaveolata032893"/>
    <n v="-1.2174597"/>
    <n v="-3.4402477"/>
    <s v="Direct"/>
    <s v="NA"/>
  </r>
  <r>
    <x v="0"/>
    <x v="1"/>
    <s v="Ofaveolata032933"/>
    <n v="1.8705547600000001"/>
    <n v="3.4663766499999999"/>
    <s v="Direct"/>
    <s v="NA"/>
  </r>
  <r>
    <x v="0"/>
    <x v="1"/>
    <s v="Ofaveolata032969"/>
    <n v="1.26373738"/>
    <n v="3.9655895000000001"/>
    <s v="Direct"/>
    <s v="heme binding"/>
  </r>
  <r>
    <x v="0"/>
    <x v="1"/>
    <s v="Ofaveolata033073"/>
    <n v="1.0964628000000001"/>
    <n v="1.2708314999999999"/>
    <s v="Direct"/>
    <s v="member RAS oncogene family"/>
  </r>
  <r>
    <x v="0"/>
    <x v="1"/>
    <s v="Ofaveolata033076"/>
    <n v="-2.3027402000000001"/>
    <n v="-1.9965390000000001"/>
    <s v="Direct"/>
    <s v="NA"/>
  </r>
  <r>
    <x v="0"/>
    <x v="1"/>
    <s v="Ofaveolata033131"/>
    <n v="1.2002605"/>
    <n v="2.6982368800000001"/>
    <s v="Direct"/>
    <s v="NA"/>
  </r>
  <r>
    <x v="0"/>
    <x v="1"/>
    <s v="Ofaveolata033141"/>
    <n v="1.4519599400000001"/>
    <n v="2.4147197600000001"/>
    <s v="Direct"/>
    <s v="negative regulation of epithelial cell proliferation"/>
  </r>
  <r>
    <x v="0"/>
    <x v="1"/>
    <s v="Ofaveolata033223"/>
    <n v="-2.2198926000000001"/>
    <n v="-2.8396550999999999"/>
    <s v="Direct"/>
    <s v="suppressor of cytokine signaling"/>
  </r>
  <r>
    <x v="0"/>
    <x v="1"/>
    <s v="Ofaveolata033240"/>
    <n v="-2.5496656"/>
    <n v="-4.2170373000000003"/>
    <s v="Direct"/>
    <s v="NA"/>
  </r>
  <r>
    <x v="0"/>
    <x v="1"/>
    <s v="Ofaveolata033244"/>
    <n v="-1.0766694999999999"/>
    <n v="-1.3323008000000001"/>
    <s v="Direct"/>
    <s v="NA"/>
  </r>
  <r>
    <x v="0"/>
    <x v="1"/>
    <s v="Ofaveolata033279"/>
    <n v="-1.4560055000000001"/>
    <n v="-3.5839121999999999"/>
    <s v="Direct"/>
    <s v="NA"/>
  </r>
  <r>
    <x v="0"/>
    <x v="1"/>
    <s v="Ofaveolata033365"/>
    <n v="-1.7874741999999999"/>
    <n v="-1.4707912000000001"/>
    <s v="Direct"/>
    <s v="NA"/>
  </r>
  <r>
    <x v="0"/>
    <x v="1"/>
    <s v="Ofaveolata033376"/>
    <n v="-2.7675339000000001"/>
    <n v="-2.176866"/>
    <s v="Direct"/>
    <s v="NA"/>
  </r>
  <r>
    <x v="0"/>
    <x v="1"/>
    <s v="Ofaveolata033413"/>
    <n v="3.3386568699999999"/>
    <n v="9.3309900100000007"/>
    <s v="Direct"/>
    <s v="Calcium ion binding. It is involved in the biological process described with protein folding"/>
  </r>
  <r>
    <x v="0"/>
    <x v="1"/>
    <s v="Ofaveolata033421"/>
    <n v="1.0177694900000001"/>
    <n v="2.4135288899999998"/>
    <s v="Direct"/>
    <s v="NA"/>
  </r>
  <r>
    <x v="0"/>
    <x v="1"/>
    <s v="Ofaveolata033445"/>
    <n v="1.94719584"/>
    <n v="4.7332053099999998"/>
    <s v="Direct"/>
    <s v="catalytic activity. It is involved in the biological process described with metabolic process"/>
  </r>
  <r>
    <x v="0"/>
    <x v="1"/>
    <s v="Ofaveolata033454"/>
    <n v="-4.4545411000000001"/>
    <n v="-2.1246847"/>
    <s v="Direct"/>
    <s v="NA"/>
  </r>
  <r>
    <x v="0"/>
    <x v="1"/>
    <s v="Ofaveolata033463"/>
    <n v="-1.2206665000000001"/>
    <n v="-2.7436294000000001"/>
    <s v="Direct"/>
    <s v="NA"/>
  </r>
  <r>
    <x v="0"/>
    <x v="1"/>
    <s v="Ofaveolata033468"/>
    <n v="-2.2336497"/>
    <n v="-2.1109486999999998"/>
    <s v="Direct"/>
    <s v="NA"/>
  </r>
  <r>
    <x v="0"/>
    <x v="1"/>
    <s v="Ofaveolata033492"/>
    <n v="1.1248794600000001"/>
    <n v="7.6193024400000002"/>
    <s v="Direct"/>
    <s v="fibroblast growth factor receptor binding"/>
  </r>
  <r>
    <x v="0"/>
    <x v="1"/>
    <s v="Ofaveolata033501"/>
    <n v="1.2218678199999999"/>
    <n v="20.6814392"/>
    <s v="Direct"/>
    <s v="NA"/>
  </r>
  <r>
    <x v="0"/>
    <x v="1"/>
    <s v="Ofaveolata033673"/>
    <n v="1.2795563299999999"/>
    <n v="3.8794041699999999"/>
    <s v="Direct"/>
    <s v="Aldo/keto reductase family"/>
  </r>
  <r>
    <x v="0"/>
    <x v="1"/>
    <s v="Ofaveolata033691"/>
    <n v="2.2336497400000002"/>
    <n v="8.0174180899999996"/>
    <s v="Direct"/>
    <s v="NA"/>
  </r>
  <r>
    <x v="0"/>
    <x v="1"/>
    <s v="Ofaveolata033692"/>
    <n v="3.91623535"/>
    <n v="10.243646699999999"/>
    <s v="Direct"/>
    <s v="NA"/>
  </r>
  <r>
    <x v="0"/>
    <x v="1"/>
    <s v="Ofaveolata033698"/>
    <n v="1.4537634500000001"/>
    <n v="2.5167607900000002"/>
    <s v="Direct"/>
    <s v="Collagen triple helix repeat containing 1"/>
  </r>
  <r>
    <x v="0"/>
    <x v="1"/>
    <s v="Ofaveolata033700"/>
    <n v="5.3959248799999999"/>
    <n v="11.373321300000001"/>
    <s v="Direct"/>
    <s v="Collagen triple helix repeat containing 1"/>
  </r>
  <r>
    <x v="0"/>
    <x v="1"/>
    <s v="Ofaveolata033703"/>
    <n v="1.1599752299999999"/>
    <n v="3.5404025400000001"/>
    <s v="Direct"/>
    <s v="serine threonine-protein kinase PAK"/>
  </r>
  <r>
    <x v="0"/>
    <x v="1"/>
    <s v="Ofaveolata033704"/>
    <n v="2.3262100399999999"/>
    <n v="1.15073947"/>
    <s v="Direct"/>
    <s v="NA"/>
  </r>
  <r>
    <x v="0"/>
    <x v="1"/>
    <s v="Ofaveolata033710"/>
    <n v="5.3959248799999999"/>
    <n v="4.3032989300000004"/>
    <s v="Direct"/>
    <s v="proteasomal ubiquitin-independent protein catabolic process"/>
  </r>
  <r>
    <x v="0"/>
    <x v="1"/>
    <s v="Ofaveolata033711"/>
    <n v="1.38825877"/>
    <n v="5.2803950200000003"/>
    <s v="Direct"/>
    <s v="p21(CDKN1A)-activated kinase 7"/>
  </r>
  <r>
    <x v="0"/>
    <x v="1"/>
    <s v="Ofaveolata033714"/>
    <n v="1.37843611"/>
    <n v="3.9245745900000002"/>
    <s v="Direct"/>
    <s v="NA"/>
  </r>
  <r>
    <x v="0"/>
    <x v="1"/>
    <s v="Ofaveolata033717"/>
    <n v="1.0398261900000001"/>
    <n v="2.9902055299999999"/>
    <s v="Direct"/>
    <s v="Proteasome activator complex subunit 4"/>
  </r>
  <r>
    <x v="0"/>
    <x v="1"/>
    <s v="Ofaveolata033736"/>
    <n v="1.58835645"/>
    <n v="1.5264729500000001"/>
    <s v="Direct"/>
    <s v="NA"/>
  </r>
  <r>
    <x v="0"/>
    <x v="1"/>
    <s v="Ofaveolata033748"/>
    <n v="4.45454112"/>
    <n v="7.91285521"/>
    <s v="Direct"/>
    <s v="NA"/>
  </r>
  <r>
    <x v="0"/>
    <x v="1"/>
    <s v="Ofaveolata033820"/>
    <n v="1.9251263199999999"/>
    <n v="1.18354195"/>
    <s v="Direct"/>
    <s v="NA"/>
  </r>
  <r>
    <x v="0"/>
    <x v="1"/>
    <s v="Ofaveolata033847"/>
    <n v="1.1069429200000001"/>
    <n v="1.3856737400000001"/>
    <s v="Direct"/>
    <s v="MAP kinase kinase kinase activity"/>
  </r>
  <r>
    <x v="0"/>
    <x v="1"/>
    <s v="Ofaveolata033866"/>
    <n v="-1.1459634000000001"/>
    <n v="-2.5150131999999998"/>
    <s v="Direct"/>
    <s v="negative regulation of bleb assembly"/>
  </r>
  <r>
    <x v="0"/>
    <x v="1"/>
    <s v="Ofaveolata033926"/>
    <n v="1.1148370299999999"/>
    <n v="2.2233501699999998"/>
    <s v="Direct"/>
    <s v="NA"/>
  </r>
  <r>
    <x v="0"/>
    <x v="1"/>
    <s v="Ofaveolata033934"/>
    <n v="-1.5458292"/>
    <n v="-2.4696815999999999"/>
    <s v="Direct"/>
    <s v="NA"/>
  </r>
  <r>
    <x v="0"/>
    <x v="1"/>
    <s v="Ofaveolata033939"/>
    <n v="-1.5396224000000001"/>
    <n v="-1.2784584000000001"/>
    <s v="Direct"/>
    <s v="NA"/>
  </r>
  <r>
    <x v="0"/>
    <x v="1"/>
    <s v="Ofaveolata033948"/>
    <n v="-2.0748804000000001"/>
    <n v="-1.0697365999999999"/>
    <s v="Direct"/>
    <s v="NA"/>
  </r>
  <r>
    <x v="0"/>
    <x v="1"/>
    <s v="Ofaveolata033949"/>
    <n v="-3.1884497000000001"/>
    <n v="-3.6973305000000001"/>
    <s v="Direct"/>
    <s v="NA"/>
  </r>
  <r>
    <x v="0"/>
    <x v="1"/>
    <s v="Ofaveolata034029"/>
    <n v="-1.3467815000000001"/>
    <n v="-7.9273603000000001"/>
    <s v="Direct"/>
    <s v="phosphatidylinositol N-acetylglucosaminyltransferase activity"/>
  </r>
  <r>
    <x v="0"/>
    <x v="1"/>
    <s v="Ofaveolata034055"/>
    <n v="3.4050622700000002"/>
    <n v="3.50171521"/>
    <s v="Direct"/>
    <s v="NA"/>
  </r>
  <r>
    <x v="0"/>
    <x v="1"/>
    <s v="Ofaveolata034058"/>
    <n v="1.18643845"/>
    <n v="1.4114922299999999"/>
    <s v="Direct"/>
    <s v="NA"/>
  </r>
  <r>
    <x v="0"/>
    <x v="1"/>
    <s v="Ofaveolata034098"/>
    <n v="1.7482038600000001"/>
    <n v="1.84562465"/>
    <s v="Direct"/>
    <s v="negative regulation of extracellular matrix disassembly"/>
  </r>
  <r>
    <x v="0"/>
    <x v="1"/>
    <s v="Ofaveolata034190"/>
    <n v="2.8904380199999999"/>
    <n v="1.55164415"/>
    <s v="Direct"/>
    <s v="phosphatidylserine decarboxylase"/>
  </r>
  <r>
    <x v="0"/>
    <x v="1"/>
    <s v="Ofaveolata034245"/>
    <n v="7.7334497999999998"/>
    <n v="12.944240199999999"/>
    <s v="Direct"/>
    <s v="Monoamine oxidase"/>
  </r>
  <r>
    <x v="0"/>
    <x v="1"/>
    <s v="Ofaveolata034265"/>
    <n v="1.3057702899999999"/>
    <n v="1.6279139600000001"/>
    <s v="Direct"/>
    <s v="negative regulation of T-helper 2 cell differentiation"/>
  </r>
  <r>
    <x v="0"/>
    <x v="1"/>
    <s v="Ofaveolata034305"/>
    <n v="1.1170326500000001"/>
    <n v="-1.2542869000000001"/>
    <s v="Inverse"/>
    <s v="NA"/>
  </r>
  <r>
    <x v="0"/>
    <x v="1"/>
    <s v="Ofaveolata034325"/>
    <n v="1.7916723400000001"/>
    <n v="1.1728132200000001"/>
    <s v="Direct"/>
    <s v="nucleic acid-templated transcription"/>
  </r>
  <r>
    <x v="0"/>
    <x v="1"/>
    <s v="Ofaveolata034328"/>
    <n v="1.3455280700000001"/>
    <n v="13.1268406"/>
    <s v="Direct"/>
    <s v="Phytanoyl-CoA dioxygenase (PhyH)"/>
  </r>
  <r>
    <x v="0"/>
    <x v="1"/>
    <s v="Ofaveolata034340"/>
    <n v="-1.1877042"/>
    <n v="-1.1722013"/>
    <s v="Direct"/>
    <s v="Hephaestin"/>
  </r>
  <r>
    <x v="0"/>
    <x v="1"/>
    <s v="Ofaveolata034345"/>
    <n v="-1.9043947999999999"/>
    <n v="-1.4588563000000001"/>
    <s v="Direct"/>
    <s v="NA"/>
  </r>
  <r>
    <x v="0"/>
    <x v="1"/>
    <s v="Ofaveolata034357"/>
    <n v="1.9946522799999999"/>
    <n v="2.7540954599999998"/>
    <s v="Direct"/>
    <s v="NA"/>
  </r>
  <r>
    <x v="0"/>
    <x v="1"/>
    <s v="Ofaveolata034384"/>
    <n v="3.66511619"/>
    <n v="6.5295731699999999"/>
    <s v="Direct"/>
    <s v="NA"/>
  </r>
  <r>
    <x v="0"/>
    <x v="1"/>
    <s v="Ofaveolata034414"/>
    <n v="2.5435162199999999"/>
    <n v="2.0724391199999999"/>
    <s v="Direct"/>
    <s v="DNA binding"/>
  </r>
  <r>
    <x v="0"/>
    <x v="1"/>
    <s v="Ofaveolata034548"/>
    <n v="-1.3707745"/>
    <n v="-3.2909535000000001"/>
    <s v="Direct"/>
    <s v="NA"/>
  </r>
  <r>
    <x v="0"/>
    <x v="1"/>
    <s v="Ofaveolata034550"/>
    <n v="-1.6388484999999999"/>
    <n v="-2.2262012000000002"/>
    <s v="Direct"/>
    <s v="NA"/>
  </r>
  <r>
    <x v="0"/>
    <x v="1"/>
    <s v="Ofaveolata034700"/>
    <n v="-3.1594977000000002"/>
    <n v="-3.6759738"/>
    <s v="Direct"/>
    <s v="NA"/>
  </r>
  <r>
    <x v="0"/>
    <x v="1"/>
    <s v="Ofaveolata034701"/>
    <n v="1.60801349"/>
    <n v="7.0558849099999996"/>
    <s v="Direct"/>
    <s v="NA"/>
  </r>
  <r>
    <x v="0"/>
    <x v="1"/>
    <s v="Ofaveolata034713"/>
    <n v="2.5940509500000002"/>
    <n v="3.2264126599999998"/>
    <s v="Direct"/>
    <s v="tetratricopeptide repeat"/>
  </r>
  <r>
    <x v="0"/>
    <x v="1"/>
    <s v="Ofaveolata034746"/>
    <n v="1.51599561"/>
    <n v="2.6958454500000002"/>
    <s v="Direct"/>
    <s v="NA"/>
  </r>
  <r>
    <x v="0"/>
    <x v="1"/>
    <s v="Ofaveolata034755"/>
    <n v="-1.5290946000000001"/>
    <n v="-3.8187411"/>
    <s v="Direct"/>
    <s v="NA"/>
  </r>
  <r>
    <x v="0"/>
    <x v="1"/>
    <s v="Ofaveolata034780"/>
    <n v="-2.3631381"/>
    <n v="-1.4778871"/>
    <s v="Direct"/>
    <s v="zinc finger CCCH-type containing"/>
  </r>
  <r>
    <x v="0"/>
    <x v="1"/>
    <s v="Ofaveolata034781"/>
    <n v="-3.3148349000000001"/>
    <n v="-3.8655617000000002"/>
    <s v="Direct"/>
    <s v="NA"/>
  </r>
  <r>
    <x v="0"/>
    <x v="1"/>
    <s v="Ofaveolata034846"/>
    <n v="-1.3650439000000001"/>
    <n v="-1.1554838999999999"/>
    <s v="Direct"/>
    <s v="NA"/>
  </r>
  <r>
    <x v="0"/>
    <x v="1"/>
    <s v="Ofaveolata034868"/>
    <n v="2.5674870300000001"/>
    <n v="2.4298547400000001"/>
    <s v="Direct"/>
    <s v="NA"/>
  </r>
  <r>
    <x v="0"/>
    <x v="1"/>
    <s v="Ofaveolata034916"/>
    <n v="1.62141311"/>
    <n v="1.5039383500000001"/>
    <s v="Direct"/>
    <s v="NA"/>
  </r>
  <r>
    <x v="0"/>
    <x v="1"/>
    <s v="Ofaveolata034934"/>
    <n v="1.2795563299999999"/>
    <n v="3.86891841"/>
    <s v="Direct"/>
    <s v="NA"/>
  </r>
  <r>
    <x v="0"/>
    <x v="1"/>
    <s v="Ofaveolata034994"/>
    <n v="1.9811835499999999"/>
    <n v="2.6557986499999999"/>
    <s v="Direct"/>
    <s v="Collagen triple helix"/>
  </r>
  <r>
    <x v="0"/>
    <x v="1"/>
    <s v="Ofaveolata035007"/>
    <n v="1.92535558"/>
    <n v="1.23420887"/>
    <s v="Direct"/>
    <s v="regulation of mitotic cell cycle"/>
  </r>
  <r>
    <x v="0"/>
    <x v="1"/>
    <s v="Ofaveolata035038"/>
    <n v="3.7069266500000002"/>
    <n v="2.5749878399999999"/>
    <s v="Direct"/>
    <s v="NA"/>
  </r>
  <r>
    <x v="0"/>
    <x v="1"/>
    <s v="Ofaveolata035063"/>
    <n v="-1.4180173"/>
    <n v="-1.6265356"/>
    <s v="Direct"/>
    <s v="NA"/>
  </r>
  <r>
    <x v="0"/>
    <x v="1"/>
    <s v="Ofaveolata035073"/>
    <n v="-1.1837192000000001"/>
    <n v="-5.2701785000000001"/>
    <s v="Direct"/>
    <s v="regulation of mitotic cell cycle"/>
  </r>
  <r>
    <x v="0"/>
    <x v="1"/>
    <s v="Ofaveolata035074"/>
    <n v="-1.0999703999999999"/>
    <n v="-1.0206507"/>
    <s v="Direct"/>
    <s v="NA"/>
  </r>
  <r>
    <x v="0"/>
    <x v="1"/>
    <s v="Ofaveolata035075"/>
    <n v="-2.0959276999999998"/>
    <n v="-6.8961017"/>
    <s v="Direct"/>
    <s v="NA"/>
  </r>
  <r>
    <x v="0"/>
    <x v="1"/>
    <s v="Ofaveolata035076"/>
    <n v="-3.4202587000000002"/>
    <n v="-5.3954108999999999"/>
    <s v="Direct"/>
    <s v="NA"/>
  </r>
  <r>
    <x v="0"/>
    <x v="1"/>
    <s v="Ofaveolata035121"/>
    <n v="1.8661672"/>
    <n v="3.4248050299999999"/>
    <s v="Direct"/>
    <s v="7 transmembrane receptor (rhodopsin family)"/>
  </r>
  <r>
    <x v="0"/>
    <x v="1"/>
    <s v="Ofaveolata035173"/>
    <n v="-1.7920718"/>
    <n v="-4.8197051000000002"/>
    <s v="Direct"/>
    <s v="NA"/>
  </r>
  <r>
    <x v="0"/>
    <x v="1"/>
    <s v="Ofaveolata035176"/>
    <n v="-1.3003673"/>
    <n v="-5.8037898999999999"/>
    <s v="Direct"/>
    <s v="NA"/>
  </r>
  <r>
    <x v="0"/>
    <x v="1"/>
    <s v="Ofaveolata035184"/>
    <n v="3.1996988499999999"/>
    <n v="1.0842375399999999"/>
    <s v="Direct"/>
    <s v="regulation of mitotic cell cycle"/>
  </r>
  <r>
    <x v="0"/>
    <x v="1"/>
    <s v="Ofaveolata035187"/>
    <n v="1.6962735900000001"/>
    <n v="-1.0981201"/>
    <s v="Inverse"/>
    <s v="regulation of mitotic cell cycle"/>
  </r>
  <r>
    <x v="0"/>
    <x v="1"/>
    <s v="Ofaveolata035201"/>
    <n v="-3.1946257999999998"/>
    <n v="-6.1126594000000001"/>
    <s v="Direct"/>
    <s v="NA"/>
  </r>
  <r>
    <x v="0"/>
    <x v="1"/>
    <s v="Ofaveolata035215"/>
    <n v="2.51725435"/>
    <n v="7.4340816099999998"/>
    <s v="Direct"/>
    <s v="Thrombospondin type 1 repeats"/>
  </r>
  <r>
    <x v="0"/>
    <x v="1"/>
    <s v="Ofaveolata035230"/>
    <n v="1.0854244799999999"/>
    <n v="3.2289153399999999"/>
    <s v="Direct"/>
    <s v="transmembrane receptor protein tyrosine kinase activity"/>
  </r>
  <r>
    <x v="0"/>
    <x v="1"/>
    <s v="Ofaveolata035284"/>
    <n v="-1.1576719"/>
    <n v="-2.0046039000000002"/>
    <s v="Direct"/>
    <s v="K02A2.6-like"/>
  </r>
  <r>
    <x v="0"/>
    <x v="1"/>
    <s v="Ofaveolata035287"/>
    <n v="-1.7422503"/>
    <n v="-1.4893091000000001"/>
    <s v="Direct"/>
    <s v="NA"/>
  </r>
  <r>
    <x v="0"/>
    <x v="1"/>
    <s v="Ofaveolata035304"/>
    <n v="-1.4510297999999999"/>
    <n v="-6.8990444000000002"/>
    <s v="Direct"/>
    <s v="NA"/>
  </r>
  <r>
    <x v="0"/>
    <x v="1"/>
    <s v="Ofaveolata035330"/>
    <n v="-4.3436256999999996"/>
    <n v="-6.3426068999999998"/>
    <s v="Direct"/>
    <s v="NA"/>
  </r>
  <r>
    <x v="0"/>
    <x v="1"/>
    <s v="Ofaveolata035357"/>
    <n v="-3.5029143"/>
    <n v="-2.1400809000000001"/>
    <s v="Direct"/>
    <s v="regulation of mitotic cell cycle"/>
  </r>
  <r>
    <x v="0"/>
    <x v="1"/>
    <s v="Ofaveolata035358"/>
    <n v="1.87291615"/>
    <n v="2.6629143800000001"/>
    <s v="Direct"/>
    <s v="NA"/>
  </r>
  <r>
    <x v="0"/>
    <x v="1"/>
    <s v="Ofaveolata035385"/>
    <n v="2.06576636"/>
    <n v="3.0697124200000001"/>
    <s v="Direct"/>
    <s v="NA"/>
  </r>
  <r>
    <x v="0"/>
    <x v="1"/>
    <s v="Ofaveolata035408"/>
    <n v="-2.8798414999999999"/>
    <n v="-1.6277759000000001"/>
    <s v="Direct"/>
    <s v="NA"/>
  </r>
  <r>
    <x v="0"/>
    <x v="1"/>
    <s v="Ofaveolata035436"/>
    <n v="2.62263213"/>
    <n v="2.4677052499999999"/>
    <s v="Direct"/>
    <s v="NA"/>
  </r>
  <r>
    <x v="0"/>
    <x v="1"/>
    <s v="Ofaveolata035476"/>
    <n v="-1.0445945000000001"/>
    <n v="-4.0086352999999999"/>
    <s v="Direct"/>
    <s v="NA"/>
  </r>
  <r>
    <x v="0"/>
    <x v="1"/>
    <s v="Ofaveolata035477"/>
    <n v="1.4289736500000001"/>
    <n v="3.0481577500000001"/>
    <s v="Direct"/>
    <s v="NA"/>
  </r>
  <r>
    <x v="0"/>
    <x v="1"/>
    <s v="Ofaveolata035480"/>
    <n v="1.3172985399999999"/>
    <n v="2.5514151300000001"/>
    <s v="Direct"/>
    <s v="NA"/>
  </r>
  <r>
    <x v="0"/>
    <x v="1"/>
    <s v="Ofaveolata035497"/>
    <n v="-6.6691944999999997"/>
    <n v="-3.1592661999999998"/>
    <s v="Direct"/>
    <s v="protein tag"/>
  </r>
  <r>
    <x v="0"/>
    <x v="1"/>
    <s v="Ofaveolata035525"/>
    <n v="-1.3587023"/>
    <n v="-4.8825611999999996"/>
    <s v="Direct"/>
    <s v="ubiquitin protein ligase binding"/>
  </r>
  <r>
    <x v="0"/>
    <x v="1"/>
    <s v="Ofaveolata035526"/>
    <n v="-1.9706277999999999"/>
    <n v="-3.6413701999999999"/>
    <s v="Direct"/>
    <s v="NA"/>
  </r>
  <r>
    <x v="0"/>
    <x v="1"/>
    <s v="Ofaveolata035574"/>
    <n v="4.3346362799999998"/>
    <n v="12.640343700000001"/>
    <s v="Direct"/>
    <s v="NA"/>
  </r>
  <r>
    <x v="0"/>
    <x v="1"/>
    <s v="Ofaveolata035575"/>
    <n v="-1.1869584"/>
    <n v="-1.0970871"/>
    <s v="Direct"/>
    <s v="NA"/>
  </r>
  <r>
    <x v="0"/>
    <x v="1"/>
    <s v="Ofaveolata035634"/>
    <n v="9.9825040600000001"/>
    <n v="16.312268"/>
    <s v="Direct"/>
    <s v="serine-type endopeptidase activity"/>
  </r>
  <r>
    <x v="0"/>
    <x v="1"/>
    <s v="Ofaveolata035636"/>
    <n v="1.8790648400000001"/>
    <n v="6.4302634999999997"/>
    <s v="Direct"/>
    <s v="serine-type endopeptidase activity"/>
  </r>
  <r>
    <x v="0"/>
    <x v="1"/>
    <s v="Ofaveolata035638"/>
    <n v="1.30529301"/>
    <n v="6.4587767100000004"/>
    <s v="Direct"/>
    <s v="serine-type endopeptidase activity"/>
  </r>
  <r>
    <x v="0"/>
    <x v="1"/>
    <s v="Ofaveolata035660"/>
    <n v="1.27306206"/>
    <n v="2.3883042400000001"/>
    <s v="Direct"/>
    <s v="NA"/>
  </r>
  <r>
    <x v="0"/>
    <x v="1"/>
    <s v="Ofaveolata035680"/>
    <n v="2.6903609899999998"/>
    <n v="1.2019151100000001"/>
    <s v="Direct"/>
    <s v="RNA binding motif protein 25"/>
  </r>
  <r>
    <x v="0"/>
    <x v="1"/>
    <s v="Ofaveolata035720"/>
    <n v="1.9053708300000001"/>
    <n v="1.5498376"/>
    <s v="Direct"/>
    <s v="NA"/>
  </r>
  <r>
    <x v="0"/>
    <x v="1"/>
    <s v="Ofaveolata035737"/>
    <n v="2.4890570599999999"/>
    <n v="3.31753769"/>
    <s v="Direct"/>
    <s v="NA"/>
  </r>
  <r>
    <x v="0"/>
    <x v="1"/>
    <s v="Ofaveolata035739"/>
    <n v="1.1459633899999999"/>
    <n v="2.0183400599999999"/>
    <s v="Direct"/>
    <s v="NA"/>
  </r>
  <r>
    <x v="0"/>
    <x v="1"/>
    <s v="Ofaveolata035785"/>
    <n v="1.72374413"/>
    <n v="2.65066779"/>
    <s v="Direct"/>
    <s v="NA"/>
  </r>
  <r>
    <x v="0"/>
    <x v="1"/>
    <s v="Ofaveolata035798"/>
    <n v="1.4278964599999999"/>
    <n v="1.2562196299999999"/>
    <s v="Direct"/>
    <s v="carbohydrate binding"/>
  </r>
  <r>
    <x v="0"/>
    <x v="1"/>
    <s v="Ofaveolata035844"/>
    <n v="-2.8651065999999998"/>
    <n v="-1.3568502"/>
    <s v="Direct"/>
    <s v="Serpentine type 7TM GPCR chemoreceptor Srx"/>
  </r>
  <r>
    <x v="0"/>
    <x v="1"/>
    <s v="Ofaveolata035872"/>
    <n v="1.2363051"/>
    <n v="1.5791706299999999"/>
    <s v="Direct"/>
    <s v="NA"/>
  </r>
  <r>
    <x v="0"/>
    <x v="1"/>
    <s v="Ofaveolata035923"/>
    <n v="-1.6368783"/>
    <n v="-2.4866915000000001"/>
    <s v="Direct"/>
    <s v="NA"/>
  </r>
  <r>
    <x v="0"/>
    <x v="1"/>
    <s v="Ofaveolata035927"/>
    <n v="1.8705547600000001"/>
    <n v="3.99471292"/>
    <s v="Direct"/>
    <s v="transmembrane transporter activity"/>
  </r>
  <r>
    <x v="0"/>
    <x v="1"/>
    <s v="Ofaveolata035968"/>
    <n v="1.6325916700000001"/>
    <n v="4.0841922300000002"/>
    <s v="Direct"/>
    <s v="hyaluronic acid binding"/>
  </r>
  <r>
    <x v="0"/>
    <x v="1"/>
    <s v="Ofaveolata036054"/>
    <n v="1.1110735700000001"/>
    <n v="1.94213678"/>
    <s v="Direct"/>
    <s v="NA"/>
  </r>
  <r>
    <x v="0"/>
    <x v="1"/>
    <s v="Ofaveolata036107"/>
    <n v="-1.2662439000000001"/>
    <n v="-1.0108355"/>
    <s v="Direct"/>
    <s v="NA"/>
  </r>
  <r>
    <x v="0"/>
    <x v="1"/>
    <s v="Ofaveolata036110"/>
    <n v="-1.1108214000000001"/>
    <n v="-7.3848174999999996"/>
    <s v="Direct"/>
    <s v="Transposase IS4"/>
  </r>
  <r>
    <x v="0"/>
    <x v="1"/>
    <s v="Ofaveolata036118"/>
    <n v="1.1866690799999999"/>
    <n v="3.9003106700000001"/>
    <s v="Direct"/>
    <s v="MAP kinase kinase kinase activity"/>
  </r>
  <r>
    <x v="0"/>
    <x v="1"/>
    <s v="Ofaveolata036178"/>
    <n v="-1.4051028999999999"/>
    <n v="-2.4898693999999999"/>
    <s v="Direct"/>
    <s v="NA"/>
  </r>
  <r>
    <x v="0"/>
    <x v="1"/>
    <s v="Ofaveolata036196"/>
    <n v="-2.1649292"/>
    <n v="-2.1396373999999998"/>
    <s v="Direct"/>
    <s v="NA"/>
  </r>
  <r>
    <x v="0"/>
    <x v="1"/>
    <s v="Ofaveolata036221"/>
    <n v="-1.1421051"/>
    <n v="-1.9633122999999999"/>
    <s v="Direct"/>
    <s v="NA"/>
  </r>
  <r>
    <x v="0"/>
    <x v="1"/>
    <s v="Ofaveolata036239"/>
    <n v="1.81308421"/>
    <n v="1.9833238799999999"/>
    <s v="Direct"/>
    <s v="NA"/>
  </r>
  <r>
    <x v="0"/>
    <x v="1"/>
    <s v="Ofaveolata036247"/>
    <n v="3.6925443599999999"/>
    <n v="4.2272301399999996"/>
    <s v="Direct"/>
    <s v="Amidohydrolase family"/>
  </r>
  <r>
    <x v="0"/>
    <x v="1"/>
    <s v="Ofaveolata036290"/>
    <n v="1.26119662"/>
    <n v="2.2064333399999998"/>
    <s v="Direct"/>
    <s v="NA"/>
  </r>
  <r>
    <x v="0"/>
    <x v="1"/>
    <s v="Ofaveolata036324"/>
    <n v="2.72820346"/>
    <n v="3.3470062899999999"/>
    <s v="Direct"/>
    <s v="NA"/>
  </r>
  <r>
    <x v="0"/>
    <x v="1"/>
    <s v="Ofaveolata036339"/>
    <n v="-1.2070973"/>
    <n v="-4.7837532999999999"/>
    <s v="Direct"/>
    <s v="G-protein coupled receptor activity"/>
  </r>
  <r>
    <x v="0"/>
    <x v="1"/>
    <s v="Ofaveolata036348"/>
    <n v="1.26373738"/>
    <n v="6.8862843399999996"/>
    <s v="Direct"/>
    <s v="NA"/>
  </r>
  <r>
    <x v="0"/>
    <x v="1"/>
    <s v="Ofaveolata036350"/>
    <n v="1.3796207700000001"/>
    <n v="2.4702658500000001"/>
    <s v="Direct"/>
    <s v="McKusick-Kaufman Bardet-Biedl syndromes"/>
  </r>
  <r>
    <x v="0"/>
    <x v="1"/>
    <s v="Ofaveolata036381"/>
    <n v="-1.7151422999999999"/>
    <n v="-2.1863663999999998"/>
    <s v="Direct"/>
    <s v="NA"/>
  </r>
  <r>
    <x v="0"/>
    <x v="1"/>
    <s v="Ofaveolata036382"/>
    <n v="2.2905941799999998"/>
    <n v="5.2629221399999997"/>
    <s v="Direct"/>
    <s v="ATPase activity, coupled to transmembrane movement of substances"/>
  </r>
  <r>
    <x v="0"/>
    <x v="1"/>
    <s v="Ofaveolata036421"/>
    <n v="1.54752595"/>
    <n v="-2.1759382999999999"/>
    <s v="Inverse"/>
    <s v="fibroblast growth factor-activated receptor activity"/>
  </r>
  <r>
    <x v="0"/>
    <x v="1"/>
    <s v="Ofaveolata036442"/>
    <n v="-1.3581578000000001"/>
    <n v="-1.7040953000000001"/>
    <s v="Direct"/>
    <s v="NA"/>
  </r>
  <r>
    <x v="0"/>
    <x v="1"/>
    <s v="Ofaveolata036445"/>
    <n v="-1.8569625000000001"/>
    <n v="-3.8081231"/>
    <s v="Direct"/>
    <s v="NA"/>
  </r>
  <r>
    <x v="0"/>
    <x v="1"/>
    <s v="Ofaveolata036449"/>
    <n v="-2.2336497"/>
    <n v="-6.6145927999999996"/>
    <s v="Direct"/>
    <s v="amine dehydrogenase activity"/>
  </r>
  <r>
    <x v="0"/>
    <x v="1"/>
    <s v="Ofaveolata036474"/>
    <n v="2.6739827799999998"/>
    <n v="3.7961430699999998"/>
    <s v="Direct"/>
    <s v="NA"/>
  </r>
  <r>
    <x v="0"/>
    <x v="1"/>
    <s v="Ofaveolata036510"/>
    <n v="-2.9366026999999999"/>
    <n v="-4.8667115000000001"/>
    <s v="Direct"/>
    <s v="NA"/>
  </r>
  <r>
    <x v="0"/>
    <x v="1"/>
    <s v="Ofaveolata036550"/>
    <n v="-2.9355153"/>
    <n v="-14.043291"/>
    <s v="Direct"/>
    <s v="Kelch-like family member 7"/>
  </r>
  <r>
    <x v="0"/>
    <x v="1"/>
    <s v="Ofaveolata036573"/>
    <n v="-1.6493064"/>
    <n v="-3.8708407"/>
    <s v="Direct"/>
    <s v="NA"/>
  </r>
  <r>
    <x v="1"/>
    <x v="0"/>
    <s v="Ssiderea000011"/>
    <n v="-1.7094935"/>
    <n v="-1.1531766000000001"/>
    <s v="Direct"/>
    <s v="Clusterin-associated protein 1"/>
  </r>
  <r>
    <x v="1"/>
    <x v="0"/>
    <s v="Ssiderea000015"/>
    <n v="-1.0042449"/>
    <n v="-1.5455958000000001"/>
    <s v="Direct"/>
    <s v="NA"/>
  </r>
  <r>
    <x v="1"/>
    <x v="0"/>
    <s v="Ssiderea000224"/>
    <n v="1.54479433"/>
    <n v="1.07941441"/>
    <s v="Direct"/>
    <s v="NA"/>
  </r>
  <r>
    <x v="1"/>
    <x v="0"/>
    <s v="Ssiderea000237"/>
    <n v="-2.1846516"/>
    <n v="-1.1463365000000001"/>
    <s v="Direct"/>
    <s v="Aminotransferase class-V"/>
  </r>
  <r>
    <x v="1"/>
    <x v="0"/>
    <s v="Ssiderea000427"/>
    <n v="1.37031711"/>
    <n v="1.1999448800000001"/>
    <s v="Direct"/>
    <s v="NA"/>
  </r>
  <r>
    <x v="1"/>
    <x v="0"/>
    <s v="Ssiderea000429"/>
    <n v="1.48674555"/>
    <n v="1.2960633800000001"/>
    <s v="Direct"/>
    <s v="NA"/>
  </r>
  <r>
    <x v="1"/>
    <x v="0"/>
    <s v="Ssiderea000611"/>
    <n v="2.1740424699999998"/>
    <n v="1.1160096799999999"/>
    <s v="Direct"/>
    <s v="V-myc avian myelocytomatosis viral oncogene homolog"/>
  </r>
  <r>
    <x v="1"/>
    <x v="0"/>
    <s v="Ssiderea000641"/>
    <n v="-1.8052501000000001"/>
    <n v="-2.285463"/>
    <s v="Direct"/>
    <s v="NA"/>
  </r>
  <r>
    <x v="1"/>
    <x v="0"/>
    <s v="Ssiderea000666"/>
    <n v="-2.8119372"/>
    <n v="-2.0203720000000001"/>
    <s v="Direct"/>
    <s v="rRNA (cytosine-N4-)-methyltransferase activity"/>
  </r>
  <r>
    <x v="1"/>
    <x v="0"/>
    <s v="Ssiderea000887"/>
    <n v="-1.634002"/>
    <n v="-1.0515694"/>
    <s v="Direct"/>
    <s v="NA"/>
  </r>
  <r>
    <x v="1"/>
    <x v="0"/>
    <s v="Ssiderea000947"/>
    <n v="-1.0261464"/>
    <n v="-2.1503111000000001"/>
    <s v="Direct"/>
    <s v="NA"/>
  </r>
  <r>
    <x v="1"/>
    <x v="0"/>
    <s v="Ssiderea001003"/>
    <n v="1.2641227399999999"/>
    <n v="1.84574123"/>
    <s v="Direct"/>
    <s v="NA"/>
  </r>
  <r>
    <x v="1"/>
    <x v="0"/>
    <s v="Ssiderea001053"/>
    <n v="1.30826413"/>
    <n v="1.00367048"/>
    <s v="Direct"/>
    <s v="NA"/>
  </r>
  <r>
    <x v="1"/>
    <x v="0"/>
    <s v="Ssiderea001099"/>
    <n v="-3.276843"/>
    <n v="-2.285463"/>
    <s v="Direct"/>
    <s v="electron-transferring-flavoprotein dehydrogenase activity"/>
  </r>
  <r>
    <x v="1"/>
    <x v="0"/>
    <s v="Ssiderea001224"/>
    <n v="1.1142970000000001"/>
    <n v="1.4711675900000001"/>
    <s v="Direct"/>
    <s v="NA"/>
  </r>
  <r>
    <x v="1"/>
    <x v="0"/>
    <s v="Ssiderea001235"/>
    <n v="-2.0280646999999998"/>
    <n v="-3.2864908000000002"/>
    <s v="Direct"/>
    <s v="NA"/>
  </r>
  <r>
    <x v="1"/>
    <x v="0"/>
    <s v="Ssiderea001255"/>
    <n v="1.01659999"/>
    <n v="1.3660684999999999"/>
    <s v="Direct"/>
    <s v="Activating transcription factor"/>
  </r>
  <r>
    <x v="1"/>
    <x v="0"/>
    <s v="Ssiderea001546"/>
    <n v="1.36351073"/>
    <n v="2.1751348699999999"/>
    <s v="Direct"/>
    <s v="NA"/>
  </r>
  <r>
    <x v="1"/>
    <x v="0"/>
    <s v="Ssiderea001555"/>
    <n v="1.75796218"/>
    <n v="3.2914070899999999"/>
    <s v="Direct"/>
    <s v="NA"/>
  </r>
  <r>
    <x v="1"/>
    <x v="0"/>
    <s v="Ssiderea001788"/>
    <n v="-1.0855697"/>
    <n v="-1.3823023000000001"/>
    <s v="Direct"/>
    <s v="NA"/>
  </r>
  <r>
    <x v="1"/>
    <x v="0"/>
    <s v="Ssiderea001912"/>
    <n v="1.2094640800000001"/>
    <n v="1.47950129"/>
    <s v="Direct"/>
    <s v="NA"/>
  </r>
  <r>
    <x v="1"/>
    <x v="0"/>
    <s v="Ssiderea001921"/>
    <n v="2.8124937700000001"/>
    <n v="2.4672027500000002"/>
    <s v="Direct"/>
    <s v="axonal fasciculation"/>
  </r>
  <r>
    <x v="1"/>
    <x v="0"/>
    <s v="Ssiderea002019"/>
    <n v="-1.1164689000000001"/>
    <n v="-1.4244531"/>
    <s v="Direct"/>
    <s v="potassium channel activity"/>
  </r>
  <r>
    <x v="1"/>
    <x v="0"/>
    <s v="Ssiderea002032"/>
    <n v="2.5249594000000002"/>
    <n v="3.4800905000000002"/>
    <s v="Direct"/>
    <s v="sequence-specific DNA binding"/>
  </r>
  <r>
    <x v="1"/>
    <x v="0"/>
    <s v="Ssiderea002077"/>
    <n v="-1.1711201"/>
    <n v="-1.1309206000000001"/>
    <s v="Direct"/>
    <s v="NA"/>
  </r>
  <r>
    <x v="1"/>
    <x v="0"/>
    <s v="Ssiderea002092"/>
    <n v="-3.971565"/>
    <n v="-4.9022246000000003"/>
    <s v="Direct"/>
    <s v="NA"/>
  </r>
  <r>
    <x v="1"/>
    <x v="0"/>
    <s v="Ssiderea002182"/>
    <n v="-1.8996492"/>
    <n v="-5.6933476000000001"/>
    <s v="Direct"/>
    <s v="ATPase activity, coupled to transmembrane movement of substances"/>
  </r>
  <r>
    <x v="1"/>
    <x v="0"/>
    <s v="Ssiderea002237"/>
    <n v="-1.3110895"/>
    <n v="-2.3598683999999999"/>
    <s v="Direct"/>
    <s v="Zona pellucida (ZP) domain"/>
  </r>
  <r>
    <x v="1"/>
    <x v="0"/>
    <s v="Ssiderea002379"/>
    <n v="3.29001929"/>
    <n v="2.02349399"/>
    <s v="Direct"/>
    <s v="NA"/>
  </r>
  <r>
    <x v="1"/>
    <x v="0"/>
    <s v="Ssiderea002433"/>
    <n v="2.6852830499999998"/>
    <n v="1.2282318699999999"/>
    <s v="Direct"/>
    <s v="protein cell adhesion"/>
  </r>
  <r>
    <x v="1"/>
    <x v="0"/>
    <s v="Ssiderea002455"/>
    <n v="1.5001497399999999"/>
    <n v="1.24251987"/>
    <s v="Direct"/>
    <s v="fibroblast growth factor-activated receptor activity"/>
  </r>
  <r>
    <x v="1"/>
    <x v="0"/>
    <s v="Ssiderea002496"/>
    <n v="1.3947674400000001"/>
    <n v="1.61802869"/>
    <s v="Direct"/>
    <s v="Immunoglobulin C-2 Type"/>
  </r>
  <r>
    <x v="1"/>
    <x v="0"/>
    <s v="Ssiderea002497"/>
    <n v="2.8341535599999998"/>
    <n v="2.4751853100000001"/>
    <s v="Direct"/>
    <s v="NA"/>
  </r>
  <r>
    <x v="1"/>
    <x v="0"/>
    <s v="Ssiderea002528"/>
    <n v="-3.971565"/>
    <n v="-2.3198104000000002"/>
    <s v="Direct"/>
    <s v="Immunoglobulin C-2 Type"/>
  </r>
  <r>
    <x v="1"/>
    <x v="0"/>
    <s v="Ssiderea002562"/>
    <n v="8.5721205499999993"/>
    <n v="3.98445297"/>
    <s v="Direct"/>
    <s v="Immunoglobulin C-2 Type"/>
  </r>
  <r>
    <x v="1"/>
    <x v="0"/>
    <s v="Ssiderea002621"/>
    <n v="1.60470932"/>
    <n v="1.1716438300000001"/>
    <s v="Direct"/>
    <s v="Immunoglobulin C-2 Type"/>
  </r>
  <r>
    <x v="1"/>
    <x v="0"/>
    <s v="Ssiderea002654"/>
    <n v="-1.8055211"/>
    <n v="-1.3984856999999999"/>
    <s v="Direct"/>
    <s v="NA"/>
  </r>
  <r>
    <x v="1"/>
    <x v="0"/>
    <s v="Ssiderea002801"/>
    <n v="-1.6454120999999999"/>
    <n v="-1.2081381"/>
    <s v="Direct"/>
    <s v="Tetratricopeptide repeat"/>
  </r>
  <r>
    <x v="1"/>
    <x v="0"/>
    <s v="Ssiderea002911"/>
    <n v="-2.8233133000000001"/>
    <n v="-1.1483227"/>
    <s v="Direct"/>
    <s v="NA"/>
  </r>
  <r>
    <x v="1"/>
    <x v="0"/>
    <s v="Ssiderea003038"/>
    <n v="-1.2540837"/>
    <n v="-2.1040193999999999"/>
    <s v="Direct"/>
    <s v="Ribonuclease P"/>
  </r>
  <r>
    <x v="1"/>
    <x v="0"/>
    <s v="Ssiderea003132"/>
    <n v="-2.4362938000000001"/>
    <n v="-1.9852593999999999"/>
    <s v="Direct"/>
    <s v="thioesterase binding"/>
  </r>
  <r>
    <x v="1"/>
    <x v="0"/>
    <s v="Ssiderea003344"/>
    <n v="-1.0407126"/>
    <n v="-1.2551059"/>
    <s v="Direct"/>
    <s v="NA"/>
  </r>
  <r>
    <x v="1"/>
    <x v="0"/>
    <s v="Ssiderea003363"/>
    <n v="1.0902451900000001"/>
    <n v="1.2646615000000001"/>
    <s v="Direct"/>
    <s v="SAM dependent carboxyl methyltransferase"/>
  </r>
  <r>
    <x v="1"/>
    <x v="0"/>
    <s v="Ssiderea003373"/>
    <n v="-1.3500513000000001"/>
    <n v="-1.9652277"/>
    <s v="Direct"/>
    <s v="integrin binding"/>
  </r>
  <r>
    <x v="1"/>
    <x v="0"/>
    <s v="Ssiderea003526"/>
    <n v="3.3950683100000001"/>
    <n v="3.2734557"/>
    <s v="Direct"/>
    <s v="NA"/>
  </r>
  <r>
    <x v="1"/>
    <x v="0"/>
    <s v="Ssiderea003708"/>
    <n v="-1.1710103000000001"/>
    <n v="-1.3400848999999999"/>
    <s v="Direct"/>
    <s v="G-protein coupled receptor activity"/>
  </r>
  <r>
    <x v="1"/>
    <x v="0"/>
    <s v="Ssiderea003741"/>
    <n v="-1.3201883999999999"/>
    <n v="-2.3660364999999999"/>
    <s v="Direct"/>
    <s v="nuclear receptor transcription coactivator activity"/>
  </r>
  <r>
    <x v="1"/>
    <x v="0"/>
    <s v="Ssiderea003746"/>
    <n v="-2.0018631999999998"/>
    <n v="-1.0177259999999999"/>
    <s v="Direct"/>
    <s v="nuclear receptor transcription coactivator activity"/>
  </r>
  <r>
    <x v="1"/>
    <x v="0"/>
    <s v="Ssiderea003822"/>
    <n v="1.78800143"/>
    <n v="1.1379111200000001"/>
    <s v="Direct"/>
    <s v="rRNA binding"/>
  </r>
  <r>
    <x v="1"/>
    <x v="0"/>
    <s v="Ssiderea003871"/>
    <n v="-1.1186411000000001"/>
    <n v="-1.3490518"/>
    <s v="Direct"/>
    <s v="positive regulation of MHC class I biosynthetic process"/>
  </r>
  <r>
    <x v="1"/>
    <x v="0"/>
    <s v="Ssiderea003873"/>
    <n v="-3.1528729000000002"/>
    <n v="-2.5290108999999998"/>
    <s v="Direct"/>
    <s v="NA"/>
  </r>
  <r>
    <x v="1"/>
    <x v="0"/>
    <s v="Ssiderea003887"/>
    <n v="-2.6219695000000001"/>
    <n v="-2.1132730999999998"/>
    <s v="Direct"/>
    <s v="Fish-specific NACHT associated domain"/>
  </r>
  <r>
    <x v="1"/>
    <x v="0"/>
    <s v="Ssiderea003910"/>
    <n v="-1.3699133999999999"/>
    <n v="-2.0376801000000002"/>
    <s v="Direct"/>
    <s v="ATPase activity, coupled to transmembrane movement of substances"/>
  </r>
  <r>
    <x v="1"/>
    <x v="0"/>
    <s v="Ssiderea003920"/>
    <n v="-1.0654191"/>
    <n v="-2.0832438"/>
    <s v="Direct"/>
    <s v="cellular calcium ion homeostasis"/>
  </r>
  <r>
    <x v="1"/>
    <x v="0"/>
    <s v="Ssiderea003942"/>
    <n v="1.16541911"/>
    <n v="1.8590779099999999"/>
    <s v="Direct"/>
    <s v="NA"/>
  </r>
  <r>
    <x v="1"/>
    <x v="0"/>
    <s v="Ssiderea003943"/>
    <n v="-1.6873308"/>
    <n v="-1.5724591000000001"/>
    <s v="Direct"/>
    <s v="NA"/>
  </r>
  <r>
    <x v="1"/>
    <x v="0"/>
    <s v="Ssiderea004147"/>
    <n v="-2.0812865999999999"/>
    <n v="-1.5846317999999999"/>
    <s v="Direct"/>
    <s v="Endoplasmic reticulum to nucleus signaling"/>
  </r>
  <r>
    <x v="1"/>
    <x v="0"/>
    <s v="Ssiderea004283"/>
    <n v="-2.3416413999999999"/>
    <n v="-1.0772455999999999"/>
    <s v="Direct"/>
    <s v="NA"/>
  </r>
  <r>
    <x v="1"/>
    <x v="0"/>
    <s v="Ssiderea004302"/>
    <n v="-1.3758033000000001"/>
    <n v="-2.3860201999999999"/>
    <s v="Direct"/>
    <s v="regulation of mitotic cell cycle"/>
  </r>
  <r>
    <x v="1"/>
    <x v="0"/>
    <s v="Ssiderea004440"/>
    <n v="-1.3447595999999999"/>
    <n v="-1.4083464000000001"/>
    <s v="Direct"/>
    <s v="NA"/>
  </r>
  <r>
    <x v="1"/>
    <x v="0"/>
    <s v="Ssiderea004449"/>
    <n v="1.1156464500000001"/>
    <n v="1.3600667399999999"/>
    <s v="Direct"/>
    <s v="protein glycosylation in Golgi"/>
  </r>
  <r>
    <x v="1"/>
    <x v="0"/>
    <s v="Ssiderea004533"/>
    <n v="1.97504623"/>
    <n v="2.2410559299999999"/>
    <s v="Direct"/>
    <s v="cysteine-type peptidase activity"/>
  </r>
  <r>
    <x v="1"/>
    <x v="0"/>
    <s v="Ssiderea004542"/>
    <n v="2.38263048"/>
    <n v="1.1896191899999999"/>
    <s v="Direct"/>
    <s v="NA"/>
  </r>
  <r>
    <x v="1"/>
    <x v="0"/>
    <s v="Ssiderea004652"/>
    <n v="-2.2164446999999998"/>
    <n v="-1.5337405"/>
    <s v="Direct"/>
    <s v="NA"/>
  </r>
  <r>
    <x v="1"/>
    <x v="0"/>
    <s v="Ssiderea004723"/>
    <n v="-1.1654191"/>
    <n v="-1.0487662"/>
    <s v="Direct"/>
    <s v="larval turning behavior"/>
  </r>
  <r>
    <x v="1"/>
    <x v="0"/>
    <s v="Ssiderea004734"/>
    <n v="-2.5173502999999999"/>
    <n v="-1.7604344000000001"/>
    <s v="Direct"/>
    <s v="Ion channel activity. It is involved in the biological process described with ion transport"/>
  </r>
  <r>
    <x v="1"/>
    <x v="0"/>
    <s v="Ssiderea004833"/>
    <n v="4.2256795699999996"/>
    <n v="1.2945927699999999"/>
    <s v="Direct"/>
    <s v="NA"/>
  </r>
  <r>
    <x v="1"/>
    <x v="0"/>
    <s v="Ssiderea004837"/>
    <n v="2.4767692499999998"/>
    <n v="2.7856769699999999"/>
    <s v="Direct"/>
    <s v="NA"/>
  </r>
  <r>
    <x v="1"/>
    <x v="0"/>
    <s v="Ssiderea004900"/>
    <n v="-1.0697140999999999"/>
    <n v="-2.0435702"/>
    <s v="Direct"/>
    <s v="NA"/>
  </r>
  <r>
    <x v="1"/>
    <x v="0"/>
    <s v="Ssiderea004908"/>
    <n v="1.2641227399999999"/>
    <n v="1.3275510699999999"/>
    <s v="Direct"/>
    <s v="Belongs to the enoyl-CoA hydratase isomerase family"/>
  </r>
  <r>
    <x v="1"/>
    <x v="0"/>
    <s v="Ssiderea005001"/>
    <n v="-3.7448522"/>
    <n v="-9.0754552000000004"/>
    <s v="Direct"/>
    <s v="regulation of mitotic cell cycle"/>
  </r>
  <r>
    <x v="1"/>
    <x v="0"/>
    <s v="Ssiderea005002"/>
    <n v="-1.6189146999999999"/>
    <n v="-2.6967048"/>
    <s v="Direct"/>
    <s v="regulation of mitotic cell cycle"/>
  </r>
  <r>
    <x v="1"/>
    <x v="0"/>
    <s v="Ssiderea005039"/>
    <n v="-1.7449250999999999"/>
    <n v="-1.4407989999999999"/>
    <s v="Direct"/>
    <s v="carbohydrate binding"/>
  </r>
  <r>
    <x v="1"/>
    <x v="0"/>
    <s v="Ssiderea005044"/>
    <n v="-1.6523277999999999"/>
    <n v="-1.9663067000000001"/>
    <s v="Direct"/>
    <s v="NA"/>
  </r>
  <r>
    <x v="1"/>
    <x v="0"/>
    <s v="Ssiderea005272"/>
    <n v="-1.733608"/>
    <n v="-1.6663307999999999"/>
    <s v="Direct"/>
    <s v="endocytic recycling"/>
  </r>
  <r>
    <x v="1"/>
    <x v="0"/>
    <s v="Ssiderea005375"/>
    <n v="8.4521958900000005"/>
    <n v="1.2686058200000001"/>
    <s v="Direct"/>
    <s v="NA"/>
  </r>
  <r>
    <x v="1"/>
    <x v="0"/>
    <s v="Ssiderea005418"/>
    <n v="-1.1475078000000001"/>
    <n v="-1.6968158"/>
    <s v="Direct"/>
    <s v="NA"/>
  </r>
  <r>
    <x v="1"/>
    <x v="0"/>
    <s v="Ssiderea005419"/>
    <n v="1.7242562800000001"/>
    <n v="2.9703034399999999"/>
    <s v="Direct"/>
    <s v="NA"/>
  </r>
  <r>
    <x v="1"/>
    <x v="0"/>
    <s v="Ssiderea005706"/>
    <n v="1.4972721899999999"/>
    <n v="1.0191653899999999"/>
    <s v="Direct"/>
    <s v="mRNA export"/>
  </r>
  <r>
    <x v="1"/>
    <x v="0"/>
    <s v="Ssiderea005709"/>
    <n v="2.00882761"/>
    <n v="2.1880946300000002"/>
    <s v="Direct"/>
    <s v="NA"/>
  </r>
  <r>
    <x v="1"/>
    <x v="0"/>
    <s v="Ssiderea005722"/>
    <n v="-1.9829626"/>
    <n v="-1.0037723999999999"/>
    <s v="Direct"/>
    <s v="NA"/>
  </r>
  <r>
    <x v="1"/>
    <x v="0"/>
    <s v="Ssiderea005770"/>
    <n v="-3.3432301"/>
    <n v="-2.3511359000000001"/>
    <s v="Direct"/>
    <s v="NA"/>
  </r>
  <r>
    <x v="1"/>
    <x v="0"/>
    <s v="Ssiderea005797"/>
    <n v="1.1047068099999999"/>
    <n v="2.2958446800000001"/>
    <s v="Direct"/>
    <s v="NA"/>
  </r>
  <r>
    <x v="1"/>
    <x v="0"/>
    <s v="Ssiderea005820"/>
    <n v="-1.8398843"/>
    <n v="-1.1052181000000001"/>
    <s v="Direct"/>
    <s v="e3 ubiquitin-protein ligase"/>
  </r>
  <r>
    <x v="1"/>
    <x v="0"/>
    <s v="Ssiderea005824"/>
    <n v="1.27019021"/>
    <n v="1.46794818"/>
    <s v="Direct"/>
    <s v="DNA replication-independent nucleosome assembly"/>
  </r>
  <r>
    <x v="1"/>
    <x v="0"/>
    <s v="Ssiderea005825"/>
    <n v="-1.2331787999999999"/>
    <n v="-2.1842969000000001"/>
    <s v="Direct"/>
    <s v="NA"/>
  </r>
  <r>
    <x v="1"/>
    <x v="0"/>
    <s v="Ssiderea005881"/>
    <n v="1.99732387"/>
    <n v="1.46396842"/>
    <s v="Direct"/>
    <s v="WD40 repeats"/>
  </r>
  <r>
    <x v="1"/>
    <x v="0"/>
    <s v="Ssiderea005884"/>
    <n v="1.4143317500000001"/>
    <n v="1.34008493"/>
    <s v="Direct"/>
    <s v="TBCC domain-containing protein 1"/>
  </r>
  <r>
    <x v="1"/>
    <x v="0"/>
    <s v="Ssiderea005885"/>
    <n v="1.62285079"/>
    <n v="1.2584378199999999"/>
    <s v="Direct"/>
    <s v="NA"/>
  </r>
  <r>
    <x v="1"/>
    <x v="0"/>
    <s v="Ssiderea006059"/>
    <n v="-1.1438288000000001"/>
    <n v="-1.1397052999999999"/>
    <s v="Direct"/>
    <s v="NA"/>
  </r>
  <r>
    <x v="1"/>
    <x v="0"/>
    <s v="Ssiderea006071"/>
    <n v="1.1982053699999999"/>
    <n v="1.8590779099999999"/>
    <s v="Direct"/>
    <s v="NA"/>
  </r>
  <r>
    <x v="1"/>
    <x v="0"/>
    <s v="Ssiderea006084"/>
    <n v="1.50270992"/>
    <n v="2.6907943599999999"/>
    <s v="Direct"/>
    <s v="Complement Clr-like EGF-like"/>
  </r>
  <r>
    <x v="1"/>
    <x v="0"/>
    <s v="Ssiderea006090"/>
    <n v="-1.0086611999999999"/>
    <n v="-3.0791319000000001"/>
    <s v="Direct"/>
    <s v="axonogenesis involved in innervation"/>
  </r>
  <r>
    <x v="1"/>
    <x v="0"/>
    <s v="Ssiderea006333"/>
    <n v="-1.4005226"/>
    <n v="-2.2085832000000001"/>
    <s v="Direct"/>
    <s v="Calcium ion binding. It is involved in the biological process described with regulation of developmental process"/>
  </r>
  <r>
    <x v="1"/>
    <x v="0"/>
    <s v="Ssiderea006354"/>
    <n v="1.9215458999999999"/>
    <n v="1.31894892"/>
    <s v="Direct"/>
    <s v="NA"/>
  </r>
  <r>
    <x v="1"/>
    <x v="0"/>
    <s v="Ssiderea006355"/>
    <n v="1.08700131"/>
    <n v="2.7544761200000001"/>
    <s v="Direct"/>
    <s v="NA"/>
  </r>
  <r>
    <x v="1"/>
    <x v="0"/>
    <s v="Ssiderea006567"/>
    <n v="-1.7335860000000001"/>
    <n v="-1.7418876999999999"/>
    <s v="Direct"/>
    <s v="NA"/>
  </r>
  <r>
    <x v="1"/>
    <x v="0"/>
    <s v="Ssiderea006569"/>
    <n v="1.7457292200000001"/>
    <n v="2.7936375899999999"/>
    <s v="Direct"/>
    <s v="Coagulation factor 5/8 C-terminal domain, discoidin domain"/>
  </r>
  <r>
    <x v="1"/>
    <x v="0"/>
    <s v="Ssiderea006707"/>
    <n v="1.8499028099999999"/>
    <n v="1.4221965299999999"/>
    <s v="Direct"/>
    <s v="regulation of mitotic cell cycle"/>
  </r>
  <r>
    <x v="1"/>
    <x v="0"/>
    <s v="Ssiderea006712"/>
    <n v="1.16541911"/>
    <n v="1.39730822"/>
    <s v="Direct"/>
    <s v="ATP binding"/>
  </r>
  <r>
    <x v="1"/>
    <x v="0"/>
    <s v="Ssiderea007355"/>
    <n v="-2.2450834"/>
    <n v="-1.3490518"/>
    <s v="Direct"/>
    <s v="metanephric glomerular basement membrane development"/>
  </r>
  <r>
    <x v="1"/>
    <x v="0"/>
    <s v="Ssiderea007357"/>
    <n v="-3.2141910999999999"/>
    <n v="-1.0187147999999999"/>
    <s v="Direct"/>
    <s v="calcium ion transport"/>
  </r>
  <r>
    <x v="1"/>
    <x v="0"/>
    <s v="Ssiderea007529"/>
    <n v="3.6095962199999998"/>
    <n v="2.81196124"/>
    <s v="Direct"/>
    <s v="NA"/>
  </r>
  <r>
    <x v="1"/>
    <x v="0"/>
    <s v="Ssiderea007554"/>
    <n v="-2.2226905000000001"/>
    <n v="-2.1268085000000001"/>
    <s v="Direct"/>
    <s v="glucose:sodium symporter activity"/>
  </r>
  <r>
    <x v="1"/>
    <x v="0"/>
    <s v="Ssiderea007661"/>
    <n v="-2.6618472"/>
    <n v="-1.2259485000000001"/>
    <s v="Direct"/>
    <s v="NA"/>
  </r>
  <r>
    <x v="1"/>
    <x v="0"/>
    <s v="Ssiderea007706"/>
    <n v="-1.3881562000000001"/>
    <n v="-2.1263033"/>
    <s v="Direct"/>
    <s v="NA"/>
  </r>
  <r>
    <x v="1"/>
    <x v="0"/>
    <s v="Ssiderea007768"/>
    <n v="-1.268419"/>
    <n v="-2.4815356999999998"/>
    <s v="Direct"/>
    <s v="NA"/>
  </r>
  <r>
    <x v="1"/>
    <x v="0"/>
    <s v="Ssiderea007826"/>
    <n v="-1.8319897000000001"/>
    <n v="-2.7856770000000002"/>
    <s v="Direct"/>
    <s v="EGF domain"/>
  </r>
  <r>
    <x v="1"/>
    <x v="0"/>
    <s v="Ssiderea007918"/>
    <n v="-1.0636015999999999"/>
    <n v="-1.1918937000000001"/>
    <s v="Direct"/>
    <s v="medium-chain fatty acid-CoA ligase activity"/>
  </r>
  <r>
    <x v="1"/>
    <x v="0"/>
    <s v="Ssiderea007956"/>
    <n v="-2.3289420000000001"/>
    <n v="-1.1680453"/>
    <s v="Direct"/>
    <s v="Belongs to the peptidase C19 family"/>
  </r>
  <r>
    <x v="1"/>
    <x v="0"/>
    <s v="Ssiderea008044"/>
    <n v="-1.0847807"/>
    <n v="-2.4693277999999999"/>
    <s v="Direct"/>
    <s v="NA"/>
  </r>
  <r>
    <x v="1"/>
    <x v="0"/>
    <s v="Ssiderea008138"/>
    <n v="1.8006264400000001"/>
    <n v="2.3350138600000001"/>
    <s v="Direct"/>
    <s v="NA"/>
  </r>
  <r>
    <x v="1"/>
    <x v="0"/>
    <s v="Ssiderea008285"/>
    <n v="1.7055059400000001"/>
    <n v="1.9405601100000001"/>
    <s v="Direct"/>
    <s v="AP-5 complex subunit sigma-1"/>
  </r>
  <r>
    <x v="1"/>
    <x v="0"/>
    <s v="Ssiderea008320"/>
    <n v="-1.5818730999999999"/>
    <n v="-1.2159120000000001"/>
    <s v="Direct"/>
    <s v="FAD transmembrane transport"/>
  </r>
  <r>
    <x v="1"/>
    <x v="0"/>
    <s v="Ssiderea008343"/>
    <n v="3.3792353799999999"/>
    <n v="1.90818256"/>
    <s v="Direct"/>
    <s v="NA"/>
  </r>
  <r>
    <x v="1"/>
    <x v="0"/>
    <s v="Ssiderea008478"/>
    <n v="-2.3274773"/>
    <n v="-1.2112632999999999"/>
    <s v="Direct"/>
    <s v="NA"/>
  </r>
  <r>
    <x v="1"/>
    <x v="0"/>
    <s v="Ssiderea008532"/>
    <n v="2.3904868000000001"/>
    <n v="1.8457623400000001"/>
    <s v="Direct"/>
    <s v="scavenger receptor activity"/>
  </r>
  <r>
    <x v="1"/>
    <x v="0"/>
    <s v="Ssiderea008739"/>
    <n v="-3.0402684"/>
    <n v="-1.5197670000000001"/>
    <s v="Direct"/>
    <s v="NA"/>
  </r>
  <r>
    <x v="1"/>
    <x v="0"/>
    <s v="Ssiderea008754"/>
    <n v="1.2379481800000001"/>
    <n v="1.0154429300000001"/>
    <s v="Direct"/>
    <s v="NA"/>
  </r>
  <r>
    <x v="1"/>
    <x v="0"/>
    <s v="Ssiderea008758"/>
    <n v="-1.0847807"/>
    <n v="-1.6160334999999999"/>
    <s v="Direct"/>
    <s v="NA"/>
  </r>
  <r>
    <x v="1"/>
    <x v="0"/>
    <s v="Ssiderea008952"/>
    <n v="5.8842254399999998"/>
    <n v="1.62202756"/>
    <s v="Direct"/>
    <s v="G-protein coupled receptor activity"/>
  </r>
  <r>
    <x v="1"/>
    <x v="0"/>
    <s v="Ssiderea008973"/>
    <n v="1.4348046400000001"/>
    <n v="1.0731389"/>
    <s v="Direct"/>
    <s v="NA"/>
  </r>
  <r>
    <x v="1"/>
    <x v="0"/>
    <s v="Ssiderea009069"/>
    <n v="2.0870284899999998"/>
    <n v="2.07164269"/>
    <s v="Direct"/>
    <s v="Coagulation factor 5/8 C-terminal domain, discoidin domain"/>
  </r>
  <r>
    <x v="1"/>
    <x v="0"/>
    <s v="Ssiderea009081"/>
    <n v="-1.6671994000000001"/>
    <n v="-1.1160097"/>
    <s v="Direct"/>
    <s v="catalytic activity. It is involved in the biological process described with metabolic process"/>
  </r>
  <r>
    <x v="1"/>
    <x v="0"/>
    <s v="Ssiderea009116"/>
    <n v="1.36509668"/>
    <n v="1.12238587"/>
    <s v="Direct"/>
    <s v="Lipocalin-like domain"/>
  </r>
  <r>
    <x v="1"/>
    <x v="0"/>
    <s v="Ssiderea009695"/>
    <n v="-2.2226905000000001"/>
    <n v="-1.3207507000000001"/>
    <s v="Direct"/>
    <s v="NA"/>
  </r>
  <r>
    <x v="1"/>
    <x v="0"/>
    <s v="Ssiderea009730"/>
    <n v="1.31113378"/>
    <n v="2.2372180500000001"/>
    <s v="Direct"/>
    <s v="NA"/>
  </r>
  <r>
    <x v="1"/>
    <x v="0"/>
    <s v="Ssiderea009771"/>
    <n v="1.0774347200000001"/>
    <n v="2.1493360899999998"/>
    <s v="Direct"/>
    <s v="NA"/>
  </r>
  <r>
    <x v="1"/>
    <x v="0"/>
    <s v="Ssiderea009801"/>
    <n v="2.7945322400000001"/>
    <n v="3.5428759900000002"/>
    <s v="Direct"/>
    <s v="NA"/>
  </r>
  <r>
    <x v="1"/>
    <x v="0"/>
    <s v="Ssiderea009898"/>
    <n v="2.8217308700000001"/>
    <n v="4.2160103800000002"/>
    <s v="Direct"/>
    <s v="Papain family cysteine protease"/>
  </r>
  <r>
    <x v="1"/>
    <x v="0"/>
    <s v="Ssiderea009987"/>
    <n v="1.00301521"/>
    <n v="1.4773079499999999"/>
    <s v="Direct"/>
    <s v="SANT SWI3, ADA2, N-CoR and TFIIIB'' DNA-binding domains"/>
  </r>
  <r>
    <x v="1"/>
    <x v="0"/>
    <s v="Ssiderea010003"/>
    <n v="1.89964924"/>
    <n v="2.7324447599999999"/>
    <s v="Direct"/>
    <s v="NA"/>
  </r>
  <r>
    <x v="1"/>
    <x v="0"/>
    <s v="Ssiderea010143"/>
    <n v="-2.2968866999999999"/>
    <n v="-2.2320997"/>
    <s v="Direct"/>
    <s v="NA"/>
  </r>
  <r>
    <x v="1"/>
    <x v="0"/>
    <s v="Ssiderea010168"/>
    <n v="-1.4061954999999999"/>
    <n v="-1.3527106"/>
    <s v="Direct"/>
    <s v="7 transmembrane receptor (rhodopsin family)"/>
  </r>
  <r>
    <x v="1"/>
    <x v="0"/>
    <s v="Ssiderea010217"/>
    <n v="-1.7971482999999999"/>
    <n v="-2.0834524000000001"/>
    <s v="Direct"/>
    <s v="NA"/>
  </r>
  <r>
    <x v="1"/>
    <x v="0"/>
    <s v="Ssiderea010264"/>
    <n v="3.5609882800000001"/>
    <n v="3.2421813300000002"/>
    <s v="Direct"/>
    <s v="zinc ion binding"/>
  </r>
  <r>
    <x v="1"/>
    <x v="0"/>
    <s v="Ssiderea010280"/>
    <n v="1.1724828199999999"/>
    <n v="1.2584378199999999"/>
    <s v="Direct"/>
    <s v="NA"/>
  </r>
  <r>
    <x v="1"/>
    <x v="0"/>
    <s v="Ssiderea010348"/>
    <n v="-2.4154827000000001"/>
    <n v="-1.1604606"/>
    <s v="Direct"/>
    <s v="Spermine synthase activity. It is involved in the biological process described with spermine biosynthetic process"/>
  </r>
  <r>
    <x v="1"/>
    <x v="0"/>
    <s v="Ssiderea010376"/>
    <n v="1.2002911999999999"/>
    <n v="1.93439951"/>
    <s v="Direct"/>
    <s v="homogentisate 1,2-dioxygenase activity"/>
  </r>
  <r>
    <x v="1"/>
    <x v="0"/>
    <s v="Ssiderea010471"/>
    <n v="-1.3453812999999999"/>
    <n v="-4.9022246000000003"/>
    <s v="Direct"/>
    <s v="coreceptor activity involved in Wnt signaling pathway, planar cell polarity pathway"/>
  </r>
  <r>
    <x v="1"/>
    <x v="0"/>
    <s v="Ssiderea010741"/>
    <n v="1.1355926300000001"/>
    <n v="1.1812731400000001"/>
    <s v="Direct"/>
    <s v="Notch homolog"/>
  </r>
  <r>
    <x v="1"/>
    <x v="0"/>
    <s v="Ssiderea010865"/>
    <n v="1.14761278"/>
    <n v="1.1772297300000001"/>
    <s v="Direct"/>
    <s v="carbohydrate binding"/>
  </r>
  <r>
    <x v="1"/>
    <x v="0"/>
    <s v="Ssiderea010960"/>
    <n v="-1.1455804999999999"/>
    <n v="-1.7659368"/>
    <s v="Direct"/>
    <s v="nail development"/>
  </r>
  <r>
    <x v="1"/>
    <x v="0"/>
    <s v="Ssiderea010964"/>
    <n v="-1.5024021999999999"/>
    <n v="-1.0772455999999999"/>
    <s v="Direct"/>
    <s v="regulation of mitotic cell cycle"/>
  </r>
  <r>
    <x v="1"/>
    <x v="0"/>
    <s v="Ssiderea011005"/>
    <n v="1.2163998899999999"/>
    <n v="3.8912848699999998"/>
    <s v="Direct"/>
    <s v="NA"/>
  </r>
  <r>
    <x v="1"/>
    <x v="0"/>
    <s v="Ssiderea011080"/>
    <n v="-2.5045511"/>
    <n v="-1.3341771"/>
    <s v="Direct"/>
    <s v="Caspase domain"/>
  </r>
  <r>
    <x v="1"/>
    <x v="0"/>
    <s v="Ssiderea011154"/>
    <n v="1.0658257900000001"/>
    <n v="1.1147141899999999"/>
    <s v="Direct"/>
    <s v="Hemicentin 1"/>
  </r>
  <r>
    <x v="1"/>
    <x v="0"/>
    <s v="Ssiderea011251"/>
    <n v="1.04291428"/>
    <n v="2.1115193400000001"/>
    <s v="Direct"/>
    <s v="positive regulation of phosphorylation of RNA polymerase II C-terminal domain"/>
  </r>
  <r>
    <x v="1"/>
    <x v="0"/>
    <s v="Ssiderea011304"/>
    <n v="1.29496564"/>
    <n v="1.6135619699999999"/>
    <s v="Direct"/>
    <s v="Protein tyrosine phosphatase, catalytic domain"/>
  </r>
  <r>
    <x v="1"/>
    <x v="0"/>
    <s v="Ssiderea011491"/>
    <n v="1.0443535500000001"/>
    <n v="1.32035982"/>
    <s v="Direct"/>
    <s v="calmodulin-dependent protein kinase activity"/>
  </r>
  <r>
    <x v="1"/>
    <x v="0"/>
    <s v="Ssiderea011597"/>
    <n v="-1.6947198000000001"/>
    <n v="-2.6810100000000001"/>
    <s v="Direct"/>
    <s v="carbohydrate binding"/>
  </r>
  <r>
    <x v="1"/>
    <x v="0"/>
    <s v="Ssiderea011641"/>
    <n v="1.4590036"/>
    <n v="1.5263700899999999"/>
    <s v="Direct"/>
    <s v="Hemicentin 1"/>
  </r>
  <r>
    <x v="1"/>
    <x v="0"/>
    <s v="Ssiderea011646"/>
    <n v="1.9493399300000001"/>
    <n v="1.1052181400000001"/>
    <s v="Direct"/>
    <s v="Scavenger receptor Cys-rich"/>
  </r>
  <r>
    <x v="1"/>
    <x v="0"/>
    <s v="Ssiderea011678"/>
    <n v="1.2450492500000001"/>
    <n v="1.6902896000000001"/>
    <s v="Direct"/>
    <s v="CUB domain containing protein 2"/>
  </r>
  <r>
    <x v="1"/>
    <x v="0"/>
    <s v="Ssiderea011718"/>
    <n v="-1.1971147"/>
    <n v="-1.1511530000000001"/>
    <s v="Direct"/>
    <s v="cellular response to vasopressin"/>
  </r>
  <r>
    <x v="1"/>
    <x v="0"/>
    <s v="Ssiderea011810"/>
    <n v="1.0780036500000001"/>
    <n v="1.2414570300000001"/>
    <s v="Direct"/>
    <s v="NA"/>
  </r>
  <r>
    <x v="1"/>
    <x v="0"/>
    <s v="Ssiderea011981"/>
    <n v="6.2271104399999997"/>
    <n v="4.3409740000000001"/>
    <s v="Direct"/>
    <s v="NA"/>
  </r>
  <r>
    <x v="1"/>
    <x v="0"/>
    <s v="Ssiderea011982"/>
    <n v="5.5977972400000002"/>
    <n v="5.3365011500000001"/>
    <s v="Direct"/>
    <s v="NA"/>
  </r>
  <r>
    <x v="1"/>
    <x v="0"/>
    <s v="Ssiderea012006"/>
    <n v="1.1835254900000001"/>
    <n v="1.8782331000000001"/>
    <s v="Direct"/>
    <s v="G-protein coupled receptor activity"/>
  </r>
  <r>
    <x v="1"/>
    <x v="0"/>
    <s v="Ssiderea012150"/>
    <n v="1.0658257900000001"/>
    <n v="1.21766493"/>
    <s v="Direct"/>
    <s v="NA"/>
  </r>
  <r>
    <x v="1"/>
    <x v="0"/>
    <s v="Ssiderea012151"/>
    <n v="1.73048694"/>
    <n v="3.16690425"/>
    <s v="Direct"/>
    <s v="NA"/>
  </r>
  <r>
    <x v="1"/>
    <x v="0"/>
    <s v="Ssiderea012163"/>
    <n v="1.4626984300000001"/>
    <n v="1.03769149"/>
    <s v="Direct"/>
    <s v="extracellular ligand-gated ion channel activity"/>
  </r>
  <r>
    <x v="1"/>
    <x v="0"/>
    <s v="Ssiderea012245"/>
    <n v="1.3140341600000001"/>
    <n v="3.4887294099999999"/>
    <s v="Direct"/>
    <s v="NA"/>
  </r>
  <r>
    <x v="1"/>
    <x v="0"/>
    <s v="Ssiderea012262"/>
    <n v="1.4091466399999999"/>
    <n v="1.8439506800000001"/>
    <s v="Direct"/>
    <s v="NA"/>
  </r>
  <r>
    <x v="1"/>
    <x v="0"/>
    <s v="Ssiderea012317"/>
    <n v="1.3795088200000001"/>
    <n v="1.0189297900000001"/>
    <s v="Direct"/>
    <s v="NA"/>
  </r>
  <r>
    <x v="1"/>
    <x v="0"/>
    <s v="Ssiderea012341"/>
    <n v="1.97624311"/>
    <n v="1.96432589"/>
    <s v="Direct"/>
    <s v="NA"/>
  </r>
  <r>
    <x v="1"/>
    <x v="0"/>
    <s v="Ssiderea012391"/>
    <n v="1.7308547000000001"/>
    <n v="2.2241588000000001"/>
    <s v="Direct"/>
    <s v="Catalyzes the irreversible cleavage of the glycosidic bond in both 5'-methylthioadenosine (MTA) and S- adenosylhomocysteine (SAH AdoHcy) to adenine and the corresponding thioribose, 5'-methylthioribose and S-ribosylhomocysteine, respectively"/>
  </r>
  <r>
    <x v="1"/>
    <x v="0"/>
    <s v="Ssiderea012713"/>
    <n v="1.8006264400000001"/>
    <n v="3.5860934900000001"/>
    <s v="Direct"/>
    <s v="negative regulation of growth rate"/>
  </r>
  <r>
    <x v="1"/>
    <x v="0"/>
    <s v="Ssiderea012715"/>
    <n v="1.1566222900000001"/>
    <n v="6.6676641300000004"/>
    <s v="Direct"/>
    <s v="hyaluronic acid binding"/>
  </r>
  <r>
    <x v="1"/>
    <x v="0"/>
    <s v="Ssiderea012743"/>
    <n v="2.3795650500000001"/>
    <n v="2.8951857799999998"/>
    <s v="Direct"/>
    <s v="collagen"/>
  </r>
  <r>
    <x v="1"/>
    <x v="0"/>
    <s v="Ssiderea012886"/>
    <n v="1.10095231"/>
    <n v="1.1515966900000001"/>
    <s v="Direct"/>
    <s v="NA"/>
  </r>
  <r>
    <x v="1"/>
    <x v="0"/>
    <s v="Ssiderea013067"/>
    <n v="4.9298301200000001"/>
    <n v="6.2949581300000004"/>
    <s v="Direct"/>
    <s v="dihydrofolate reductase activity"/>
  </r>
  <r>
    <x v="1"/>
    <x v="0"/>
    <s v="Ssiderea013167"/>
    <n v="-4.0200646000000004"/>
    <n v="-2.1202736999999998"/>
    <s v="Direct"/>
    <s v="Fibrinogen-related domains (FReDs)"/>
  </r>
  <r>
    <x v="1"/>
    <x v="0"/>
    <s v="Ssiderea013259"/>
    <n v="5.6313333600000002"/>
    <n v="2.7190929599999998"/>
    <s v="Direct"/>
    <s v="arylesterase activity"/>
  </r>
  <r>
    <x v="1"/>
    <x v="0"/>
    <s v="Ssiderea013770"/>
    <n v="-3.6972915999999998"/>
    <n v="-1.0743744"/>
    <s v="Direct"/>
    <s v="Galactose-3-O-sulfotransferase"/>
  </r>
  <r>
    <x v="1"/>
    <x v="0"/>
    <s v="Ssiderea013833"/>
    <n v="2.30305917"/>
    <n v="1.02014245"/>
    <s v="Direct"/>
    <s v="Ring finger and WD repeat domain 2"/>
  </r>
  <r>
    <x v="1"/>
    <x v="0"/>
    <s v="Ssiderea013867"/>
    <n v="-1.0359590000000001"/>
    <n v="-1.9473621999999999"/>
    <s v="Direct"/>
    <s v="CUB and zona pellucida-like domain-containing protein"/>
  </r>
  <r>
    <x v="1"/>
    <x v="0"/>
    <s v="Ssiderea013956"/>
    <n v="-1.0511108"/>
    <n v="-1.2027368000000001"/>
    <s v="Direct"/>
    <s v="NA"/>
  </r>
  <r>
    <x v="1"/>
    <x v="0"/>
    <s v="Ssiderea013981"/>
    <n v="-2.0923721"/>
    <n v="-1.0301929999999999"/>
    <s v="Direct"/>
    <s v="NA"/>
  </r>
  <r>
    <x v="1"/>
    <x v="0"/>
    <s v="Ssiderea014060"/>
    <n v="1.0261464300000001"/>
    <n v="1.626406"/>
    <s v="Direct"/>
    <s v="NA"/>
  </r>
  <r>
    <x v="1"/>
    <x v="0"/>
    <s v="Ssiderea014114"/>
    <n v="-7.5969604999999998"/>
    <n v="-1.2677890000000001"/>
    <s v="Direct"/>
    <s v="C-type lectin domain family 4 member G-like"/>
  </r>
  <r>
    <x v="1"/>
    <x v="0"/>
    <s v="Ssiderea014159"/>
    <n v="2.9372756299999998"/>
    <n v="1.7492715999999999"/>
    <s v="Direct"/>
    <s v="scavenger receptor activity"/>
  </r>
  <r>
    <x v="1"/>
    <x v="0"/>
    <s v="Ssiderea014222"/>
    <n v="1.27090156"/>
    <n v="1.0063248899999999"/>
    <s v="Direct"/>
    <s v="Tetratricopeptide repeat"/>
  </r>
  <r>
    <x v="1"/>
    <x v="0"/>
    <s v="Ssiderea014225"/>
    <n v="1.2191677999999999"/>
    <n v="1.15006626"/>
    <s v="Direct"/>
    <s v="regulation of mitotic cell cycle"/>
  </r>
  <r>
    <x v="1"/>
    <x v="0"/>
    <s v="Ssiderea014529"/>
    <n v="1.31903898"/>
    <n v="1.59146823"/>
    <s v="Direct"/>
    <s v="GMC oxidoreductase"/>
  </r>
  <r>
    <x v="1"/>
    <x v="0"/>
    <s v="Ssiderea014617"/>
    <n v="1.2519794200000001"/>
    <n v="2.41496646"/>
    <s v="Direct"/>
    <s v="fucose metabolic process"/>
  </r>
  <r>
    <x v="1"/>
    <x v="0"/>
    <s v="Ssiderea014725"/>
    <n v="-1.7547869"/>
    <n v="-2.0901068999999999"/>
    <s v="Direct"/>
    <s v="NA"/>
  </r>
  <r>
    <x v="1"/>
    <x v="0"/>
    <s v="Ssiderea014817"/>
    <n v="1.9439730399999999"/>
    <n v="1.6335670099999999"/>
    <s v="Direct"/>
    <s v="o-methyltransferase"/>
  </r>
  <r>
    <x v="1"/>
    <x v="0"/>
    <s v="Ssiderea014825"/>
    <n v="-3.4611565"/>
    <n v="-1.7185623999999999"/>
    <s v="Direct"/>
    <s v="Solute carrier organic anion transporter family, member"/>
  </r>
  <r>
    <x v="1"/>
    <x v="0"/>
    <s v="Ssiderea014844"/>
    <n v="-1.6668029"/>
    <n v="-1.054109"/>
    <s v="Direct"/>
    <s v="NLE (NUC135) domain"/>
  </r>
  <r>
    <x v="1"/>
    <x v="0"/>
    <s v="Ssiderea014857"/>
    <n v="-1.9184505999999999"/>
    <n v="-2.9425815000000002"/>
    <s v="Direct"/>
    <s v="regulation of mitotic cell cycle"/>
  </r>
  <r>
    <x v="1"/>
    <x v="0"/>
    <s v="Ssiderea014913"/>
    <n v="3.10762866"/>
    <n v="5.9655948700000003"/>
    <s v="Direct"/>
    <s v="translation elongation factor activity"/>
  </r>
  <r>
    <x v="1"/>
    <x v="0"/>
    <s v="Ssiderea015228"/>
    <n v="1.6231699500000001"/>
    <n v="1.7206413"/>
    <s v="Direct"/>
    <s v="BPTI/Kunitz family of serine protease inhibitors."/>
  </r>
  <r>
    <x v="1"/>
    <x v="0"/>
    <s v="Ssiderea015474"/>
    <n v="-4.2357018000000002"/>
    <n v="-1.1945760000000001"/>
    <s v="Direct"/>
    <s v="3'-phosphoadenosine 5'-phosphosulfate transmembrane transporter activity"/>
  </r>
  <r>
    <x v="1"/>
    <x v="0"/>
    <s v="Ssiderea015479"/>
    <n v="2.16079643"/>
    <n v="2.8239665999999999"/>
    <s v="Direct"/>
    <s v="NA"/>
  </r>
  <r>
    <x v="1"/>
    <x v="0"/>
    <s v="Ssiderea015564"/>
    <n v="-1.2843883"/>
    <n v="-1.3204750999999999"/>
    <s v="Direct"/>
    <s v="Rdx family"/>
  </r>
  <r>
    <x v="1"/>
    <x v="0"/>
    <s v="Ssiderea015736"/>
    <n v="-3.8345826000000001"/>
    <n v="-1.8186481999999999"/>
    <s v="Direct"/>
    <s v="molting cycle, collagen and cuticulin-based cuticle"/>
  </r>
  <r>
    <x v="1"/>
    <x v="0"/>
    <s v="Ssiderea015840"/>
    <n v="-2.5339759000000002"/>
    <n v="-1.0000316"/>
    <s v="Direct"/>
    <s v="E3 ubiquitin-protein ligase parkin"/>
  </r>
  <r>
    <x v="1"/>
    <x v="0"/>
    <s v="Ssiderea015915"/>
    <n v="-1.1489617000000001"/>
    <n v="-1.9879876000000001"/>
    <s v="Direct"/>
    <s v="Allows the formation of correctly charged Gln-tRNA(Gln) through the transamidation of misacylated Glu-tRNA(Gln) in the mitochondria. The reaction takes place in the presence of glutamine and ATP through an activated gamma-phospho-Glu- tRNA(Gln)"/>
  </r>
  <r>
    <x v="1"/>
    <x v="0"/>
    <s v="Ssiderea015986"/>
    <n v="1.4346011700000001"/>
    <n v="3.4503327700000002"/>
    <s v="Direct"/>
    <s v="NA"/>
  </r>
  <r>
    <x v="1"/>
    <x v="0"/>
    <s v="Ssiderea016067"/>
    <n v="1.4640419200000001"/>
    <n v="1.76048271"/>
    <s v="Direct"/>
    <s v="cell division cycle 5-like"/>
  </r>
  <r>
    <x v="1"/>
    <x v="0"/>
    <s v="Ssiderea016088"/>
    <n v="-3.8371073999999998"/>
    <n v="-3.6577155000000001"/>
    <s v="Direct"/>
    <s v="alkaline phosphatase activity"/>
  </r>
  <r>
    <x v="1"/>
    <x v="0"/>
    <s v="Ssiderea016127"/>
    <n v="1.70044024"/>
    <n v="3.8187616100000001"/>
    <s v="Direct"/>
    <s v="NA"/>
  </r>
  <r>
    <x v="1"/>
    <x v="0"/>
    <s v="Ssiderea016232"/>
    <n v="-1.3011241"/>
    <n v="-1.5337405"/>
    <s v="Direct"/>
    <s v="NA"/>
  </r>
  <r>
    <x v="1"/>
    <x v="0"/>
    <s v="Ssiderea016378"/>
    <n v="-1.0000747000000001"/>
    <n v="-1.7188099999999999"/>
    <s v="Direct"/>
    <s v="NA"/>
  </r>
  <r>
    <x v="1"/>
    <x v="0"/>
    <s v="Ssiderea016562"/>
    <n v="1.8134073900000001"/>
    <n v="3.2864907799999998"/>
    <s v="Direct"/>
    <s v="NA"/>
  </r>
  <r>
    <x v="1"/>
    <x v="0"/>
    <s v="Ssiderea016647"/>
    <n v="-1.8253366"/>
    <n v="-2.0929741000000002"/>
    <s v="Direct"/>
    <s v="Protein tyrosine kinase"/>
  </r>
  <r>
    <x v="1"/>
    <x v="0"/>
    <s v="Ssiderea016663"/>
    <n v="2.1520105699999998"/>
    <n v="1.3125988"/>
    <s v="Direct"/>
    <s v="G-protein coupled receptor activity"/>
  </r>
  <r>
    <x v="1"/>
    <x v="0"/>
    <s v="Ssiderea016667"/>
    <n v="-1.5988728999999999"/>
    <n v="-2.4223333999999999"/>
    <s v="Direct"/>
    <s v="G-protein coupled receptor activity"/>
  </r>
  <r>
    <x v="1"/>
    <x v="0"/>
    <s v="Ssiderea016812"/>
    <n v="3.3950683100000001"/>
    <n v="3.67513515"/>
    <s v="Direct"/>
    <s v="NA"/>
  </r>
  <r>
    <x v="1"/>
    <x v="0"/>
    <s v="Ssiderea016881"/>
    <n v="-3.4793213000000001"/>
    <n v="-2.1102493"/>
    <s v="Direct"/>
    <s v="NA"/>
  </r>
  <r>
    <x v="1"/>
    <x v="0"/>
    <s v="Ssiderea016945"/>
    <n v="2.2677851200000001"/>
    <n v="2.7744588000000001"/>
    <s v="Direct"/>
    <s v="maturation of SSU-rRNA from tricistronic rRNA transcript (SSU-rRNA, 5.8S rRNA, LSU-rRNA)"/>
  </r>
  <r>
    <x v="1"/>
    <x v="0"/>
    <s v="Ssiderea017115"/>
    <n v="1.8390990899999999"/>
    <n v="1.1627217599999999"/>
    <s v="Direct"/>
    <s v="phosphoenolpyruvate carboxykinase activity"/>
  </r>
  <r>
    <x v="1"/>
    <x v="0"/>
    <s v="Ssiderea017216"/>
    <n v="2.1736740700000001"/>
    <n v="1.1604605699999999"/>
    <s v="Direct"/>
    <s v="nucleic acid-templated transcription"/>
  </r>
  <r>
    <x v="1"/>
    <x v="0"/>
    <s v="Ssiderea017330"/>
    <n v="-3.5132178000000001"/>
    <n v="-1.6209209"/>
    <s v="Direct"/>
    <s v="NA"/>
  </r>
  <r>
    <x v="1"/>
    <x v="0"/>
    <s v="Ssiderea017365"/>
    <n v="3.73397589"/>
    <n v="4.8639526599999998"/>
    <s v="Direct"/>
    <s v="electron carrier activity. It is involved in the biological process described with oxidation-reduction process"/>
  </r>
  <r>
    <x v="1"/>
    <x v="0"/>
    <s v="Ssiderea017671"/>
    <n v="-1.350252"/>
    <n v="-1.0441853000000001"/>
    <s v="Direct"/>
    <s v="NA"/>
  </r>
  <r>
    <x v="1"/>
    <x v="0"/>
    <s v="Ssiderea017817"/>
    <n v="3.3326430600000001"/>
    <n v="1.06513908"/>
    <s v="Direct"/>
    <s v="CHAT domain"/>
  </r>
  <r>
    <x v="1"/>
    <x v="0"/>
    <s v="Ssiderea017831"/>
    <n v="4.9362743900000003"/>
    <n v="1.4823438499999999"/>
    <s v="Direct"/>
    <s v="propanoyl-CoA C-acyltransferase activity"/>
  </r>
  <r>
    <x v="1"/>
    <x v="0"/>
    <s v="Ssiderea017832"/>
    <n v="-2.1833814"/>
    <n v="-1.235549"/>
    <s v="Direct"/>
    <s v="NA"/>
  </r>
  <r>
    <x v="1"/>
    <x v="0"/>
    <s v="Ssiderea017874"/>
    <n v="-1.1413583"/>
    <n v="-1.0131275"/>
    <s v="Direct"/>
    <s v="retinol dehydrogenase"/>
  </r>
  <r>
    <x v="1"/>
    <x v="0"/>
    <s v="Ssiderea018152"/>
    <n v="-1.6847752"/>
    <n v="-1.7578453000000001"/>
    <s v="Direct"/>
    <s v="collagen"/>
  </r>
  <r>
    <x v="1"/>
    <x v="0"/>
    <s v="Ssiderea018246"/>
    <n v="-1.8414371"/>
    <n v="-1.0661053"/>
    <s v="Direct"/>
    <s v="NA"/>
  </r>
  <r>
    <x v="1"/>
    <x v="0"/>
    <s v="Ssiderea018266"/>
    <n v="3.8172766500000002"/>
    <n v="2.3308473900000002"/>
    <s v="Direct"/>
    <s v="NA"/>
  </r>
  <r>
    <x v="1"/>
    <x v="0"/>
    <s v="Ssiderea018495"/>
    <n v="1.74479498"/>
    <n v="1.7418877500000001"/>
    <s v="Direct"/>
    <s v="NA"/>
  </r>
  <r>
    <x v="1"/>
    <x v="0"/>
    <s v="Ssiderea018836"/>
    <n v="-3.4804529"/>
    <n v="-2.5839805999999998"/>
    <s v="Direct"/>
    <s v="NA"/>
  </r>
  <r>
    <x v="1"/>
    <x v="0"/>
    <s v="Ssiderea018905"/>
    <n v="-2.7822741"/>
    <n v="-1.5859357999999999"/>
    <s v="Direct"/>
    <s v="mitochondrial translational elongation"/>
  </r>
  <r>
    <x v="1"/>
    <x v="0"/>
    <s v="Ssiderea018910"/>
    <n v="-1.4610505"/>
    <n v="-1.5186906"/>
    <s v="Direct"/>
    <s v="Belongs to the cullin family"/>
  </r>
  <r>
    <x v="1"/>
    <x v="0"/>
    <s v="Ssiderea019185"/>
    <n v="-1.2761853000000001"/>
    <n v="-3.1687851999999999"/>
    <s v="Direct"/>
    <s v="NA"/>
  </r>
  <r>
    <x v="1"/>
    <x v="0"/>
    <s v="Ssiderea019349"/>
    <n v="-1.4170269"/>
    <n v="-1.1716390000000001"/>
    <s v="Direct"/>
    <s v="protein O-linked mannosylation"/>
  </r>
  <r>
    <x v="1"/>
    <x v="0"/>
    <s v="Ssiderea019391"/>
    <n v="-3.3156319000000001"/>
    <n v="-3.3721877"/>
    <s v="Direct"/>
    <s v="positive regulation of voltage-gated calcium channel activity"/>
  </r>
  <r>
    <x v="1"/>
    <x v="0"/>
    <s v="Ssiderea019397"/>
    <n v="2.0024373799999999"/>
    <n v="1.8854836699999999"/>
    <s v="Direct"/>
    <s v="Leucine-rich repeat-containing protein 31"/>
  </r>
  <r>
    <x v="1"/>
    <x v="0"/>
    <s v="Ssiderea019422"/>
    <n v="1.94146759"/>
    <n v="4.9121871199999996"/>
    <s v="Direct"/>
    <s v="negative regulation of bile acid biosynthetic process"/>
  </r>
  <r>
    <x v="1"/>
    <x v="0"/>
    <s v="Ssiderea019629"/>
    <n v="5.0106391199999996"/>
    <n v="2.1530323500000002"/>
    <s v="Direct"/>
    <s v="NA"/>
  </r>
  <r>
    <x v="1"/>
    <x v="0"/>
    <s v="Ssiderea019630"/>
    <n v="2.6420120599999999"/>
    <n v="2.4902170199999998"/>
    <s v="Direct"/>
    <s v="NA"/>
  </r>
  <r>
    <x v="1"/>
    <x v="0"/>
    <s v="Ssiderea019708"/>
    <n v="-1.9599328"/>
    <n v="-1.0441853000000001"/>
    <s v="Direct"/>
    <s v="NA"/>
  </r>
  <r>
    <x v="1"/>
    <x v="0"/>
    <s v="Ssiderea019780"/>
    <n v="1.95265098"/>
    <n v="1.3288244300000001"/>
    <s v="Direct"/>
    <s v="cyclic-di-GMP binding"/>
  </r>
  <r>
    <x v="1"/>
    <x v="0"/>
    <s v="Ssiderea019816"/>
    <n v="1.5944346899999999"/>
    <n v="1.1780192300000001"/>
    <s v="Direct"/>
    <s v="NA"/>
  </r>
  <r>
    <x v="1"/>
    <x v="0"/>
    <s v="Ssiderea019818"/>
    <n v="1.4096578399999999"/>
    <n v="1.05052119"/>
    <s v="Direct"/>
    <s v="Glucose-induced degradation protein 8 homolog"/>
  </r>
  <r>
    <x v="1"/>
    <x v="0"/>
    <s v="Ssiderea019840"/>
    <n v="-2.8757510000000002"/>
    <n v="-2.3511359000000001"/>
    <s v="Direct"/>
    <s v="Sushi, nidogen and EGF-like"/>
  </r>
  <r>
    <x v="1"/>
    <x v="0"/>
    <s v="Ssiderea019841"/>
    <n v="-2.2655063000000002"/>
    <n v="-1.6762229"/>
    <s v="Direct"/>
    <s v="NA"/>
  </r>
  <r>
    <x v="1"/>
    <x v="0"/>
    <s v="Ssiderea019899"/>
    <n v="2.1833814299999998"/>
    <n v="1.6274177299999999"/>
    <s v="Direct"/>
    <s v="Nodal homolog"/>
  </r>
  <r>
    <x v="1"/>
    <x v="0"/>
    <s v="Ssiderea020491"/>
    <n v="-4.3072932000000002"/>
    <n v="2.33732849"/>
    <s v="Inverse"/>
    <s v="NA"/>
  </r>
  <r>
    <x v="1"/>
    <x v="0"/>
    <s v="Ssiderea020500"/>
    <n v="5.4631994300000004"/>
    <n v="5.6432174799999997"/>
    <s v="Direct"/>
    <s v="NA"/>
  </r>
  <r>
    <x v="1"/>
    <x v="0"/>
    <s v="Ssiderea020581"/>
    <n v="-2.0288300000000001"/>
    <n v="-1.8234231999999999"/>
    <s v="Direct"/>
    <s v="C-type lectin (CTL) or carbohydrate-recognition domain (CRD)"/>
  </r>
  <r>
    <x v="1"/>
    <x v="0"/>
    <s v="Ssiderea020631"/>
    <n v="-2.0154757000000001"/>
    <n v="-1.6762229"/>
    <s v="Direct"/>
    <s v="regulation of voltage-gated sodium channel activity"/>
  </r>
  <r>
    <x v="1"/>
    <x v="0"/>
    <s v="Ssiderea020718"/>
    <n v="1.1318428700000001"/>
    <n v="1.69728671"/>
    <s v="Direct"/>
    <s v="NA"/>
  </r>
  <r>
    <x v="1"/>
    <x v="0"/>
    <s v="Ssiderea020887"/>
    <n v="1.0579929100000001"/>
    <n v="1.33305078"/>
    <s v="Direct"/>
    <s v="tetratricopeptide repeat"/>
  </r>
  <r>
    <x v="1"/>
    <x v="0"/>
    <s v="Ssiderea020898"/>
    <n v="1.0654190699999999"/>
    <n v="2.1206902099999998"/>
    <s v="Direct"/>
    <s v="protein serine/threonine kinase activity"/>
  </r>
  <r>
    <x v="1"/>
    <x v="0"/>
    <s v="Ssiderea020931"/>
    <n v="1.2580373300000001"/>
    <n v="1.3564305800000001"/>
    <s v="Direct"/>
    <s v="NA"/>
  </r>
  <r>
    <x v="1"/>
    <x v="0"/>
    <s v="Ssiderea021127"/>
    <n v="-1.9829626"/>
    <n v="-1.7516225999999999"/>
    <s v="Direct"/>
    <s v="ribosomal large subunit biogenesis"/>
  </r>
  <r>
    <x v="1"/>
    <x v="0"/>
    <s v="Ssiderea021182"/>
    <n v="-1.2773753999999999"/>
    <n v="-1.3615870000000001"/>
    <s v="Direct"/>
    <s v="NA"/>
  </r>
  <r>
    <x v="1"/>
    <x v="0"/>
    <s v="Ssiderea021220"/>
    <n v="2.0874838699999998"/>
    <n v="3.7552561500000001"/>
    <s v="Direct"/>
    <s v="Synaptic vesicle membrane protein VAT-1 homolog"/>
  </r>
  <r>
    <x v="1"/>
    <x v="0"/>
    <s v="Ssiderea021262"/>
    <n v="-2.5225175000000002"/>
    <n v="-2.6132149999999998"/>
    <s v="Direct"/>
    <s v="NFX1-type zinc finger-containing protein"/>
  </r>
  <r>
    <x v="1"/>
    <x v="0"/>
    <s v="Ssiderea021268"/>
    <n v="-2.9323044"/>
    <n v="-1.2396822000000001"/>
    <s v="Direct"/>
    <s v="NFX1-type zinc finger-containing protein"/>
  </r>
  <r>
    <x v="1"/>
    <x v="0"/>
    <s v="Ssiderea021340"/>
    <n v="1.8134073900000001"/>
    <n v="1.20280769"/>
    <s v="Direct"/>
    <s v="Ectoine synthase"/>
  </r>
  <r>
    <x v="1"/>
    <x v="0"/>
    <s v="Ssiderea021343"/>
    <n v="2.2607923699999999"/>
    <n v="2.91437685"/>
    <s v="Direct"/>
    <s v="NA"/>
  </r>
  <r>
    <x v="1"/>
    <x v="0"/>
    <s v="Ssiderea021366"/>
    <n v="1.48919175"/>
    <n v="1.49820676"/>
    <s v="Direct"/>
    <s v="NA"/>
  </r>
  <r>
    <x v="1"/>
    <x v="0"/>
    <s v="Ssiderea021568"/>
    <n v="1.67930015"/>
    <n v="2.43194621"/>
    <s v="Direct"/>
    <s v="Ankyrin repeat and SAM domain-containing protein 6"/>
  </r>
  <r>
    <x v="1"/>
    <x v="0"/>
    <s v="Ssiderea021609"/>
    <n v="-1.0512429000000001"/>
    <n v="-2.1345725"/>
    <s v="Direct"/>
    <s v="carbohydrate binding"/>
  </r>
  <r>
    <x v="1"/>
    <x v="0"/>
    <s v="Ssiderea021838"/>
    <n v="1.4679799499999999"/>
    <n v="1.56609322"/>
    <s v="Direct"/>
    <s v="NA"/>
  </r>
  <r>
    <x v="1"/>
    <x v="0"/>
    <s v="Ssiderea021920"/>
    <n v="1.9311415000000001"/>
    <n v="3.28649521"/>
    <s v="Direct"/>
    <s v="NA"/>
  </r>
  <r>
    <x v="1"/>
    <x v="0"/>
    <s v="Ssiderea022000"/>
    <n v="-2.5013972999999998"/>
    <n v="-1.6695933999999999"/>
    <s v="Direct"/>
    <s v="NA"/>
  </r>
  <r>
    <x v="1"/>
    <x v="0"/>
    <s v="Ssiderea022008"/>
    <n v="3.2141910999999999"/>
    <n v="1.5007762899999999"/>
    <s v="Direct"/>
    <s v="NA"/>
  </r>
  <r>
    <x v="1"/>
    <x v="0"/>
    <s v="Ssiderea022066"/>
    <n v="-1.0764598999999999"/>
    <n v="-1.2222280000000001"/>
    <s v="Direct"/>
    <s v="octopamine biosynthetic process"/>
  </r>
  <r>
    <x v="1"/>
    <x v="0"/>
    <s v="Ssiderea022145"/>
    <n v="2.30477306"/>
    <n v="1.4222882800000001"/>
    <s v="Direct"/>
    <s v="NA"/>
  </r>
  <r>
    <x v="1"/>
    <x v="0"/>
    <s v="Ssiderea022223"/>
    <n v="-1.7910801999999999"/>
    <n v="-1.8563130999999999"/>
    <s v="Direct"/>
    <s v="HEAT repeat-containing protein 4"/>
  </r>
  <r>
    <x v="1"/>
    <x v="0"/>
    <s v="Ssiderea022229"/>
    <n v="-2.4210455999999998"/>
    <n v="-1.3010271"/>
    <s v="Direct"/>
    <s v="NA"/>
  </r>
  <r>
    <x v="1"/>
    <x v="0"/>
    <s v="Ssiderea022230"/>
    <n v="1.53938997"/>
    <n v="1.2415124099999999"/>
    <s v="Direct"/>
    <s v="histone pre-mRNA stem-loop binding"/>
  </r>
  <r>
    <x v="1"/>
    <x v="0"/>
    <s v="Ssiderea022358"/>
    <n v="-4.4020983999999999"/>
    <n v="-2.8469992999999998"/>
    <s v="Direct"/>
    <s v="NA"/>
  </r>
  <r>
    <x v="1"/>
    <x v="0"/>
    <s v="Ssiderea022367"/>
    <n v="1.70524348"/>
    <n v="2.0701891400000001"/>
    <s v="Direct"/>
    <s v="proton-transporting ATPase activity, rotational mechanism"/>
  </r>
  <r>
    <x v="1"/>
    <x v="0"/>
    <s v="Ssiderea022438"/>
    <n v="5.5082546299999997"/>
    <n v="4.3409740000000001"/>
    <s v="Direct"/>
    <s v="Laminin B domain"/>
  </r>
  <r>
    <x v="1"/>
    <x v="0"/>
    <s v="Ssiderea022541"/>
    <n v="2.2366861899999999"/>
    <n v="3.2000999000000001"/>
    <s v="Direct"/>
    <s v="protein phosphatase 1, regulatory subunit"/>
  </r>
  <r>
    <x v="1"/>
    <x v="0"/>
    <s v="Ssiderea022549"/>
    <n v="1.0044602300000001"/>
    <n v="1.9885069799999999"/>
    <s v="Direct"/>
    <s v="G-protein coupled receptor activity"/>
  </r>
  <r>
    <x v="1"/>
    <x v="0"/>
    <s v="Ssiderea022553"/>
    <n v="-1.5543327"/>
    <n v="-2.7391665000000001"/>
    <s v="Direct"/>
    <s v="NFX1-type zinc finger-containing protein"/>
  </r>
  <r>
    <x v="1"/>
    <x v="0"/>
    <s v="Ssiderea022604"/>
    <n v="-2.3873978999999999"/>
    <n v="-1.6805766"/>
    <s v="Direct"/>
    <s v="voltage-gated potassium channel activity"/>
  </r>
  <r>
    <x v="1"/>
    <x v="0"/>
    <s v="Ssiderea022680"/>
    <n v="-1.1476047"/>
    <n v="-1.0767281"/>
    <s v="Direct"/>
    <s v="NA"/>
  </r>
  <r>
    <x v="1"/>
    <x v="0"/>
    <s v="Ssiderea022681"/>
    <n v="-1.6409522000000001"/>
    <n v="-1.6639982"/>
    <s v="Direct"/>
    <s v="NA"/>
  </r>
  <r>
    <x v="1"/>
    <x v="0"/>
    <s v="Ssiderea022809"/>
    <n v="-1.7025671"/>
    <n v="-1.0254268"/>
    <s v="Direct"/>
    <s v="NA"/>
  </r>
  <r>
    <x v="1"/>
    <x v="0"/>
    <s v="Ssiderea022857"/>
    <n v="-1.6918964000000001"/>
    <n v="-1.4435737"/>
    <s v="Direct"/>
    <s v="fibroblast growth factor-activated receptor activity"/>
  </r>
  <r>
    <x v="1"/>
    <x v="0"/>
    <s v="Ssiderea022859"/>
    <n v="-1.0664168999999999"/>
    <n v="-1.1943973999999999"/>
    <s v="Direct"/>
    <s v="DBH-like monooxygenase protein 1"/>
  </r>
  <r>
    <x v="1"/>
    <x v="0"/>
    <s v="Ssiderea022887"/>
    <n v="-4.5768382000000001"/>
    <n v="-2.4731383999999998"/>
    <s v="Direct"/>
    <s v="G-protein coupled receptor activity"/>
  </r>
  <r>
    <x v="1"/>
    <x v="0"/>
    <s v="Ssiderea022933"/>
    <n v="-2.1413918000000001"/>
    <n v="-1.6135619999999999"/>
    <s v="Direct"/>
    <s v="NA"/>
  </r>
  <r>
    <x v="1"/>
    <x v="0"/>
    <s v="Ssiderea022973"/>
    <n v="-2.3630890999999998"/>
    <n v="-1.2936364"/>
    <s v="Direct"/>
    <s v="NA"/>
  </r>
  <r>
    <x v="1"/>
    <x v="0"/>
    <s v="Ssiderea022991"/>
    <n v="3.2397337199999998"/>
    <n v="1.5181145700000001"/>
    <s v="Direct"/>
    <s v="N-acylsphingosine amidohydrolase activity"/>
  </r>
  <r>
    <x v="1"/>
    <x v="0"/>
    <s v="Ssiderea023032"/>
    <n v="-2.7796717000000002"/>
    <n v="-2.2372181000000002"/>
    <s v="Direct"/>
    <s v="NA"/>
  </r>
  <r>
    <x v="1"/>
    <x v="0"/>
    <s v="Ssiderea023113"/>
    <n v="-1.2836196"/>
    <n v="-1.3581668"/>
    <s v="Direct"/>
    <s v="Catechol O-methyltransferase domain-containing protein"/>
  </r>
  <r>
    <x v="1"/>
    <x v="0"/>
    <s v="Ssiderea023314"/>
    <n v="2.3984975500000001"/>
    <n v="1.5659415000000001"/>
    <s v="Direct"/>
    <s v="NA"/>
  </r>
  <r>
    <x v="1"/>
    <x v="0"/>
    <s v="Ssiderea023333"/>
    <n v="1.1059830900000001"/>
    <n v="1.1511530299999999"/>
    <s v="Direct"/>
    <s v="beta-galactosidase activity"/>
  </r>
  <r>
    <x v="1"/>
    <x v="0"/>
    <s v="Ssiderea023339"/>
    <n v="-1.0475844999999999"/>
    <n v="-1.0082233"/>
    <s v="Direct"/>
    <s v="glucosaminylgalactosylglucosylceramide beta-galactosyltransferase activity"/>
  </r>
  <r>
    <x v="1"/>
    <x v="0"/>
    <s v="Ssiderea023649"/>
    <n v="-4.6684748999999996"/>
    <n v="-5.0753703000000003"/>
    <s v="Direct"/>
    <s v="NA"/>
  </r>
  <r>
    <x v="1"/>
    <x v="0"/>
    <s v="Ssiderea023651"/>
    <n v="-3.5686387000000002"/>
    <n v="-1.4641341000000001"/>
    <s v="Direct"/>
    <s v="NA"/>
  </r>
  <r>
    <x v="1"/>
    <x v="0"/>
    <s v="Ssiderea023735"/>
    <n v="1.2191677999999999"/>
    <n v="4.3409740000000001"/>
    <s v="Direct"/>
    <s v="NA"/>
  </r>
  <r>
    <x v="1"/>
    <x v="0"/>
    <s v="Ssiderea023852"/>
    <n v="2.79715705"/>
    <n v="2.7572818300000002"/>
    <s v="Direct"/>
    <s v="Neuronal pentraxin"/>
  </r>
  <r>
    <x v="1"/>
    <x v="0"/>
    <s v="Ssiderea023878"/>
    <n v="1.5348324499999999"/>
    <n v="1.77137414"/>
    <s v="Direct"/>
    <s v="NA"/>
  </r>
  <r>
    <x v="1"/>
    <x v="0"/>
    <s v="Ssiderea023900"/>
    <n v="3.5881460500000002"/>
    <n v="2.2617971799999999"/>
    <s v="Direct"/>
    <s v="Complement"/>
  </r>
  <r>
    <x v="1"/>
    <x v="0"/>
    <s v="Ssiderea023904"/>
    <n v="-1.7215171"/>
    <n v="-1.1313371000000001"/>
    <s v="Direct"/>
    <s v="UDP-glucoronosyl and UDP-glucosyl transferase"/>
  </r>
  <r>
    <x v="1"/>
    <x v="0"/>
    <s v="Ssiderea023913"/>
    <n v="1.84066843"/>
    <n v="1.13731615"/>
    <s v="Direct"/>
    <s v="NA"/>
  </r>
  <r>
    <x v="1"/>
    <x v="0"/>
    <s v="Ssiderea023975"/>
    <n v="1.50817964"/>
    <n v="2.3754882400000001"/>
    <s v="Direct"/>
    <s v="NA"/>
  </r>
  <r>
    <x v="1"/>
    <x v="0"/>
    <s v="Ssiderea023985"/>
    <n v="1.3344011600000001"/>
    <n v="1.3476209299999999"/>
    <s v="Direct"/>
    <s v="nicotinamide phosphoribosyltransferase activity"/>
  </r>
  <r>
    <x v="1"/>
    <x v="0"/>
    <s v="Ssiderea024034"/>
    <n v="-1.1823397"/>
    <n v="-1.6641325"/>
    <s v="Direct"/>
    <s v="NA"/>
  </r>
  <r>
    <x v="1"/>
    <x v="0"/>
    <s v="Ssiderea024163"/>
    <n v="-2.1300848000000001"/>
    <n v="-1.0367713999999999"/>
    <s v="Direct"/>
    <s v="acetyl-CoA hydrolase activity"/>
  </r>
  <r>
    <x v="1"/>
    <x v="0"/>
    <s v="Ssiderea024229"/>
    <n v="-5.4598255"/>
    <n v="-1.9860169000000001"/>
    <s v="Direct"/>
    <s v="NA"/>
  </r>
  <r>
    <x v="1"/>
    <x v="0"/>
    <s v="Ssiderea024230"/>
    <n v="-5.4280666999999996"/>
    <n v="-1.2509536000000001"/>
    <s v="Direct"/>
    <s v="NA"/>
  </r>
  <r>
    <x v="1"/>
    <x v="0"/>
    <s v="Ssiderea024535"/>
    <n v="2.73813358"/>
    <n v="1.98601691"/>
    <s v="Direct"/>
    <s v="NA"/>
  </r>
  <r>
    <x v="1"/>
    <x v="0"/>
    <s v="Ssiderea024538"/>
    <n v="-1.8006264000000001"/>
    <n v="-1.504686"/>
    <s v="Direct"/>
    <s v="NA"/>
  </r>
  <r>
    <x v="1"/>
    <x v="0"/>
    <s v="Ssiderea024585"/>
    <n v="-6.0906088"/>
    <n v="-3.7555768999999999"/>
    <s v="Direct"/>
    <s v="Transmembrane amino acid transporter protein"/>
  </r>
  <r>
    <x v="1"/>
    <x v="0"/>
    <s v="Ssiderea024595"/>
    <n v="-1.4867455000000001"/>
    <n v="-1.0337864999999999"/>
    <s v="Direct"/>
    <s v="biological adhesion"/>
  </r>
  <r>
    <x v="1"/>
    <x v="0"/>
    <s v="Ssiderea024607"/>
    <n v="1.7594208099999999"/>
    <n v="2.1132731100000002"/>
    <s v="Direct"/>
    <s v="NA"/>
  </r>
  <r>
    <x v="1"/>
    <x v="0"/>
    <s v="Ssiderea024700"/>
    <n v="1.26023565"/>
    <n v="1.8746015599999999"/>
    <s v="Direct"/>
    <s v="NA"/>
  </r>
  <r>
    <x v="1"/>
    <x v="0"/>
    <s v="Ssiderea024710"/>
    <n v="-7.7492521999999999"/>
    <n v="-9.2024530999999996"/>
    <s v="Direct"/>
    <s v="NA"/>
  </r>
  <r>
    <x v="1"/>
    <x v="0"/>
    <s v="Ssiderea024727"/>
    <n v="1.03502264"/>
    <n v="1.00439539"/>
    <s v="Direct"/>
    <s v="NA"/>
  </r>
  <r>
    <x v="1"/>
    <x v="0"/>
    <s v="Ssiderea024769"/>
    <n v="1.5661411000000001"/>
    <n v="4.2279461200000004"/>
    <s v="Direct"/>
    <s v="NA"/>
  </r>
  <r>
    <x v="1"/>
    <x v="0"/>
    <s v="Ssiderea024838"/>
    <n v="1.8800526"/>
    <n v="2.3646147599999998"/>
    <s v="Direct"/>
    <s v="Belongs to the G-protein coupled receptor 1 family"/>
  </r>
  <r>
    <x v="1"/>
    <x v="0"/>
    <s v="Ssiderea024844"/>
    <n v="-1.7476963999999999"/>
    <n v="-1.2927152"/>
    <s v="Direct"/>
    <s v="NA"/>
  </r>
  <r>
    <x v="1"/>
    <x v="0"/>
    <s v="Ssiderea024906"/>
    <n v="2.7305141900000001"/>
    <n v="5.3655179999999998"/>
    <s v="Direct"/>
    <s v="Galactose binding lectin domain"/>
  </r>
  <r>
    <x v="1"/>
    <x v="0"/>
    <s v="Ssiderea024910"/>
    <n v="2.2603914500000002"/>
    <n v="1.6717078000000001"/>
    <s v="Direct"/>
    <s v="NA"/>
  </r>
  <r>
    <x v="1"/>
    <x v="0"/>
    <s v="Ssiderea024988"/>
    <n v="-1.1557603000000001"/>
    <n v="-1.7331300999999999"/>
    <s v="Direct"/>
    <s v="ephrin receptor binding"/>
  </r>
  <r>
    <x v="1"/>
    <x v="0"/>
    <s v="Ssiderea025061"/>
    <n v="2.4767692499999998"/>
    <n v="1.06304844"/>
    <s v="Direct"/>
    <s v="NA"/>
  </r>
  <r>
    <x v="1"/>
    <x v="0"/>
    <s v="Ssiderea025376"/>
    <n v="-1.1040688999999999"/>
    <n v="-1.2967982"/>
    <s v="Direct"/>
    <s v="gamma-glutamyl-peptidase activity"/>
  </r>
  <r>
    <x v="1"/>
    <x v="0"/>
    <s v="Ssiderea025583"/>
    <n v="-3.4065764000000001"/>
    <n v="-2.27597"/>
    <s v="Direct"/>
    <s v="G-protein coupled receptor activity"/>
  </r>
  <r>
    <x v="1"/>
    <x v="0"/>
    <s v="Ssiderea025633"/>
    <n v="-1.1161867000000001"/>
    <n v="-1.5846317999999999"/>
    <s v="Direct"/>
    <s v="neurotransmitter:sodium symporter activity"/>
  </r>
  <r>
    <x v="1"/>
    <x v="0"/>
    <s v="Ssiderea025659"/>
    <n v="5.0106391199999996"/>
    <n v="1.7206413"/>
    <s v="Direct"/>
    <s v="NADP-retinol dehydrogenase activity"/>
  </r>
  <r>
    <x v="1"/>
    <x v="0"/>
    <s v="Ssiderea025685"/>
    <n v="3.6094829499999999"/>
    <n v="-1.1746049000000001"/>
    <s v="Inverse"/>
    <s v="Collagen triple helix"/>
  </r>
  <r>
    <x v="1"/>
    <x v="0"/>
    <s v="Ssiderea025962"/>
    <n v="2.1083897"/>
    <n v="1.0580409500000001"/>
    <s v="Direct"/>
    <s v="NA"/>
  </r>
  <r>
    <x v="1"/>
    <x v="0"/>
    <s v="Ssiderea026077"/>
    <n v="3.12965129"/>
    <n v="1.46396842"/>
    <s v="Direct"/>
    <s v="NA"/>
  </r>
  <r>
    <x v="1"/>
    <x v="0"/>
    <s v="Ssiderea026079"/>
    <n v="-1.3111337999999999"/>
    <n v="-1.8195425000000001"/>
    <s v="Direct"/>
    <s v="kynurenine 3-monooxygenase activity"/>
  </r>
  <r>
    <x v="1"/>
    <x v="0"/>
    <s v="Ssiderea026130"/>
    <n v="2.52284606"/>
    <n v="3.16878517"/>
    <s v="Direct"/>
    <s v="HD domain"/>
  </r>
  <r>
    <x v="1"/>
    <x v="0"/>
    <s v="Ssiderea026182"/>
    <n v="1.17940885"/>
    <n v="1.6135619699999999"/>
    <s v="Direct"/>
    <s v="protein phosphatase 1, regulatory subunit 21"/>
  </r>
  <r>
    <x v="1"/>
    <x v="0"/>
    <s v="Ssiderea026208"/>
    <n v="1.50174473"/>
    <n v="3.1973905600000001"/>
    <s v="Direct"/>
    <s v="NA"/>
  </r>
  <r>
    <x v="1"/>
    <x v="0"/>
    <s v="Ssiderea026325"/>
    <n v="-1.6618833"/>
    <n v="-1.0037723999999999"/>
    <s v="Direct"/>
    <s v="Protein kinase C conserved region 2 (CalB)"/>
  </r>
  <r>
    <x v="1"/>
    <x v="0"/>
    <s v="Ssiderea026331"/>
    <n v="-2.7358704999999999"/>
    <n v="-5.5081879000000002"/>
    <s v="Direct"/>
    <s v="Belongs to the ATP guanido phosphotransferase family"/>
  </r>
  <r>
    <x v="1"/>
    <x v="0"/>
    <s v="Ssiderea026336"/>
    <n v="-1.0090281000000001"/>
    <n v="-1.8261978000000001"/>
    <s v="Direct"/>
    <s v="NA"/>
  </r>
  <r>
    <x v="1"/>
    <x v="0"/>
    <s v="Ssiderea026458"/>
    <n v="2.2170129799999998"/>
    <n v="1.35271063"/>
    <s v="Direct"/>
    <s v="guanylate cyclase activity"/>
  </r>
  <r>
    <x v="1"/>
    <x v="0"/>
    <s v="Ssiderea026489"/>
    <n v="-2.3122593999999999"/>
    <n v="-1.3490518"/>
    <s v="Direct"/>
    <s v="NA"/>
  </r>
  <r>
    <x v="1"/>
    <x v="0"/>
    <s v="Ssiderea026676"/>
    <n v="1.16163196"/>
    <n v="3.0299701200000002"/>
    <s v="Direct"/>
    <s v="C-type lectin (CTL) or carbohydrate-recognition domain (CRD)"/>
  </r>
  <r>
    <x v="1"/>
    <x v="0"/>
    <s v="Ssiderea026681"/>
    <n v="2.2309885999999999"/>
    <n v="3.4347977200000002"/>
    <s v="Direct"/>
    <s v="C-type lectin (CTL) or carbohydrate-recognition domain (CRD)"/>
  </r>
  <r>
    <x v="1"/>
    <x v="0"/>
    <s v="Ssiderea026717"/>
    <n v="-1.6997515999999999"/>
    <n v="-1.2022225"/>
    <s v="Direct"/>
    <s v="NA"/>
  </r>
  <r>
    <x v="1"/>
    <x v="0"/>
    <s v="Ssiderea026835"/>
    <n v="-4.8054328999999996"/>
    <n v="-1.8042267000000001"/>
    <s v="Direct"/>
    <s v="NA"/>
  </r>
  <r>
    <x v="1"/>
    <x v="0"/>
    <s v="Ssiderea026844"/>
    <n v="2.2502137000000002"/>
    <n v="6.6994680300000002"/>
    <s v="Direct"/>
    <s v="negative regulation of chemokine (C-X-C motif) ligand 2 production"/>
  </r>
  <r>
    <x v="1"/>
    <x v="0"/>
    <s v="Ssiderea026847"/>
    <n v="4.1326749500000002"/>
    <n v="3.4203932300000002"/>
    <s v="Direct"/>
    <s v="NA"/>
  </r>
  <r>
    <x v="1"/>
    <x v="0"/>
    <s v="Ssiderea026848"/>
    <n v="3.1116091699999999"/>
    <n v="1.18710406"/>
    <s v="Direct"/>
    <s v="NA"/>
  </r>
  <r>
    <x v="1"/>
    <x v="0"/>
    <s v="Ssiderea026849"/>
    <n v="1.4906737800000001"/>
    <n v="1.6408554"/>
    <s v="Direct"/>
    <s v="C-type lectin (CTL) or carbohydrate-recognition domain (CRD)"/>
  </r>
  <r>
    <x v="1"/>
    <x v="0"/>
    <s v="Ssiderea026955"/>
    <n v="-1.7346017"/>
    <n v="-1.2027368000000001"/>
    <s v="Direct"/>
    <s v="store-operated calcium channel activity"/>
  </r>
  <r>
    <x v="1"/>
    <x v="0"/>
    <s v="Ssiderea026973"/>
    <n v="1.5380537400000001"/>
    <n v="1.5982886599999999"/>
    <s v="Direct"/>
    <s v="zinc ion binding"/>
  </r>
  <r>
    <x v="1"/>
    <x v="0"/>
    <s v="Ssiderea027084"/>
    <n v="-2.0148564000000002"/>
    <n v="-1.3441725"/>
    <s v="Direct"/>
    <s v="NA"/>
  </r>
  <r>
    <x v="1"/>
    <x v="0"/>
    <s v="Ssiderea027144"/>
    <n v="1.4155347300000001"/>
    <n v="1.8795022299999999"/>
    <s v="Direct"/>
    <s v="Selenium-binding protein 1"/>
  </r>
  <r>
    <x v="1"/>
    <x v="0"/>
    <s v="Ssiderea027684"/>
    <n v="-3.5562311000000002"/>
    <n v="-1.1231062000000001"/>
    <s v="Direct"/>
    <s v="NA"/>
  </r>
  <r>
    <x v="1"/>
    <x v="0"/>
    <s v="Ssiderea027720"/>
    <n v="-1.3332006999999999"/>
    <n v="-4.3421358999999997"/>
    <s v="Direct"/>
    <s v="NA"/>
  </r>
  <r>
    <x v="1"/>
    <x v="0"/>
    <s v="Ssiderea027774"/>
    <n v="-6.1094160000000004"/>
    <n v="-2.6957021999999999"/>
    <s v="Direct"/>
    <s v="MAC/Perforin domain"/>
  </r>
  <r>
    <x v="1"/>
    <x v="0"/>
    <s v="Ssiderea027809"/>
    <n v="-3.2228854999999998"/>
    <n v="-6.2516606000000001"/>
    <s v="Direct"/>
    <s v="PPIases accelerate the folding of proteins. It catalyzes the cis-trans isomerization of proline imidic peptide bonds in oligopeptides"/>
  </r>
  <r>
    <x v="1"/>
    <x v="0"/>
    <s v="Ssiderea027833"/>
    <n v="-1.1373534000000001"/>
    <n v="-4.8885493999999996"/>
    <s v="Direct"/>
    <s v="NA"/>
  </r>
  <r>
    <x v="1"/>
    <x v="0"/>
    <s v="Ssiderea027966"/>
    <n v="2.76637544"/>
    <n v="5.5081878800000004"/>
    <s v="Direct"/>
    <s v="tumor necrosis factor (ligand) superfamily, member"/>
  </r>
  <r>
    <x v="1"/>
    <x v="0"/>
    <s v="Ssiderea028132"/>
    <n v="2.4499884399999998"/>
    <n v="1.1849162900000001"/>
    <s v="Direct"/>
    <s v="Acid sphingomyelinase-like phosphodiesterase 3b"/>
  </r>
  <r>
    <x v="1"/>
    <x v="0"/>
    <s v="Ssiderea028215"/>
    <n v="2.08534138"/>
    <n v="2.7699734899999999"/>
    <s v="Direct"/>
    <s v="NA"/>
  </r>
  <r>
    <x v="1"/>
    <x v="0"/>
    <s v="Ssiderea028226"/>
    <n v="4.7507666100000003"/>
    <n v="1.6164246499999999"/>
    <s v="Direct"/>
    <s v="positive regulation of gluconeogenesis"/>
  </r>
  <r>
    <x v="1"/>
    <x v="0"/>
    <s v="Ssiderea028247"/>
    <n v="-1.7091206000000001"/>
    <n v="-1.5214704999999999"/>
    <s v="Direct"/>
    <s v="Common central domain of tyrosinase"/>
  </r>
  <r>
    <x v="1"/>
    <x v="0"/>
    <s v="Ssiderea028253"/>
    <n v="1.3920474300000001"/>
    <n v="2.7672605300000002"/>
    <s v="Direct"/>
    <s v="NA"/>
  </r>
  <r>
    <x v="1"/>
    <x v="0"/>
    <s v="Ssiderea028351"/>
    <n v="-1.1596580000000001"/>
    <n v="-1.1266872000000001"/>
    <s v="Direct"/>
    <s v="factor 14"/>
  </r>
  <r>
    <x v="1"/>
    <x v="0"/>
    <s v="Ssiderea028456"/>
    <n v="-1.4591618"/>
    <n v="-1.371696"/>
    <s v="Direct"/>
    <s v="TeTratriCopeptide repeat"/>
  </r>
  <r>
    <x v="1"/>
    <x v="0"/>
    <s v="Ssiderea028667"/>
    <n v="1.12577529"/>
    <n v="3.1496810399999999"/>
    <s v="Direct"/>
    <s v="creatine kinase activity"/>
  </r>
  <r>
    <x v="1"/>
    <x v="0"/>
    <s v="Ssiderea028697"/>
    <n v="-1.50353"/>
    <n v="-1.6058745999999999"/>
    <s v="Direct"/>
    <s v="NA"/>
  </r>
  <r>
    <x v="1"/>
    <x v="0"/>
    <s v="Ssiderea028718"/>
    <n v="-1.790483"/>
    <n v="-1.3357307"/>
    <s v="Direct"/>
    <s v="NA"/>
  </r>
  <r>
    <x v="1"/>
    <x v="0"/>
    <s v="Ssiderea028906"/>
    <n v="-1.7275152"/>
    <n v="-1.3623114000000001"/>
    <s v="Direct"/>
    <s v="NA"/>
  </r>
  <r>
    <x v="1"/>
    <x v="0"/>
    <s v="Ssiderea028966"/>
    <n v="1.1971147"/>
    <n v="3.7552561500000001"/>
    <s v="Direct"/>
    <s v="protein-hormone receptor activity"/>
  </r>
  <r>
    <x v="1"/>
    <x v="0"/>
    <s v="Ssiderea028973"/>
    <n v="-3.1959407999999998"/>
    <n v="-1.2145021"/>
    <s v="Direct"/>
    <s v="Ammonium transporter"/>
  </r>
  <r>
    <x v="1"/>
    <x v="0"/>
    <s v="Ssiderea029092"/>
    <n v="3.4071245100000001"/>
    <n v="2.83572041"/>
    <s v="Direct"/>
    <s v="NA"/>
  </r>
  <r>
    <x v="1"/>
    <x v="0"/>
    <s v="Ssiderea029184"/>
    <n v="1.5566915299999999"/>
    <n v="1.26292537"/>
    <s v="Direct"/>
    <s v="Fibrillar collagen C-terminal domain"/>
  </r>
  <r>
    <x v="1"/>
    <x v="0"/>
    <s v="Ssiderea029188"/>
    <n v="2.8230250799999999"/>
    <n v="1.8995943900000001"/>
    <s v="Direct"/>
    <s v="Cobalamin-independent synthase, Catalytic domain"/>
  </r>
  <r>
    <x v="1"/>
    <x v="0"/>
    <s v="Ssiderea029196"/>
    <n v="1.30654041"/>
    <n v="1.39620129"/>
    <s v="Direct"/>
    <s v="positive regulation of TRAIL-activated apoptotic signaling pathway"/>
  </r>
  <r>
    <x v="1"/>
    <x v="0"/>
    <s v="Ssiderea029278"/>
    <n v="4.5129414700000003"/>
    <n v="2.9054330099999999"/>
    <s v="Direct"/>
    <s v="NA"/>
  </r>
  <r>
    <x v="1"/>
    <x v="0"/>
    <s v="Ssiderea029356"/>
    <n v="3.2397337199999998"/>
    <n v="1.11760689"/>
    <s v="Direct"/>
    <s v="positive regulation of epithelial to mesenchymal transition"/>
  </r>
  <r>
    <x v="1"/>
    <x v="0"/>
    <s v="Ssiderea029511"/>
    <n v="-1.9807060000000001"/>
    <n v="-1.5236018"/>
    <s v="Direct"/>
    <s v="Microtubule binding"/>
  </r>
  <r>
    <x v="1"/>
    <x v="0"/>
    <s v="Ssiderea029577"/>
    <n v="3.1779903200000001"/>
    <n v="2.1880946300000002"/>
    <s v="Direct"/>
    <s v="Solute carrier family 46, member 3"/>
  </r>
  <r>
    <x v="1"/>
    <x v="0"/>
    <s v="Ssiderea029687"/>
    <n v="2.5045511399999998"/>
    <n v="2.6309832000000002"/>
    <s v="Direct"/>
    <s v="ATP-dependent RNA helicase SUPV3L1, mitochondrial"/>
  </r>
  <r>
    <x v="1"/>
    <x v="0"/>
    <s v="Ssiderea029690"/>
    <n v="1.8293224400000001"/>
    <n v="1.0487661699999999"/>
    <s v="Direct"/>
    <s v="NA"/>
  </r>
  <r>
    <x v="1"/>
    <x v="0"/>
    <s v="Ssiderea029805"/>
    <n v="1.5437432099999999"/>
    <n v="1.40557895"/>
    <s v="Direct"/>
    <s v="NA"/>
  </r>
  <r>
    <x v="1"/>
    <x v="0"/>
    <s v="Ssiderea029875"/>
    <n v="1.2624837499999999"/>
    <n v="1.7148201300000001"/>
    <s v="Direct"/>
    <s v="NA"/>
  </r>
  <r>
    <x v="1"/>
    <x v="0"/>
    <s v="Ssiderea030069"/>
    <n v="1.2469066099999999"/>
    <n v="1.5345696799999999"/>
    <s v="Direct"/>
    <s v="phosphopyruvate hydratase activity"/>
  </r>
  <r>
    <x v="1"/>
    <x v="0"/>
    <s v="Ssiderea030145"/>
    <n v="-1.2847029000000001"/>
    <n v="-1.8963444"/>
    <s v="Direct"/>
    <s v="NA"/>
  </r>
  <r>
    <x v="1"/>
    <x v="0"/>
    <s v="Ssiderea030187"/>
    <n v="-6.3830106000000004"/>
    <n v="-6.9138459000000001"/>
    <s v="Direct"/>
    <s v="small GTPase mediated signal transduction"/>
  </r>
  <r>
    <x v="1"/>
    <x v="0"/>
    <s v="Ssiderea030239"/>
    <n v="1.56986377"/>
    <n v="1.38031817"/>
    <s v="Direct"/>
    <s v="NA"/>
  </r>
  <r>
    <x v="1"/>
    <x v="0"/>
    <s v="Ssiderea030250"/>
    <n v="-1.6189146999999999"/>
    <n v="-1.914782"/>
    <s v="Direct"/>
    <s v="biogenesis factor 2"/>
  </r>
  <r>
    <x v="1"/>
    <x v="0"/>
    <s v="Ssiderea030383"/>
    <n v="2.30305917"/>
    <n v="3.55604984"/>
    <s v="Direct"/>
    <s v="NA"/>
  </r>
  <r>
    <x v="1"/>
    <x v="0"/>
    <s v="Ssiderea030487"/>
    <n v="1.3332006599999999"/>
    <n v="1.1275269999999999"/>
    <s v="Direct"/>
    <s v="NA"/>
  </r>
  <r>
    <x v="1"/>
    <x v="0"/>
    <s v="Ssiderea031266"/>
    <n v="-1.1157629"/>
    <n v="-1.0630484"/>
    <s v="Direct"/>
    <s v="NA"/>
  </r>
  <r>
    <x v="1"/>
    <x v="0"/>
    <s v="Ssiderea031274"/>
    <n v="-1.0165999999999999"/>
    <n v="-1.9735868000000001"/>
    <s v="Direct"/>
    <s v="NA"/>
  </r>
  <r>
    <x v="1"/>
    <x v="0"/>
    <s v="Ssiderea031284"/>
    <n v="-1.1355926000000001"/>
    <n v="1.4060155000000001"/>
    <s v="Inverse"/>
    <s v="NA"/>
  </r>
  <r>
    <x v="1"/>
    <x v="0"/>
    <s v="Ssiderea031312"/>
    <n v="-6.1017742000000004"/>
    <n v="-3.075186"/>
    <s v="Direct"/>
    <s v="peroxidase activity"/>
  </r>
  <r>
    <x v="1"/>
    <x v="0"/>
    <s v="Ssiderea031449"/>
    <n v="-1.8830553000000001"/>
    <n v="-1.6991902000000001"/>
    <s v="Direct"/>
    <s v="NA"/>
  </r>
  <r>
    <x v="1"/>
    <x v="0"/>
    <s v="Ssiderea031488"/>
    <n v="-1.3390352999999999"/>
    <n v="-1.0691261000000001"/>
    <s v="Direct"/>
    <s v="NA"/>
  </r>
  <r>
    <x v="1"/>
    <x v="0"/>
    <s v="Ssiderea031597"/>
    <n v="-1.3149238999999999"/>
    <n v="-1.4884976999999999"/>
    <s v="Direct"/>
    <s v="NFX1-type zinc finger-containing protein"/>
  </r>
  <r>
    <x v="1"/>
    <x v="0"/>
    <s v="Ssiderea031624"/>
    <n v="-1.9762431"/>
    <n v="-1.0393806000000001"/>
    <s v="Direct"/>
    <s v="Four-disulfide core domains"/>
  </r>
  <r>
    <x v="1"/>
    <x v="0"/>
    <s v="Ssiderea031650"/>
    <n v="-1.3105545999999999"/>
    <n v="-2.7391665000000001"/>
    <s v="Direct"/>
    <s v="NA"/>
  </r>
  <r>
    <x v="1"/>
    <x v="0"/>
    <s v="Ssiderea031654"/>
    <n v="1.3776204299999999"/>
    <n v="3.3079106899999999"/>
    <s v="Direct"/>
    <s v="NA"/>
  </r>
  <r>
    <x v="1"/>
    <x v="0"/>
    <s v="Ssiderea031792"/>
    <n v="1.0636015999999999"/>
    <n v="1.0055587399999999"/>
    <s v="Direct"/>
    <s v="regulation of mitotic cell cycle"/>
  </r>
  <r>
    <x v="1"/>
    <x v="0"/>
    <s v="Ssiderea032162"/>
    <n v="-1.9696066999999999"/>
    <n v="-1.3496115"/>
    <s v="Direct"/>
    <s v="NA"/>
  </r>
  <r>
    <x v="1"/>
    <x v="0"/>
    <s v="Ssiderea032399"/>
    <n v="1.4499083100000001"/>
    <n v="2.7858306599999998"/>
    <s v="Direct"/>
    <s v="WD repeat domain 74"/>
  </r>
  <r>
    <x v="1"/>
    <x v="0"/>
    <s v="Ssiderea032478"/>
    <n v="-1.3807073999999999"/>
    <n v="-1.6787608999999999"/>
    <s v="Direct"/>
    <s v="NA"/>
  </r>
  <r>
    <x v="1"/>
    <x v="0"/>
    <s v="Ssiderea032636"/>
    <n v="1.11864108"/>
    <n v="1.29182109"/>
    <s v="Direct"/>
    <s v="NA"/>
  </r>
  <r>
    <x v="1"/>
    <x v="0"/>
    <s v="Ssiderea032875"/>
    <n v="2.5652721500000002"/>
    <n v="5.2109255900000004"/>
    <s v="Direct"/>
    <s v="NA"/>
  </r>
  <r>
    <x v="1"/>
    <x v="0"/>
    <s v="Ssiderea032880"/>
    <n v="1.8800526"/>
    <n v="1.56227524"/>
    <s v="Direct"/>
    <s v="aldehyde dehydrogenase (NAD) activity"/>
  </r>
  <r>
    <x v="1"/>
    <x v="0"/>
    <s v="Ssiderea032939"/>
    <n v="-1.6523277999999999"/>
    <n v="-2.1858124999999999"/>
    <s v="Direct"/>
    <s v="G-protein coupled receptor activity"/>
  </r>
  <r>
    <x v="1"/>
    <x v="0"/>
    <s v="Ssiderea033023"/>
    <n v="1.35025204"/>
    <n v="3.3404641800000001"/>
    <s v="Direct"/>
    <s v="NA"/>
  </r>
  <r>
    <x v="1"/>
    <x v="0"/>
    <s v="Ssiderea033036"/>
    <n v="3.7613887300000002"/>
    <n v="1.31044502"/>
    <s v="Direct"/>
    <s v="regulation of mitotic cell cycle"/>
  </r>
  <r>
    <x v="1"/>
    <x v="0"/>
    <s v="Ssiderea033120"/>
    <n v="-2.2226905000000001"/>
    <n v="-1.1800041999999999"/>
    <s v="Direct"/>
    <s v="Sulfatase-modifying factor enzyme 1"/>
  </r>
  <r>
    <x v="1"/>
    <x v="0"/>
    <s v="Ssiderea033121"/>
    <n v="2.3333063200000002"/>
    <n v="3.2489336999999998"/>
    <s v="Direct"/>
    <s v="NA"/>
  </r>
  <r>
    <x v="1"/>
    <x v="0"/>
    <s v="Ssiderea033479"/>
    <n v="1.57968398"/>
    <n v="1.7678719599999999"/>
    <s v="Direct"/>
    <s v="NA"/>
  </r>
  <r>
    <x v="1"/>
    <x v="0"/>
    <s v="Ssiderea033487"/>
    <n v="2.2226905000000001"/>
    <n v="1.8338038400000001"/>
    <s v="Direct"/>
    <s v="NA"/>
  </r>
  <r>
    <x v="1"/>
    <x v="0"/>
    <s v="Ssiderea033498"/>
    <n v="-1.1442881"/>
    <n v="-1.1310857000000001"/>
    <s v="Direct"/>
    <s v="nuclear-transcribed mRNA catabolic process, nonsense-mediated decay"/>
  </r>
  <r>
    <x v="1"/>
    <x v="0"/>
    <s v="Ssiderea033510"/>
    <n v="-1.3140342"/>
    <n v="-1.0393806000000001"/>
    <s v="Direct"/>
    <s v="NA"/>
  </r>
  <r>
    <x v="1"/>
    <x v="0"/>
    <s v="Ssiderea033560"/>
    <n v="-2.4717666"/>
    <n v="-2.1835594999999999"/>
    <s v="Direct"/>
    <s v="NA"/>
  </r>
  <r>
    <x v="1"/>
    <x v="0"/>
    <s v="Ssiderea033634"/>
    <n v="2.2740686299999999"/>
    <n v="2.20484122"/>
    <s v="Direct"/>
    <s v="NA"/>
  </r>
  <r>
    <x v="1"/>
    <x v="0"/>
    <s v="Ssiderea033705"/>
    <n v="2.8896623099999998"/>
    <n v="1.19637499"/>
    <s v="Direct"/>
    <s v="NA"/>
  </r>
  <r>
    <x v="1"/>
    <x v="0"/>
    <s v="Ssiderea033761"/>
    <n v="-2.0987420999999999"/>
    <n v="-1.1312224"/>
    <s v="Direct"/>
    <s v="Vacuolar protein sorting-associated protein 16 homolog"/>
  </r>
  <r>
    <x v="1"/>
    <x v="0"/>
    <s v="Ssiderea033808"/>
    <n v="2.6793568799999998"/>
    <n v="5.63942896"/>
    <s v="Direct"/>
    <s v="NA"/>
  </r>
  <r>
    <x v="1"/>
    <x v="0"/>
    <s v="Ssiderea033839"/>
    <n v="1.54121508"/>
    <n v="1.8477096200000001"/>
    <s v="Direct"/>
    <s v="NA"/>
  </r>
  <r>
    <x v="1"/>
    <x v="0"/>
    <s v="Ssiderea033844"/>
    <n v="-1.9710266000000001"/>
    <n v="-1.7199982"/>
    <s v="Direct"/>
    <s v="NA"/>
  </r>
  <r>
    <x v="1"/>
    <x v="0"/>
    <s v="Ssiderea033902"/>
    <n v="2.53820902"/>
    <n v="2.4274061699999998"/>
    <s v="Direct"/>
    <s v="NA"/>
  </r>
  <r>
    <x v="1"/>
    <x v="0"/>
    <s v="Ssiderea033904"/>
    <n v="1.3423415700000001"/>
    <n v="1.07338014"/>
    <s v="Direct"/>
    <s v="NA"/>
  </r>
  <r>
    <x v="1"/>
    <x v="0"/>
    <s v="Ssiderea034126"/>
    <n v="-4.4901242000000003"/>
    <n v="-1.161413"/>
    <s v="Direct"/>
    <s v="Melanocortin 4 receptor"/>
  </r>
  <r>
    <x v="1"/>
    <x v="0"/>
    <s v="Ssiderea034147"/>
    <n v="-1.0117792000000001"/>
    <n v="-1.0740312000000001"/>
    <s v="Direct"/>
    <s v="high voltage-gated calcium channel activity"/>
  </r>
  <r>
    <x v="1"/>
    <x v="0"/>
    <s v="Ssiderea034163"/>
    <n v="-1.3437158"/>
    <n v="-2.5941366000000001"/>
    <s v="Direct"/>
    <s v="Ring finger domain"/>
  </r>
  <r>
    <x v="1"/>
    <x v="0"/>
    <s v="Ssiderea034234"/>
    <n v="-3.1779902999999998"/>
    <n v="-2.2690882999999999"/>
    <s v="Direct"/>
    <s v="negative regulation of non-canonical Wnt signaling pathway"/>
  </r>
  <r>
    <x v="1"/>
    <x v="0"/>
    <s v="Ssiderea034262"/>
    <n v="-2.5173502999999999"/>
    <n v="-2.6243569999999998"/>
    <s v="Direct"/>
    <s v="NA"/>
  </r>
  <r>
    <x v="1"/>
    <x v="0"/>
    <s v="Ssiderea034394"/>
    <n v="-8.1319780999999995"/>
    <n v="-6.7808209000000002"/>
    <s v="Direct"/>
    <s v="defense response to nematode"/>
  </r>
  <r>
    <x v="1"/>
    <x v="0"/>
    <s v="Ssiderea034395"/>
    <n v="1.60531139"/>
    <n v="2.5370667899999999"/>
    <s v="Direct"/>
    <s v="carbohydrate binding"/>
  </r>
  <r>
    <x v="1"/>
    <x v="0"/>
    <s v="Ssiderea034401"/>
    <n v="-4.1794433"/>
    <n v="-8.5906868999999997"/>
    <s v="Direct"/>
    <s v="carbohydrate binding"/>
  </r>
  <r>
    <x v="1"/>
    <x v="0"/>
    <s v="Ssiderea034405"/>
    <n v="-3.9367230000000002"/>
    <n v="-1.3585487000000001"/>
    <s v="Direct"/>
    <s v="carbohydrate binding"/>
  </r>
  <r>
    <x v="1"/>
    <x v="0"/>
    <s v="Ssiderea034406"/>
    <n v="-3.5459128"/>
    <n v="-2.1202736999999998"/>
    <s v="Direct"/>
    <s v="carbohydrate binding"/>
  </r>
  <r>
    <x v="1"/>
    <x v="0"/>
    <s v="Ssiderea034408"/>
    <n v="-6.1731788999999999"/>
    <n v="-1.5462191000000001"/>
    <s v="Direct"/>
    <s v="carbohydrate binding"/>
  </r>
  <r>
    <x v="1"/>
    <x v="0"/>
    <s v="Ssiderea034453"/>
    <n v="1.8619672700000001"/>
    <n v="2.5489783199999998"/>
    <s v="Direct"/>
    <s v="mannose binding"/>
  </r>
  <r>
    <x v="1"/>
    <x v="0"/>
    <s v="Ssiderea034460"/>
    <n v="3.7137925599999999"/>
    <n v="3.1323006699999998"/>
    <s v="Direct"/>
    <s v="Coagulation factor 5/8 C-terminal domain, discoidin domain"/>
  </r>
  <r>
    <x v="1"/>
    <x v="0"/>
    <s v="Ssiderea034762"/>
    <n v="2.0175154399999999"/>
    <n v="1.3029945999999999"/>
    <s v="Direct"/>
    <s v="Belongs to the peptidase C14A family"/>
  </r>
  <r>
    <x v="1"/>
    <x v="0"/>
    <s v="Ssiderea034790"/>
    <n v="-1.1978652000000001"/>
    <n v="-1.9771349"/>
    <s v="Direct"/>
    <s v="NA"/>
  </r>
  <r>
    <x v="1"/>
    <x v="0"/>
    <s v="Ssiderea034841"/>
    <n v="1.43538312"/>
    <n v="1.5680904899999999"/>
    <s v="Direct"/>
    <s v="cellular response to calcium ion"/>
  </r>
  <r>
    <x v="1"/>
    <x v="0"/>
    <s v="Ssiderea035100"/>
    <n v="1.7405134799999999"/>
    <n v="2.1345724599999998"/>
    <s v="Direct"/>
    <s v="serine-type endopeptidase activity"/>
  </r>
  <r>
    <x v="1"/>
    <x v="0"/>
    <s v="Ssiderea035129"/>
    <n v="-1.0078195999999999"/>
    <n v="-1.4407989999999999"/>
    <s v="Direct"/>
    <s v="SUMO1 sentrin specific peptidase"/>
  </r>
  <r>
    <x v="1"/>
    <x v="0"/>
    <s v="Ssiderea035186"/>
    <n v="1.2883004300000001"/>
    <n v="2.7164300699999999"/>
    <s v="Direct"/>
    <s v="serine-type endopeptidase activity"/>
  </r>
  <r>
    <x v="1"/>
    <x v="0"/>
    <s v="Ssiderea035418"/>
    <n v="-1.0554608999999999"/>
    <n v="-1.0263530999999999"/>
    <s v="Direct"/>
    <s v="G-protein coupled receptor activity"/>
  </r>
  <r>
    <x v="1"/>
    <x v="0"/>
    <s v="Ssiderea035432"/>
    <n v="1.27090156"/>
    <n v="2.0023298500000002"/>
    <s v="Direct"/>
    <s v="nuclear localization sequence binding"/>
  </r>
  <r>
    <x v="1"/>
    <x v="0"/>
    <s v="Ssiderea035434"/>
    <n v="1.79714828"/>
    <n v="1.54064376"/>
    <s v="Direct"/>
    <s v="16-hydroxypalmitate dehydrogenase activity"/>
  </r>
  <r>
    <x v="1"/>
    <x v="0"/>
    <s v="Ssiderea035463"/>
    <n v="3.83816143"/>
    <n v="1.6371293200000001"/>
    <s v="Direct"/>
    <s v="NA"/>
  </r>
  <r>
    <x v="1"/>
    <x v="0"/>
    <s v="Ssiderea035576"/>
    <n v="1.3934063800000001"/>
    <n v="2.5276192900000001"/>
    <s v="Direct"/>
    <s v="Cupin-like domain"/>
  </r>
  <r>
    <x v="1"/>
    <x v="0"/>
    <s v="Ssiderea035585"/>
    <n v="1.75435108"/>
    <n v="1.1788713399999999"/>
    <s v="Direct"/>
    <s v="respiratory chain complex III assembly"/>
  </r>
  <r>
    <x v="1"/>
    <x v="0"/>
    <s v="Ssiderea035606"/>
    <n v="-1.3301038000000001"/>
    <n v="1.03834614"/>
    <s v="Inverse"/>
    <s v="MAM domain containing 4"/>
  </r>
  <r>
    <x v="1"/>
    <x v="0"/>
    <s v="Ssiderea035653"/>
    <n v="-1.1158709"/>
    <n v="-1.1472012"/>
    <s v="Direct"/>
    <s v="guanine nucleotide exchange factor 1"/>
  </r>
  <r>
    <x v="1"/>
    <x v="0"/>
    <s v="Ssiderea035978"/>
    <n v="1.9311415000000001"/>
    <n v="1.2063885700000001"/>
    <s v="Direct"/>
    <s v="NA"/>
  </r>
  <r>
    <x v="1"/>
    <x v="0"/>
    <s v="Ssiderea035992"/>
    <n v="2.8115196199999999"/>
    <n v="1.02545866"/>
    <s v="Direct"/>
    <s v="NA"/>
  </r>
  <r>
    <x v="1"/>
    <x v="0"/>
    <s v="Ssiderea035994"/>
    <n v="3.8935944500000002"/>
    <n v="1.0619422000000001"/>
    <s v="Direct"/>
    <s v="NA"/>
  </r>
  <r>
    <x v="1"/>
    <x v="0"/>
    <s v="Ssiderea036015"/>
    <n v="-1.0917091999999999"/>
    <n v="-1.4663264"/>
    <s v="Direct"/>
    <s v="NA"/>
  </r>
  <r>
    <x v="1"/>
    <x v="0"/>
    <s v="Ssiderea036504"/>
    <n v="-1.4902723"/>
    <n v="-1.26776"/>
    <s v="Direct"/>
    <s v="histone H2A-K119 monoubiquitination"/>
  </r>
  <r>
    <x v="1"/>
    <x v="0"/>
    <s v="Ssiderea036590"/>
    <n v="-1.0432022000000001"/>
    <n v="-1.8782722000000001"/>
    <s v="Direct"/>
    <s v="7 transmembrane receptor (rhodopsin family)"/>
  </r>
  <r>
    <x v="1"/>
    <x v="0"/>
    <s v="Ssiderea036647"/>
    <n v="3.5183133999999998"/>
    <n v="2.0377397199999998"/>
    <s v="Direct"/>
    <s v="lipoprotein receptor-related protein"/>
  </r>
  <r>
    <x v="1"/>
    <x v="0"/>
    <s v="Ssiderea036716"/>
    <n v="2.105988"/>
    <n v="2.4303257700000001"/>
    <s v="Direct"/>
    <s v="structural constituent of cuticle"/>
  </r>
  <r>
    <x v="1"/>
    <x v="0"/>
    <s v="Ssiderea036916"/>
    <n v="1.4366701399999999"/>
    <n v="1.0153376199999999"/>
    <s v="Direct"/>
    <s v="NUAK family, SNF1-like kinase, 2"/>
  </r>
  <r>
    <x v="1"/>
    <x v="0"/>
    <s v="Ssiderea037477"/>
    <n v="-1.3797705"/>
    <n v="-1.5095407000000001"/>
    <s v="Direct"/>
    <s v="NA"/>
  </r>
  <r>
    <x v="1"/>
    <x v="0"/>
    <s v="Ssiderea037718"/>
    <n v="1.4190286700000001"/>
    <n v="1.0814295199999999"/>
    <s v="Direct"/>
    <s v="NA"/>
  </r>
  <r>
    <x v="1"/>
    <x v="0"/>
    <s v="Ssiderea037751"/>
    <n v="1.02653919"/>
    <n v="1.3448928899999999"/>
    <s v="Direct"/>
    <s v="zinc ion binding"/>
  </r>
  <r>
    <x v="1"/>
    <x v="0"/>
    <s v="Ssiderea038011"/>
    <n v="1.04456829"/>
    <n v="1.37301104"/>
    <s v="Direct"/>
    <s v="NA"/>
  </r>
  <r>
    <x v="1"/>
    <x v="0"/>
    <s v="Ssiderea038168"/>
    <n v="-1.3556352"/>
    <n v="-2.7672604999999999"/>
    <s v="Direct"/>
    <s v="NA"/>
  </r>
  <r>
    <x v="1"/>
    <x v="0"/>
    <s v="Ssiderea038178"/>
    <n v="-1.6596572999999999"/>
    <n v="-2.3308474000000001"/>
    <s v="Direct"/>
    <s v="Carboxylesterase family"/>
  </r>
  <r>
    <x v="1"/>
    <x v="0"/>
    <s v="Ssiderea038319"/>
    <n v="2.2740686299999999"/>
    <n v="1.1493787200000001"/>
    <s v="Direct"/>
    <s v="NA"/>
  </r>
  <r>
    <x v="1"/>
    <x v="0"/>
    <s v="Ssiderea038351"/>
    <n v="-1.8316015000000001"/>
    <n v="-1.6902815"/>
    <s v="Direct"/>
    <s v="succinate-hydroxymethylglutarate CoA-transferase activity"/>
  </r>
  <r>
    <x v="1"/>
    <x v="0"/>
    <s v="Ssiderea038388"/>
    <n v="1.7851484099999999"/>
    <n v="1.2159120000000001"/>
    <s v="Direct"/>
    <s v="mitochondrial translation"/>
  </r>
  <r>
    <x v="1"/>
    <x v="0"/>
    <s v="Ssiderea038461"/>
    <n v="-1.0433684000000001"/>
    <n v="-2.3277668999999999"/>
    <s v="Direct"/>
    <s v="NA"/>
  </r>
  <r>
    <x v="1"/>
    <x v="0"/>
    <s v="Ssiderea038529"/>
    <n v="-1.6581995"/>
    <n v="-1.2923948000000001"/>
    <s v="Direct"/>
    <s v="NA"/>
  </r>
  <r>
    <x v="1"/>
    <x v="0"/>
    <s v="Ssiderea038534"/>
    <n v="-6.5700361999999997"/>
    <n v="-2.0701890999999999"/>
    <s v="Direct"/>
    <s v="NA"/>
  </r>
  <r>
    <x v="1"/>
    <x v="0"/>
    <s v="Ssiderea038574"/>
    <n v="-1.0499794"/>
    <n v="-3.7552561999999998"/>
    <s v="Direct"/>
    <s v="NA"/>
  </r>
  <r>
    <x v="1"/>
    <x v="0"/>
    <s v="Ssiderea038658"/>
    <n v="-1.0860188"/>
    <n v="-1.0015970999999999"/>
    <s v="Direct"/>
    <s v="NA"/>
  </r>
  <r>
    <x v="1"/>
    <x v="0"/>
    <s v="Ssiderea038766"/>
    <n v="-2.1845281000000001"/>
    <n v="-1.0643381000000001"/>
    <s v="Direct"/>
    <s v="G-protein coupled receptor activity"/>
  </r>
  <r>
    <x v="1"/>
    <x v="0"/>
    <s v="Ssiderea038885"/>
    <n v="1.1158709099999999"/>
    <n v="1.8457623400000001"/>
    <s v="Direct"/>
    <s v="NA"/>
  </r>
  <r>
    <x v="1"/>
    <x v="0"/>
    <s v="Ssiderea039101"/>
    <n v="1.2251711700000001"/>
    <n v="1.3068589100000001"/>
    <s v="Direct"/>
    <s v="NA"/>
  </r>
  <r>
    <x v="1"/>
    <x v="0"/>
    <s v="Ssiderea039130"/>
    <n v="-1.6198619999999999"/>
    <n v="-1.6641325"/>
    <s v="Direct"/>
    <s v="NA"/>
  </r>
  <r>
    <x v="1"/>
    <x v="0"/>
    <s v="Ssiderea039177"/>
    <n v="2.35236256"/>
    <n v="2.9843417099999998"/>
    <s v="Direct"/>
    <s v="detection of nodal flow"/>
  </r>
  <r>
    <x v="1"/>
    <x v="0"/>
    <s v="Ssiderea039352"/>
    <n v="2.0024373799999999"/>
    <n v="1.18710406"/>
    <s v="Direct"/>
    <s v="NA"/>
  </r>
  <r>
    <x v="1"/>
    <x v="0"/>
    <s v="Ssiderea039526"/>
    <n v="-2.3874363999999999"/>
    <n v="-1.8457623000000001"/>
    <s v="Direct"/>
    <s v="NA"/>
  </r>
  <r>
    <x v="1"/>
    <x v="0"/>
    <s v="Ssiderea039539"/>
    <n v="-1.7355407"/>
    <n v="-2.2676237000000001"/>
    <s v="Direct"/>
    <s v="Protein tyrosine kinase"/>
  </r>
  <r>
    <x v="1"/>
    <x v="0"/>
    <s v="Ssiderea039589"/>
    <n v="1.99732387"/>
    <n v="1.0603290599999999"/>
    <s v="Direct"/>
    <s v="NA"/>
  </r>
  <r>
    <x v="1"/>
    <x v="0"/>
    <s v="Ssiderea039621"/>
    <n v="1.3543351100000001"/>
    <n v="3.7318106100000001"/>
    <s v="Direct"/>
    <s v="U11-48K-like CHHC zinc finger"/>
  </r>
  <r>
    <x v="1"/>
    <x v="0"/>
    <s v="Ssiderea039664"/>
    <n v="1.97910166"/>
    <n v="3.11857037"/>
    <s v="Direct"/>
    <s v="G-protein coupled receptor activity"/>
  </r>
  <r>
    <x v="1"/>
    <x v="0"/>
    <s v="Ssiderea039722"/>
    <n v="2.3289419499999999"/>
    <n v="1.05648396"/>
    <s v="Direct"/>
    <s v="NA"/>
  </r>
  <r>
    <x v="1"/>
    <x v="0"/>
    <s v="Ssiderea039842"/>
    <n v="1.21003197"/>
    <n v="1.9728865"/>
    <s v="Direct"/>
    <s v="positive regulation of interleukin-13 biosynthetic process"/>
  </r>
  <r>
    <x v="1"/>
    <x v="0"/>
    <s v="Ssiderea040040"/>
    <n v="1.522187"/>
    <n v="3.6878900799999998"/>
    <s v="Direct"/>
    <s v="TEK tyrosine kinase, endothelial"/>
  </r>
  <r>
    <x v="1"/>
    <x v="0"/>
    <s v="Ssiderea040081"/>
    <n v="-2.1257313"/>
    <n v="-6.7808209000000002"/>
    <s v="Direct"/>
    <s v="ATPase activity, coupled to transmembrane movement of substances"/>
  </r>
  <r>
    <x v="1"/>
    <x v="0"/>
    <s v="Ssiderea040312"/>
    <n v="1.3782551199999999"/>
    <n v="2.2853653199999999"/>
    <s v="Direct"/>
    <s v="NA"/>
  </r>
  <r>
    <x v="1"/>
    <x v="0"/>
    <s v="Ssiderea040497"/>
    <n v="-2.3630890999999998"/>
    <n v="-1.3128219000000001"/>
    <s v="Direct"/>
    <s v="NA"/>
  </r>
  <r>
    <x v="1"/>
    <x v="0"/>
    <s v="Ssiderea040536"/>
    <n v="2.1461335199999998"/>
    <n v="1.6711501099999999"/>
    <s v="Direct"/>
    <s v="NA"/>
  </r>
  <r>
    <x v="1"/>
    <x v="0"/>
    <s v="Ssiderea040768"/>
    <n v="1.1095787699999999"/>
    <n v="1.24127386"/>
    <s v="Direct"/>
    <s v="Ig-like domain on T-cell surface glycoprotein CD3 epsilon chain"/>
  </r>
  <r>
    <x v="1"/>
    <x v="0"/>
    <s v="Ssiderea040788"/>
    <n v="3.6352556200000001"/>
    <n v="2.91437685"/>
    <s v="Direct"/>
    <s v="NA"/>
  </r>
  <r>
    <x v="1"/>
    <x v="0"/>
    <s v="Ssiderea040818"/>
    <n v="1.2773754500000001"/>
    <n v="1.60214941"/>
    <s v="Direct"/>
    <s v="Ig-like domain on T-cell surface glycoprotein CD3 epsilon chain"/>
  </r>
  <r>
    <x v="1"/>
    <x v="0"/>
    <s v="Ssiderea040856"/>
    <n v="-1.0049163999999999"/>
    <n v="-2.1363411999999999"/>
    <s v="Direct"/>
    <s v="Immunoglobulin C-2 Type"/>
  </r>
  <r>
    <x v="1"/>
    <x v="0"/>
    <s v="Ssiderea040857"/>
    <n v="-1.6109560000000001"/>
    <n v="-1.8267994999999999"/>
    <s v="Direct"/>
    <s v="Sialic acid binding Ig-like lectin 1, sialoadhesin"/>
  </r>
  <r>
    <x v="1"/>
    <x v="0"/>
    <s v="Ssiderea040882"/>
    <n v="-4.9341261999999997"/>
    <n v="-3.4511984"/>
    <s v="Direct"/>
    <s v="NA"/>
  </r>
  <r>
    <x v="1"/>
    <x v="0"/>
    <s v="Ssiderea040894"/>
    <n v="-2.8243098999999998"/>
    <n v="-1.7185623999999999"/>
    <s v="Direct"/>
    <s v="NA"/>
  </r>
  <r>
    <x v="1"/>
    <x v="0"/>
    <s v="Ssiderea040951"/>
    <n v="9.9385081799999995"/>
    <n v="1.63002723"/>
    <s v="Direct"/>
    <s v="NA"/>
  </r>
  <r>
    <x v="1"/>
    <x v="0"/>
    <s v="Ssiderea040954"/>
    <n v="1.7346017"/>
    <n v="1.02551294"/>
    <s v="Direct"/>
    <s v="cytoskeletal protein binding"/>
  </r>
  <r>
    <x v="1"/>
    <x v="0"/>
    <s v="Ssiderea040978"/>
    <n v="-2.9195465"/>
    <n v="-1.3582675"/>
    <s v="Direct"/>
    <s v="Immunoglobulin C-2 Type"/>
  </r>
  <r>
    <x v="1"/>
    <x v="0"/>
    <s v="Ssiderea041204"/>
    <n v="-4.5938688000000001"/>
    <n v="-1.1745885"/>
    <s v="Direct"/>
    <s v="Immunoglobulin C-2 Type"/>
  </r>
  <r>
    <x v="1"/>
    <x v="0"/>
    <s v="Ssiderea041264"/>
    <n v="-2.8243235000000002"/>
    <n v="-1.4823439"/>
    <s v="Direct"/>
    <s v="NA"/>
  </r>
  <r>
    <x v="1"/>
    <x v="0"/>
    <s v="Ssiderea041320"/>
    <n v="-1.0942369999999999"/>
    <n v="-4.5609057999999996"/>
    <s v="Direct"/>
    <s v="Common central domain of tyrosinase"/>
  </r>
  <r>
    <x v="1"/>
    <x v="0"/>
    <s v="Ssiderea041344"/>
    <n v="-2.2591918"/>
    <n v="-1.5381663999999999"/>
    <s v="Direct"/>
    <s v="Pentaxin family"/>
  </r>
  <r>
    <x v="1"/>
    <x v="0"/>
    <s v="Ssiderea041354"/>
    <n v="-2.7211889999999999"/>
    <n v="-1.5279484999999999"/>
    <s v="Direct"/>
    <s v="NA"/>
  </r>
  <r>
    <x v="1"/>
    <x v="0"/>
    <s v="Ssiderea041358"/>
    <n v="-5.1905973999999997"/>
    <n v="-1.0339639"/>
    <s v="Direct"/>
    <s v="Common central domain of tyrosinase"/>
  </r>
  <r>
    <x v="1"/>
    <x v="0"/>
    <s v="Ssiderea041506"/>
    <n v="1.64095218"/>
    <n v="1.00873284"/>
    <s v="Direct"/>
    <s v="NA"/>
  </r>
  <r>
    <x v="1"/>
    <x v="0"/>
    <s v="Ssiderea041558"/>
    <n v="2.0129153799999999"/>
    <n v="2.3917352799999998"/>
    <s v="Direct"/>
    <s v="DBH-like monooxygenase protein 1"/>
  </r>
  <r>
    <x v="1"/>
    <x v="0"/>
    <s v="Ssiderea041600"/>
    <n v="-1.1851091"/>
    <n v="-2.1414620000000002"/>
    <s v="Direct"/>
    <s v="NA"/>
  </r>
  <r>
    <x v="1"/>
    <x v="0"/>
    <s v="Ssiderea041609"/>
    <n v="5.4552354200000002"/>
    <n v="4.2708849400000002"/>
    <s v="Direct"/>
    <s v="NA"/>
  </r>
  <r>
    <x v="1"/>
    <x v="0"/>
    <s v="Ssiderea041620"/>
    <n v="-4.1383868000000001"/>
    <n v="-1.4741529"/>
    <s v="Direct"/>
    <s v="NA"/>
  </r>
  <r>
    <x v="1"/>
    <x v="0"/>
    <s v="Ssiderea041625"/>
    <n v="2.1845281399999998"/>
    <n v="2.3181367800000001"/>
    <s v="Direct"/>
    <s v="Collagen triple helix"/>
  </r>
  <r>
    <x v="1"/>
    <x v="0"/>
    <s v="Ssiderea041630"/>
    <n v="1.4110541000000001"/>
    <n v="1.0127958800000001"/>
    <s v="Direct"/>
    <s v="DNA repair protein RAD51 homolog"/>
  </r>
  <r>
    <x v="1"/>
    <x v="0"/>
    <s v="Ssiderea041651"/>
    <n v="1.8228441500000001"/>
    <n v="1.1929622099999999"/>
    <s v="Direct"/>
    <s v="PFAM SMP-30 Gluconolaconase"/>
  </r>
  <r>
    <x v="1"/>
    <x v="0"/>
    <s v="Ssiderea041679"/>
    <n v="3.8144577900000001"/>
    <n v="2.4042876199999998"/>
    <s v="Direct"/>
    <s v="Collagen triple helix"/>
  </r>
  <r>
    <x v="1"/>
    <x v="0"/>
    <s v="Ssiderea041712"/>
    <n v="2.94710165"/>
    <n v="1.45879523"/>
    <s v="Direct"/>
    <s v="Protein tyrosine kinase"/>
  </r>
  <r>
    <x v="1"/>
    <x v="0"/>
    <s v="Ssiderea041724"/>
    <n v="-1.7458073999999999"/>
    <n v="-1.4587952"/>
    <s v="Direct"/>
    <s v="Protein tyrosine kinase"/>
  </r>
  <r>
    <x v="1"/>
    <x v="0"/>
    <s v="Ssiderea041746"/>
    <n v="2.2735221800000001"/>
    <n v="2.4352102699999998"/>
    <s v="Direct"/>
    <s v="Protein tyrosine kinase"/>
  </r>
  <r>
    <x v="1"/>
    <x v="0"/>
    <s v="Ssiderea041999"/>
    <n v="2.13008482"/>
    <n v="1.5511016900000001"/>
    <s v="Direct"/>
    <s v="MAP kinase phosphatase activity"/>
  </r>
  <r>
    <x v="1"/>
    <x v="0"/>
    <s v="Ssiderea042039"/>
    <n v="-1.0891352999999999"/>
    <n v="-1.4217443000000001"/>
    <s v="Direct"/>
    <s v="NA"/>
  </r>
  <r>
    <x v="1"/>
    <x v="0"/>
    <s v="Ssiderea042098"/>
    <n v="-1.0394414999999999"/>
    <n v="-1.3288244"/>
    <s v="Direct"/>
    <s v="cytochrome P450"/>
  </r>
  <r>
    <x v="1"/>
    <x v="0"/>
    <s v="Ssiderea042206"/>
    <n v="2.67158031"/>
    <n v="3.1177622700000001"/>
    <s v="Direct"/>
    <s v="NA"/>
  </r>
  <r>
    <x v="1"/>
    <x v="0"/>
    <s v="Ssiderea042484"/>
    <n v="2.21582196"/>
    <n v="1.1793741200000001"/>
    <s v="Direct"/>
    <s v="alpha-galactosidase activity"/>
  </r>
  <r>
    <x v="1"/>
    <x v="0"/>
    <s v="Ssiderea042500"/>
    <n v="-5.0824299000000002"/>
    <n v="-2.3220038999999999"/>
    <s v="Direct"/>
    <s v="NA"/>
  </r>
  <r>
    <x v="1"/>
    <x v="0"/>
    <s v="Ssiderea042563"/>
    <n v="2.9639124099999998"/>
    <n v="2.7672605300000002"/>
    <s v="Direct"/>
    <s v="protein propionyltransferase activity"/>
  </r>
  <r>
    <x v="1"/>
    <x v="0"/>
    <s v="Ssiderea042600"/>
    <n v="2.91023941"/>
    <n v="3.4157248299999998"/>
    <s v="Direct"/>
    <s v="mannose binding"/>
  </r>
  <r>
    <x v="1"/>
    <x v="0"/>
    <s v="Ssiderea042756"/>
    <n v="2.1399830500000001"/>
    <n v="1.50671719"/>
    <s v="Direct"/>
    <s v="Transferase activity, transferring phosphorus-containing groups"/>
  </r>
  <r>
    <x v="1"/>
    <x v="0"/>
    <s v="Ssiderea042816"/>
    <n v="1.38208676"/>
    <n v="2.5745932800000002"/>
    <s v="Direct"/>
    <s v="Cupin-like domain"/>
  </r>
  <r>
    <x v="1"/>
    <x v="0"/>
    <s v="Ssiderea042963"/>
    <n v="1.3536686600000001"/>
    <n v="1.4904560600000001"/>
    <s v="Direct"/>
    <s v="NA"/>
  </r>
  <r>
    <x v="1"/>
    <x v="0"/>
    <s v="Ssiderea042988"/>
    <n v="-1.2840328999999999"/>
    <n v="-1.3490518"/>
    <s v="Direct"/>
    <s v="NA"/>
  </r>
  <r>
    <x v="1"/>
    <x v="0"/>
    <s v="Ssiderea043077"/>
    <n v="-1.4591618"/>
    <n v="-1.1160097"/>
    <s v="Direct"/>
    <s v="Chromatin modification-related protein"/>
  </r>
  <r>
    <x v="1"/>
    <x v="0"/>
    <s v="Ssiderea043100"/>
    <n v="-2.870025"/>
    <n v="-2.6374781999999999"/>
    <s v="Direct"/>
    <s v="NA"/>
  </r>
  <r>
    <x v="1"/>
    <x v="0"/>
    <s v="Ssiderea043280"/>
    <n v="-1.0217369000000001"/>
    <n v="-1.3239715000000001"/>
    <s v="Direct"/>
    <s v="NA"/>
  </r>
  <r>
    <x v="1"/>
    <x v="0"/>
    <s v="Ssiderea043285"/>
    <n v="-2.6926350999999999"/>
    <n v="-1.0017587999999999"/>
    <s v="Direct"/>
    <s v="NA"/>
  </r>
  <r>
    <x v="1"/>
    <x v="0"/>
    <s v="Ssiderea043293"/>
    <n v="-2.0176777000000001"/>
    <n v="-1.0745948000000001"/>
    <s v="Direct"/>
    <s v="NA"/>
  </r>
  <r>
    <x v="1"/>
    <x v="0"/>
    <s v="Ssiderea043312"/>
    <n v="-1.3795088"/>
    <n v="-1.3816575"/>
    <s v="Direct"/>
    <s v="NA"/>
  </r>
  <r>
    <x v="1"/>
    <x v="0"/>
    <s v="Ssiderea043587"/>
    <n v="1.1573583199999999"/>
    <n v="1.0462750599999999"/>
    <s v="Direct"/>
    <s v="cathepsin Z"/>
  </r>
  <r>
    <x v="1"/>
    <x v="0"/>
    <s v="Ssiderea043627"/>
    <n v="1.34571493"/>
    <n v="1.39730822"/>
    <s v="Direct"/>
    <s v="NA"/>
  </r>
  <r>
    <x v="1"/>
    <x v="0"/>
    <s v="Ssiderea043766"/>
    <n v="-2.8580993000000001"/>
    <n v="-2.2406123"/>
    <s v="Direct"/>
    <s v="carbohydrate binding"/>
  </r>
  <r>
    <x v="1"/>
    <x v="0"/>
    <s v="Ssiderea043779"/>
    <n v="-3.6330379000000002"/>
    <n v="-2.9221091000000001"/>
    <s v="Direct"/>
    <s v="Potassium channel subfamily K member"/>
  </r>
  <r>
    <x v="1"/>
    <x v="0"/>
    <s v="Ssiderea044690"/>
    <n v="-2.2633085999999998"/>
    <n v="-6.1147197000000002"/>
    <s v="Direct"/>
    <s v="NA"/>
  </r>
  <r>
    <x v="1"/>
    <x v="0"/>
    <s v="Ssiderea044691"/>
    <n v="-1.0159141"/>
    <n v="-1.9450324999999999"/>
    <s v="Direct"/>
    <s v="Required for formation of the RNA induced silencing complex (RISC). Component of the RISC loading complex (RLC), also known as the micro-RNA (miRNA) loading complex (miRLC), which is composed of dicer1, ago2 and tarbp2. Within the RLC miRLC, dicer1 and ta"/>
  </r>
  <r>
    <x v="1"/>
    <x v="0"/>
    <s v="Ssiderea044698"/>
    <n v="-1.0000747000000001"/>
    <n v="-2.4902169999999999"/>
    <s v="Direct"/>
    <s v="carbonate dehydratase activity"/>
  </r>
  <r>
    <x v="1"/>
    <x v="0"/>
    <s v="Ssiderea044854"/>
    <n v="1.6287958499999999"/>
    <n v="1.0871335799999999"/>
    <s v="Direct"/>
    <s v="Common central domain of tyrosinase"/>
  </r>
  <r>
    <x v="1"/>
    <x v="0"/>
    <s v="Ssiderea044861"/>
    <n v="1.1674483099999999"/>
    <n v="1.32397152"/>
    <s v="Direct"/>
    <s v="tRNA methyltransferase 1 homolog (S. cerevisiae)"/>
  </r>
  <r>
    <x v="1"/>
    <x v="0"/>
    <s v="Ssiderea045036"/>
    <n v="2.08534138"/>
    <n v="1.1336401700000001"/>
    <s v="Direct"/>
    <s v="NA"/>
  </r>
  <r>
    <x v="1"/>
    <x v="0"/>
    <s v="Ssiderea045112"/>
    <n v="2.05600082"/>
    <n v="1.24485544"/>
    <s v="Direct"/>
    <s v="C-terminal of Roc, COR, domain"/>
  </r>
  <r>
    <x v="1"/>
    <x v="0"/>
    <s v="Ssiderea045298"/>
    <n v="1.02534967"/>
    <n v="1.1095788900000001"/>
    <s v="Direct"/>
    <s v="NA"/>
  </r>
  <r>
    <x v="1"/>
    <x v="0"/>
    <s v="Ssiderea045300"/>
    <n v="1.0658257900000001"/>
    <n v="1.0634156800000001"/>
    <s v="Direct"/>
    <s v="metalloendopeptidase activity"/>
  </r>
  <r>
    <x v="1"/>
    <x v="0"/>
    <s v="Ssiderea045355"/>
    <n v="1.6328965"/>
    <n v="2.6156850999999999"/>
    <s v="Direct"/>
    <s v="NAADP-sensitive calcium-release channel activity"/>
  </r>
  <r>
    <x v="1"/>
    <x v="0"/>
    <s v="Ssiderea045375"/>
    <n v="-1.3820867999999999"/>
    <n v="-1.0376915"/>
    <s v="Direct"/>
    <s v="gamma-aminobutyric acid type B receptor subunit"/>
  </r>
  <r>
    <x v="1"/>
    <x v="0"/>
    <s v="Ssiderea045376"/>
    <n v="-1.0751592000000001"/>
    <n v="-3.0424560999999999"/>
    <s v="Direct"/>
    <s v="Transcription factor"/>
  </r>
  <r>
    <x v="1"/>
    <x v="0"/>
    <s v="Ssiderea045402"/>
    <n v="1.1744974399999999"/>
    <n v="1.7901246900000001"/>
    <s v="Direct"/>
    <s v="NA"/>
  </r>
  <r>
    <x v="1"/>
    <x v="0"/>
    <s v="Ssiderea045481"/>
    <n v="-1.790483"/>
    <n v="-1.0675384999999999"/>
    <s v="Direct"/>
    <s v="protein polyubiquitination"/>
  </r>
  <r>
    <x v="1"/>
    <x v="0"/>
    <s v="Ssiderea045517"/>
    <n v="-1.1168575000000001"/>
    <n v="-1.9736293"/>
    <s v="Direct"/>
    <s v="NA"/>
  </r>
  <r>
    <x v="1"/>
    <x v="0"/>
    <s v="Ssiderea045549"/>
    <n v="2.20274737"/>
    <n v="2.36147376"/>
    <s v="Direct"/>
    <s v="WD40 repeats"/>
  </r>
  <r>
    <x v="1"/>
    <x v="0"/>
    <s v="Ssiderea045722"/>
    <n v="3.0522732499999998"/>
    <n v="1.4221965299999999"/>
    <s v="Direct"/>
    <s v="dsRNA-gated channel SID-1"/>
  </r>
  <r>
    <x v="1"/>
    <x v="0"/>
    <s v="Ssiderea045845"/>
    <n v="1.33385592"/>
    <n v="4.9349813899999999"/>
    <s v="Direct"/>
    <s v="nitric-oxide synthase activity"/>
  </r>
  <r>
    <x v="1"/>
    <x v="0"/>
    <s v="Ssiderea045976"/>
    <n v="-2.2341253999999999"/>
    <n v="-1.8567753"/>
    <s v="Direct"/>
    <s v="NA"/>
  </r>
  <r>
    <x v="1"/>
    <x v="0"/>
    <s v="Ssiderea046093"/>
    <n v="-2.7119694999999999"/>
    <n v="-2.1168383999999998"/>
    <s v="Direct"/>
    <s v="Protein tyrosine kinase"/>
  </r>
  <r>
    <x v="1"/>
    <x v="0"/>
    <s v="Ssiderea046106"/>
    <n v="2.8930762099999998"/>
    <n v="3.4770130799999999"/>
    <s v="Direct"/>
    <s v="Death effector domain"/>
  </r>
  <r>
    <x v="1"/>
    <x v="0"/>
    <s v="Ssiderea046285"/>
    <n v="1.23317885"/>
    <n v="2.2071800600000002"/>
    <s v="Direct"/>
    <s v="NA"/>
  </r>
  <r>
    <x v="1"/>
    <x v="0"/>
    <s v="Ssiderea046447"/>
    <n v="1.72598706"/>
    <n v="1.66399823"/>
    <s v="Direct"/>
    <s v="NA"/>
  </r>
  <r>
    <x v="1"/>
    <x v="0"/>
    <s v="Ssiderea046462"/>
    <n v="-1.3213801999999999"/>
    <n v="-1.9454214000000001"/>
    <s v="Direct"/>
    <s v="positive regulation of Rho guanyl-nucleotide exchange factor activity"/>
  </r>
  <r>
    <x v="1"/>
    <x v="0"/>
    <s v="Ssiderea046480"/>
    <n v="2.2740686299999999"/>
    <n v="1.42874725"/>
    <s v="Direct"/>
    <s v="Belongs to the peptidase M10A family"/>
  </r>
  <r>
    <x v="1"/>
    <x v="0"/>
    <s v="Ssiderea046539"/>
    <n v="1.2809582399999999"/>
    <n v="2.14146204"/>
    <s v="Direct"/>
    <s v="NA"/>
  </r>
  <r>
    <x v="1"/>
    <x v="0"/>
    <s v="Ssiderea046550"/>
    <n v="-1.2773753999999999"/>
    <n v="-1.3974047999999999"/>
    <s v="Direct"/>
    <s v="Belongs to the TPP enzyme family"/>
  </r>
  <r>
    <x v="1"/>
    <x v="0"/>
    <s v="Ssiderea046616"/>
    <n v="2.7803595099999998"/>
    <n v="1.2729009600000001"/>
    <s v="Direct"/>
    <s v="Acyl-CoA synthetase long-chain family member"/>
  </r>
  <r>
    <x v="1"/>
    <x v="0"/>
    <s v="Ssiderea046687"/>
    <n v="1.1205220600000001"/>
    <n v="1.1721602900000001"/>
    <s v="Direct"/>
    <s v="sulfuric ester hydrolase activity"/>
  </r>
  <r>
    <x v="1"/>
    <x v="0"/>
    <s v="Ssiderea046744"/>
    <n v="-1.8002624"/>
    <n v="-1.3277421"/>
    <s v="Direct"/>
    <s v="NA"/>
  </r>
  <r>
    <x v="1"/>
    <x v="0"/>
    <s v="Ssiderea046837"/>
    <n v="1.6696516400000001"/>
    <n v="1.1550682999999999"/>
    <s v="Direct"/>
    <s v="serine-type endopeptidase inhibitor activity"/>
  </r>
  <r>
    <x v="1"/>
    <x v="0"/>
    <s v="Ssiderea047198"/>
    <n v="1.0254567800000001"/>
    <n v="2.31736977"/>
    <s v="Direct"/>
    <s v="zinc ion binding"/>
  </r>
  <r>
    <x v="1"/>
    <x v="0"/>
    <s v="Ssiderea047313"/>
    <n v="3.2630366400000002"/>
    <n v="1.6847319999999999"/>
    <s v="Direct"/>
    <s v="NA"/>
  </r>
  <r>
    <x v="1"/>
    <x v="0"/>
    <s v="Ssiderea047390"/>
    <n v="1.2071512499999999"/>
    <n v="1.6711501099999999"/>
    <s v="Direct"/>
    <s v="caveola assembly"/>
  </r>
  <r>
    <x v="1"/>
    <x v="0"/>
    <s v="Ssiderea047419"/>
    <n v="1.0069468500000001"/>
    <n v="6.11471974"/>
    <s v="Direct"/>
    <s v="NA"/>
  </r>
  <r>
    <x v="1"/>
    <x v="0"/>
    <s v="Ssiderea047439"/>
    <n v="-1.1455804999999999"/>
    <n v="-2.4057499999999998"/>
    <s v="Direct"/>
    <s v="Belongs to the CD36 family"/>
  </r>
  <r>
    <x v="1"/>
    <x v="0"/>
    <s v="Ssiderea047501"/>
    <n v="-1.9282465"/>
    <n v="-2.6220637999999998"/>
    <s v="Direct"/>
    <s v="hyaluronic acid binding"/>
  </r>
  <r>
    <x v="1"/>
    <x v="0"/>
    <s v="Ssiderea047564"/>
    <n v="-1.4294606000000001"/>
    <n v="-1.6762229"/>
    <s v="Direct"/>
    <s v="NA"/>
  </r>
  <r>
    <x v="1"/>
    <x v="0"/>
    <s v="Ssiderea047703"/>
    <n v="-1.0512747"/>
    <n v="-1.0772455999999999"/>
    <s v="Direct"/>
    <s v="interleukin-8 biosynthetic process"/>
  </r>
  <r>
    <x v="1"/>
    <x v="0"/>
    <s v="Ssiderea047795"/>
    <n v="3.14996689"/>
    <n v="1.1788713399999999"/>
    <s v="Direct"/>
    <s v="Glycosyl transferases group 1"/>
  </r>
  <r>
    <x v="1"/>
    <x v="0"/>
    <s v="Ssiderea047803"/>
    <n v="2.0845362999999999"/>
    <n v="1.12979316"/>
    <s v="Direct"/>
    <s v="Glycosyl transferases group 1"/>
  </r>
  <r>
    <x v="1"/>
    <x v="0"/>
    <s v="Ssiderea048064"/>
    <n v="-2.5896512"/>
    <n v="-1.1189397999999999"/>
    <s v="Direct"/>
    <s v="NA"/>
  </r>
  <r>
    <x v="1"/>
    <x v="0"/>
    <s v="Ssiderea048220"/>
    <n v="-2.8965203000000002"/>
    <n v="-1.6209209"/>
    <s v="Direct"/>
    <s v="Farnesoic acid 0-methyl transferase"/>
  </r>
  <r>
    <x v="1"/>
    <x v="0"/>
    <s v="Ssiderea048240"/>
    <n v="-1.6496899"/>
    <n v="-1.7528357999999999"/>
    <s v="Direct"/>
    <s v="Fibronectin type 3 domain"/>
  </r>
  <r>
    <x v="1"/>
    <x v="0"/>
    <s v="Ssiderea048517"/>
    <n v="1.1935206599999999"/>
    <n v="1.3630573699999999"/>
    <s v="Direct"/>
    <s v="ATP-dependent microtubule motor activity, minus-end-directed"/>
  </r>
  <r>
    <x v="1"/>
    <x v="0"/>
    <s v="Ssiderea048577"/>
    <n v="-2.1818936"/>
    <n v="-1.4424593999999999"/>
    <s v="Direct"/>
    <s v="Protein tyrosine kinase"/>
  </r>
  <r>
    <x v="1"/>
    <x v="0"/>
    <s v="Ssiderea048596"/>
    <n v="-3.6806245999999998"/>
    <n v="-1.8195425000000001"/>
    <s v="Direct"/>
    <s v="mitochondrial fusion"/>
  </r>
  <r>
    <x v="1"/>
    <x v="0"/>
    <s v="Ssiderea048697"/>
    <n v="1.3881561899999999"/>
    <n v="1.8132571500000001"/>
    <s v="Direct"/>
    <s v="NA"/>
  </r>
  <r>
    <x v="1"/>
    <x v="0"/>
    <s v="Ssiderea049126"/>
    <n v="-1.6385316000000001"/>
    <n v="-1.3490518"/>
    <s v="Direct"/>
    <s v="7 transmembrane receptor (rhodopsin family)"/>
  </r>
  <r>
    <x v="1"/>
    <x v="0"/>
    <s v="Ssiderea049144"/>
    <n v="1.16505112"/>
    <n v="1.13234302"/>
    <s v="Direct"/>
    <s v="NA"/>
  </r>
  <r>
    <x v="1"/>
    <x v="0"/>
    <s v="Ssiderea049290"/>
    <n v="-1.3423415999999999"/>
    <n v="-1.2969024"/>
    <s v="Direct"/>
    <s v="NA"/>
  </r>
  <r>
    <x v="1"/>
    <x v="0"/>
    <s v="Ssiderea049297"/>
    <n v="-2.1621977999999999"/>
    <n v="-3.5860935"/>
    <s v="Direct"/>
    <s v="repeats and IQ motif containing 4"/>
  </r>
  <r>
    <x v="1"/>
    <x v="0"/>
    <s v="Ssiderea049320"/>
    <n v="-1.6253247"/>
    <n v="-1.2068979"/>
    <s v="Direct"/>
    <s v="NA"/>
  </r>
  <r>
    <x v="1"/>
    <x v="0"/>
    <s v="Ssiderea049321"/>
    <n v="-1.9599328"/>
    <n v="-4.9644237000000002"/>
    <s v="Direct"/>
    <s v="Glycosyl transferases group 1"/>
  </r>
  <r>
    <x v="1"/>
    <x v="0"/>
    <s v="Ssiderea049326"/>
    <n v="-1.6253247"/>
    <n v="-1.6111599999999999"/>
    <s v="Direct"/>
    <s v="NA"/>
  </r>
  <r>
    <x v="1"/>
    <x v="0"/>
    <s v="Ssiderea049331"/>
    <n v="-1.7346017"/>
    <n v="-2.4561145999999998"/>
    <s v="Direct"/>
    <s v="NA"/>
  </r>
  <r>
    <x v="1"/>
    <x v="0"/>
    <s v="Ssiderea049356"/>
    <n v="-2.4528574999999999"/>
    <n v="-1.2041904000000001"/>
    <s v="Direct"/>
    <s v="NA"/>
  </r>
  <r>
    <x v="1"/>
    <x v="0"/>
    <s v="Ssiderea049467"/>
    <n v="1.8829236199999999"/>
    <n v="3.4077380900000001"/>
    <s v="Direct"/>
    <s v="mitotic cell cycle checkpoint"/>
  </r>
  <r>
    <x v="1"/>
    <x v="0"/>
    <s v="Ssiderea049613"/>
    <n v="1.38201565"/>
    <n v="1.2942596900000001"/>
    <s v="Direct"/>
    <s v="Hairy and enhancer of split-related protein helt"/>
  </r>
  <r>
    <x v="1"/>
    <x v="0"/>
    <s v="Ssiderea049746"/>
    <n v="2.1151129499999999"/>
    <n v="1.1767831399999999"/>
    <s v="Direct"/>
    <s v="ion channel activity"/>
  </r>
  <r>
    <x v="1"/>
    <x v="0"/>
    <s v="Ssiderea050127"/>
    <n v="-2.0449902"/>
    <n v="-1.3811931"/>
    <s v="Direct"/>
    <s v="von Willebrand factor (vWF) type A domain"/>
  </r>
  <r>
    <x v="1"/>
    <x v="0"/>
    <s v="Ssiderea050295"/>
    <n v="-3.1116092000000002"/>
    <n v="-4.5053916999999997"/>
    <s v="Direct"/>
    <s v="NA"/>
  </r>
  <r>
    <x v="1"/>
    <x v="0"/>
    <s v="Ssiderea050493"/>
    <n v="1.6384421600000001"/>
    <n v="1.44780153"/>
    <s v="Direct"/>
    <s v="PDZ domain (Also known as DHR or GLGF)"/>
  </r>
  <r>
    <x v="1"/>
    <x v="0"/>
    <s v="Ssiderea050517"/>
    <n v="1.7920179300000001"/>
    <n v="4.8495297099999997"/>
    <s v="Direct"/>
    <s v="NA"/>
  </r>
  <r>
    <x v="1"/>
    <x v="0"/>
    <s v="Ssiderea050672"/>
    <n v="-1.8573611000000001"/>
    <n v="-1.4663264"/>
    <s v="Direct"/>
    <s v="carbohydrate binding"/>
  </r>
  <r>
    <x v="1"/>
    <x v="0"/>
    <s v="Ssiderea050817"/>
    <n v="2.08534138"/>
    <n v="3.0375770700000002"/>
    <s v="Direct"/>
    <s v="NA"/>
  </r>
  <r>
    <x v="1"/>
    <x v="0"/>
    <s v="Ssiderea050830"/>
    <n v="1.90453546"/>
    <n v="1.01312702"/>
    <s v="Direct"/>
    <s v="Domain in Tre-2, BUB2p, and Cdc16p. Probable Rab-GAPs."/>
  </r>
  <r>
    <x v="1"/>
    <x v="0"/>
    <s v="Ssiderea050832"/>
    <n v="-1.9129312000000001"/>
    <n v="-1.9066308999999999"/>
    <s v="Direct"/>
    <s v="U2 snRNA binding"/>
  </r>
  <r>
    <x v="1"/>
    <x v="0"/>
    <s v="Ssiderea050964"/>
    <n v="-1.7536714"/>
    <n v="-1.1231901"/>
    <s v="Direct"/>
    <s v="store-operated calcium channel activity"/>
  </r>
  <r>
    <x v="1"/>
    <x v="0"/>
    <s v="Ssiderea051055"/>
    <n v="-1.946531"/>
    <n v="-2.2405852999999998"/>
    <s v="Direct"/>
    <s v="sodium-coupled neutral amino acid transporter"/>
  </r>
  <r>
    <x v="1"/>
    <x v="0"/>
    <s v="Ssiderea051465"/>
    <n v="1.0546735300000001"/>
    <n v="-1.3949244000000001"/>
    <s v="Inverse"/>
    <s v="acyl-coenzyme A thioesterase"/>
  </r>
  <r>
    <x v="1"/>
    <x v="0"/>
    <s v="Ssiderea051679"/>
    <n v="1.0687276699999999"/>
    <n v="1.0873950800000001"/>
    <s v="Direct"/>
    <s v="NA"/>
  </r>
  <r>
    <x v="1"/>
    <x v="0"/>
    <s v="Ssiderea051714"/>
    <n v="1.4240041299999999"/>
    <n v="1.7076963599999999"/>
    <s v="Direct"/>
    <s v="transferase activity"/>
  </r>
  <r>
    <x v="1"/>
    <x v="0"/>
    <s v="Ssiderea051715"/>
    <n v="-2.0087028"/>
    <n v="-2.6479542"/>
    <s v="Direct"/>
    <s v="transferase activity"/>
  </r>
  <r>
    <x v="1"/>
    <x v="0"/>
    <s v="Ssiderea051716"/>
    <n v="4.4312434300000003"/>
    <n v="1.3633987400000001"/>
    <s v="Direct"/>
    <s v="transferase activity"/>
  </r>
  <r>
    <x v="1"/>
    <x v="0"/>
    <s v="Ssiderea051779"/>
    <n v="-1.7293514000000001"/>
    <n v="-2.0133703000000001"/>
    <s v="Direct"/>
    <s v="NA"/>
  </r>
  <r>
    <x v="1"/>
    <x v="0"/>
    <s v="Ssiderea051781"/>
    <n v="2.0593587000000002"/>
    <n v="2.1013779600000002"/>
    <s v="Direct"/>
    <s v="melanocyte differentiation"/>
  </r>
  <r>
    <x v="1"/>
    <x v="0"/>
    <s v="Ssiderea051854"/>
    <n v="-1.2068695"/>
    <n v="-1.0407774999999999"/>
    <s v="Direct"/>
    <s v="NA"/>
  </r>
  <r>
    <x v="1"/>
    <x v="0"/>
    <s v="Ssiderea051892"/>
    <n v="-2.8370071000000001"/>
    <n v="-3.8751783999999998"/>
    <s v="Direct"/>
    <s v="NA"/>
  </r>
  <r>
    <x v="1"/>
    <x v="0"/>
    <s v="Ssiderea052013"/>
    <n v="1.8813550800000001"/>
    <n v="1.1729874899999999"/>
    <s v="Direct"/>
    <s v="Common central domain of tyrosinase"/>
  </r>
  <r>
    <x v="1"/>
    <x v="0"/>
    <s v="Ssiderea052173"/>
    <n v="1.5968702400000001"/>
    <n v="2.0701891400000001"/>
    <s v="Direct"/>
    <s v="Multidrug resistance-associated protein"/>
  </r>
  <r>
    <x v="1"/>
    <x v="0"/>
    <s v="Ssiderea052262"/>
    <n v="1.3128037100000001"/>
    <n v="1.12707201"/>
    <s v="Direct"/>
    <s v="NA"/>
  </r>
  <r>
    <x v="1"/>
    <x v="0"/>
    <s v="Ssiderea052336"/>
    <n v="-1.1319330000000001"/>
    <n v="-1.0084247"/>
    <s v="Direct"/>
    <s v="Transposase IS4"/>
  </r>
  <r>
    <x v="1"/>
    <x v="0"/>
    <s v="Ssiderea052407"/>
    <n v="1.67930015"/>
    <n v="1.0393806400000001"/>
    <s v="Direct"/>
    <s v="RWD domain containing 1"/>
  </r>
  <r>
    <x v="1"/>
    <x v="0"/>
    <s v="Ssiderea052544"/>
    <n v="-1.0708770999999999"/>
    <n v="-1.9758305"/>
    <s v="Direct"/>
    <s v="negative regulation of renal albumin absorption"/>
  </r>
  <r>
    <x v="1"/>
    <x v="0"/>
    <s v="Ssiderea052824"/>
    <n v="-1.5566914999999999"/>
    <n v="-1.0814295"/>
    <s v="Direct"/>
    <s v="neurogenic locus notch homolog protein"/>
  </r>
  <r>
    <x v="1"/>
    <x v="0"/>
    <s v="Ssiderea052956"/>
    <n v="-1.3474485"/>
    <n v="-1.6130376"/>
    <s v="Direct"/>
    <s v="Phosphotyrosine-binding domain"/>
  </r>
  <r>
    <x v="1"/>
    <x v="0"/>
    <s v="Ssiderea053074"/>
    <n v="-2.5045511"/>
    <n v="-1.2556754000000001"/>
    <s v="Direct"/>
    <s v="Pyridoxal (Pyridoxine, vitamin B6) kinase"/>
  </r>
  <r>
    <x v="1"/>
    <x v="0"/>
    <s v="Ssiderea053080"/>
    <n v="2.50315368"/>
    <n v="2.8239665999999999"/>
    <s v="Direct"/>
    <s v="Malic enzyme"/>
  </r>
  <r>
    <x v="1"/>
    <x v="0"/>
    <s v="Ssiderea053147"/>
    <n v="-1.4108943"/>
    <n v="-1.7243189000000001"/>
    <s v="Direct"/>
    <s v="NA"/>
  </r>
  <r>
    <x v="1"/>
    <x v="0"/>
    <s v="Ssiderea053221"/>
    <n v="-3.4012614000000001"/>
    <n v="-1.4319793000000001"/>
    <s v="Direct"/>
    <s v="NA"/>
  </r>
  <r>
    <x v="1"/>
    <x v="0"/>
    <s v="Ssiderea053224"/>
    <n v="-1.0354718000000001"/>
    <n v="-2.1263033"/>
    <s v="Direct"/>
    <s v="NA"/>
  </r>
  <r>
    <x v="1"/>
    <x v="0"/>
    <s v="Ssiderea053327"/>
    <n v="-1.3705832"/>
    <n v="-2.6667179999999999"/>
    <s v="Direct"/>
    <s v="NA"/>
  </r>
  <r>
    <x v="1"/>
    <x v="0"/>
    <s v="Ssiderea053371"/>
    <n v="3.5956369100000001"/>
    <n v="1.31647731"/>
    <s v="Direct"/>
    <s v="Common central domain of tyrosinase"/>
  </r>
  <r>
    <x v="1"/>
    <x v="0"/>
    <s v="Ssiderea053615"/>
    <n v="3.1665643700000001"/>
    <n v="2.0358461700000001"/>
    <s v="Direct"/>
    <s v="myotome development"/>
  </r>
  <r>
    <x v="1"/>
    <x v="0"/>
    <s v="Ssiderea053627"/>
    <n v="1.53007344"/>
    <n v="1.2582473700000001"/>
    <s v="Direct"/>
    <s v="Cupin-like domain"/>
  </r>
  <r>
    <x v="1"/>
    <x v="0"/>
    <s v="Ssiderea053728"/>
    <n v="-1.0482023"/>
    <n v="-1.0674675"/>
    <s v="Direct"/>
    <s v="coreceptor activity involved in Wnt signaling pathway, planar cell polarity pathway"/>
  </r>
  <r>
    <x v="1"/>
    <x v="0"/>
    <s v="Ssiderea053828"/>
    <n v="5.1619907200000004"/>
    <n v="4.6799837799999997"/>
    <s v="Direct"/>
    <s v="NA"/>
  </r>
  <r>
    <x v="1"/>
    <x v="0"/>
    <s v="Ssiderea053849"/>
    <n v="1.5321345900000001"/>
    <n v="1.33017338"/>
    <s v="Direct"/>
    <s v="NA"/>
  </r>
  <r>
    <x v="1"/>
    <x v="0"/>
    <s v="Ssiderea053861"/>
    <n v="-1.1100700999999999"/>
    <n v="-1.2630353999999999"/>
    <s v="Direct"/>
    <s v="Flavin containing amine oxidoreductase"/>
  </r>
  <r>
    <x v="1"/>
    <x v="0"/>
    <s v="Ssiderea053903"/>
    <n v="1.9469288199999999"/>
    <n v="1.6358778199999999"/>
    <s v="Direct"/>
    <s v="calcium ion binding"/>
  </r>
  <r>
    <x v="1"/>
    <x v="0"/>
    <s v="Ssiderea054047"/>
    <n v="2.1324861899999998"/>
    <n v="2.8676703300000002"/>
    <s v="Direct"/>
    <s v="negative regulation of nuclear-transcribed mRNA catabolic process, nonsense-mediated decay"/>
  </r>
  <r>
    <x v="1"/>
    <x v="0"/>
    <s v="Ssiderea054148"/>
    <n v="-2.4767692000000001"/>
    <n v="-1.3134565"/>
    <s v="Direct"/>
    <s v="NA"/>
  </r>
  <r>
    <x v="1"/>
    <x v="0"/>
    <s v="Ssiderea054223"/>
    <n v="1.49106724"/>
    <n v="1.0675385500000001"/>
    <s v="Direct"/>
    <s v="chaperone cofactor-dependent protein refolding"/>
  </r>
  <r>
    <x v="1"/>
    <x v="0"/>
    <s v="Ssiderea054233"/>
    <n v="3.4161294199999999"/>
    <n v="4.0267095599999996"/>
    <s v="Direct"/>
    <s v="NA"/>
  </r>
  <r>
    <x v="1"/>
    <x v="0"/>
    <s v="Ssiderea054275"/>
    <n v="2.41341809"/>
    <n v="2.0019209299999998"/>
    <s v="Direct"/>
    <s v="very long-chain fatty acid-CoA ligase activity"/>
  </r>
  <r>
    <x v="1"/>
    <x v="0"/>
    <s v="Ssiderea054400"/>
    <n v="5.1671521299999998"/>
    <n v="5.64598932"/>
    <s v="Direct"/>
    <s v="NA"/>
  </r>
  <r>
    <x v="1"/>
    <x v="0"/>
    <s v="Ssiderea054505"/>
    <n v="1.36509668"/>
    <n v="3.58756735"/>
    <s v="Direct"/>
    <s v="NA"/>
  </r>
  <r>
    <x v="1"/>
    <x v="0"/>
    <s v="Ssiderea054509"/>
    <n v="-1.5797498000000001"/>
    <n v="-1.1932829"/>
    <s v="Direct"/>
    <s v="Chromosome 1 open reading frame 35"/>
  </r>
  <r>
    <x v="1"/>
    <x v="0"/>
    <s v="Ssiderea054539"/>
    <n v="5.4659032700000001"/>
    <n v="3.4770130799999999"/>
    <s v="Direct"/>
    <s v="Mitogen-activated protein kinase kinase kinase"/>
  </r>
  <r>
    <x v="1"/>
    <x v="0"/>
    <s v="Ssiderea054712"/>
    <n v="-1.5886463"/>
    <n v="-1.4742845"/>
    <s v="Direct"/>
    <s v="Interferon induced with helicase C domain 1"/>
  </r>
  <r>
    <x v="1"/>
    <x v="0"/>
    <s v="Ssiderea054735"/>
    <n v="2.7029098299999998"/>
    <n v="1.57602715"/>
    <s v="Direct"/>
    <s v="complement activation"/>
  </r>
  <r>
    <x v="1"/>
    <x v="0"/>
    <s v="Ssiderea054881"/>
    <n v="-1.7920179000000001"/>
    <n v="-2.719093"/>
    <s v="Direct"/>
    <s v="NA"/>
  </r>
  <r>
    <x v="1"/>
    <x v="0"/>
    <s v="Ssiderea054891"/>
    <n v="-2.6852830999999999"/>
    <n v="1.0634156800000001"/>
    <s v="Inverse"/>
    <s v="aryl sulfotransferase activity"/>
  </r>
  <r>
    <x v="1"/>
    <x v="0"/>
    <s v="Ssiderea055166"/>
    <n v="-1.4656884999999999"/>
    <n v="-1.6639982"/>
    <s v="Direct"/>
    <s v="NA"/>
  </r>
  <r>
    <x v="1"/>
    <x v="0"/>
    <s v="Ssiderea055338"/>
    <n v="-1.4734940999999999"/>
    <n v="-2.0277872000000001"/>
    <s v="Direct"/>
    <s v="NA"/>
  </r>
  <r>
    <x v="1"/>
    <x v="0"/>
    <s v="Ssiderea055365"/>
    <n v="1.5174903799999999"/>
    <n v="2.3505315900000001"/>
    <s v="Direct"/>
    <s v="NA"/>
  </r>
  <r>
    <x v="1"/>
    <x v="0"/>
    <s v="Ssiderea055415"/>
    <n v="-1.943973"/>
    <n v="-3.7437236999999999"/>
    <s v="Direct"/>
    <s v="Domain found in sea urchin sperm protein, enterokinase, agrin"/>
  </r>
  <r>
    <x v="1"/>
    <x v="0"/>
    <s v="Ssiderea055418"/>
    <n v="-2.0008012000000002"/>
    <n v="-1.0441853000000001"/>
    <s v="Direct"/>
    <s v="gamma-aminobutyric acid:sodium symporter activity"/>
  </r>
  <r>
    <x v="1"/>
    <x v="0"/>
    <s v="Ssiderea055489"/>
    <n v="-1.0580603"/>
    <n v="-2.2372181000000002"/>
    <s v="Direct"/>
    <s v="homologous chromosome movement towards spindle pole involved in homologous chromosome segregation"/>
  </r>
  <r>
    <x v="1"/>
    <x v="0"/>
    <s v="Ssiderea055764"/>
    <n v="2.8507669199999999"/>
    <n v="1.5680904899999999"/>
    <s v="Direct"/>
    <s v="DnaJ molecular chaperone homology domain"/>
  </r>
  <r>
    <x v="1"/>
    <x v="0"/>
    <s v="Ssiderea055783"/>
    <n v="-4.9668488000000002"/>
    <n v="-4.7357572000000001"/>
    <s v="Direct"/>
    <s v="Pancreatic secretory granule membrane major glycoprotein"/>
  </r>
  <r>
    <x v="1"/>
    <x v="0"/>
    <s v="Ssiderea055787"/>
    <n v="-2.4477245000000001"/>
    <n v="-3.3915334000000001"/>
    <s v="Direct"/>
    <s v="NA"/>
  </r>
  <r>
    <x v="1"/>
    <x v="0"/>
    <s v="Ssiderea055826"/>
    <n v="1.4903291400000001"/>
    <n v="1.18710406"/>
    <s v="Direct"/>
    <s v="Doublecortin domain-containing protein 2"/>
  </r>
  <r>
    <x v="1"/>
    <x v="0"/>
    <s v="Ssiderea055895"/>
    <n v="1.5814627999999999"/>
    <n v="1.8514105999999999"/>
    <s v="Direct"/>
    <s v="P or trefoil or TFF domain"/>
  </r>
  <r>
    <x v="1"/>
    <x v="0"/>
    <s v="Ssiderea055982"/>
    <n v="2.5045511399999998"/>
    <n v="1.0494897299999999"/>
    <s v="Direct"/>
    <s v="NA"/>
  </r>
  <r>
    <x v="1"/>
    <x v="0"/>
    <s v="Ssiderea056079"/>
    <n v="-1.1085050000000001"/>
    <n v="-2.3955544999999998"/>
    <s v="Direct"/>
    <s v="NA"/>
  </r>
  <r>
    <x v="1"/>
    <x v="0"/>
    <s v="Ssiderea056222"/>
    <n v="-1.2068695"/>
    <n v="-2.3277668999999999"/>
    <s v="Direct"/>
    <s v="Protein tyrosine phosphatase, receptor type"/>
  </r>
  <r>
    <x v="1"/>
    <x v="0"/>
    <s v="Ssiderea056236"/>
    <n v="-1.5230623000000001"/>
    <n v="-1.6908201"/>
    <s v="Direct"/>
    <s v="NA"/>
  </r>
  <r>
    <x v="1"/>
    <x v="0"/>
    <s v="Ssiderea056252"/>
    <n v="-1.3390352999999999"/>
    <n v="-1.6407421"/>
    <s v="Direct"/>
    <s v="NA"/>
  </r>
  <r>
    <x v="1"/>
    <x v="0"/>
    <s v="Ssiderea056310"/>
    <n v="-1.0154331999999999"/>
    <n v="-1.0322661"/>
    <s v="Direct"/>
    <s v="NA"/>
  </r>
  <r>
    <x v="1"/>
    <x v="0"/>
    <s v="Ssiderea056594"/>
    <n v="-1.3013440000000001"/>
    <n v="-1.2433533000000001"/>
    <s v="Direct"/>
    <s v="NA"/>
  </r>
  <r>
    <x v="1"/>
    <x v="0"/>
    <s v="Ssiderea056713"/>
    <n v="-3.1116092000000002"/>
    <n v="-3.0791319000000001"/>
    <s v="Direct"/>
    <s v="heparin binding"/>
  </r>
  <r>
    <x v="1"/>
    <x v="0"/>
    <s v="Ssiderea056770"/>
    <n v="1.02881088"/>
    <n v="1.0491338100000001"/>
    <s v="Direct"/>
    <s v="histidine transport"/>
  </r>
  <r>
    <x v="1"/>
    <x v="0"/>
    <s v="Ssiderea056776"/>
    <n v="-1.3072463000000001"/>
    <n v="-1.3949244000000001"/>
    <s v="Direct"/>
    <s v="histidine transport"/>
  </r>
  <r>
    <x v="1"/>
    <x v="0"/>
    <s v="Ssiderea056783"/>
    <n v="-1.1286802"/>
    <n v="-1.5366814"/>
    <s v="Direct"/>
    <s v="heparin binding"/>
  </r>
  <r>
    <x v="1"/>
    <x v="0"/>
    <s v="Ssiderea056886"/>
    <n v="-1.051642"/>
    <n v="-1.2085596999999999"/>
    <s v="Direct"/>
    <s v="von Willebrand factor D and EGF"/>
  </r>
  <r>
    <x v="1"/>
    <x v="0"/>
    <s v="Ssiderea056951"/>
    <n v="1.0066801400000001"/>
    <n v="3.27662735"/>
    <s v="Direct"/>
    <s v="Ig-like domain on T-cell surface glycoprotein CD3 epsilon chain"/>
  </r>
  <r>
    <x v="1"/>
    <x v="0"/>
    <s v="Ssiderea056972"/>
    <n v="-1.0109954999999999"/>
    <n v="-3.2734557"/>
    <s v="Direct"/>
    <s v="Sialic acid binding Ig-like lectin 1, sialoadhesin"/>
  </r>
  <r>
    <x v="1"/>
    <x v="0"/>
    <s v="Ssiderea056975"/>
    <n v="-1.0708622000000001"/>
    <n v="-1.3748715"/>
    <s v="Direct"/>
    <s v="Ig-like domain on T-cell surface glycoprotein CD3 epsilon chain"/>
  </r>
  <r>
    <x v="1"/>
    <x v="0"/>
    <s v="Ssiderea056986"/>
    <n v="-1.860673"/>
    <n v="-1.2927152"/>
    <s v="Direct"/>
    <s v="peroxidase activity"/>
  </r>
  <r>
    <x v="1"/>
    <x v="0"/>
    <s v="Ssiderea057044"/>
    <n v="1.07059247"/>
    <n v="1.1604605699999999"/>
    <s v="Direct"/>
    <s v="methylated histone binding"/>
  </r>
  <r>
    <x v="1"/>
    <x v="0"/>
    <s v="Ssiderea057095"/>
    <n v="3.5493837400000001"/>
    <n v="2.1206249599999998"/>
    <s v="Direct"/>
    <s v="NA"/>
  </r>
  <r>
    <x v="1"/>
    <x v="0"/>
    <s v="Ssiderea057106"/>
    <n v="1.48968707"/>
    <n v="1.5680904899999999"/>
    <s v="Direct"/>
    <s v="NA"/>
  </r>
  <r>
    <x v="1"/>
    <x v="0"/>
    <s v="Ssiderea057248"/>
    <n v="1.25067902"/>
    <n v="5.05884131"/>
    <s v="Direct"/>
    <s v="NA"/>
  </r>
  <r>
    <x v="1"/>
    <x v="0"/>
    <s v="Ssiderea057290"/>
    <n v="1.07645985"/>
    <n v="1.8395225500000001"/>
    <s v="Direct"/>
    <s v="NA"/>
  </r>
  <r>
    <x v="1"/>
    <x v="0"/>
    <s v="Ssiderea057306"/>
    <n v="-2.0507107000000002"/>
    <n v="-1.6521366"/>
    <s v="Direct"/>
    <s v="NA"/>
  </r>
  <r>
    <x v="1"/>
    <x v="0"/>
    <s v="Ssiderea057341"/>
    <n v="-3.8974408"/>
    <n v="-3.4770021"/>
    <s v="Direct"/>
    <s v="fibroblast growth factor-activated receptor activity"/>
  </r>
  <r>
    <x v="1"/>
    <x v="0"/>
    <s v="Ssiderea057390"/>
    <n v="2.0590456800000001"/>
    <n v="2.7475324300000001"/>
    <s v="Direct"/>
    <s v="NA"/>
  </r>
  <r>
    <x v="1"/>
    <x v="0"/>
    <s v="Ssiderea057455"/>
    <n v="-2.2213356000000002"/>
    <n v="-1.8101636999999999"/>
    <s v="Direct"/>
    <s v="Uncharacterized ACR, YdiU/UPF0061 family"/>
  </r>
  <r>
    <x v="1"/>
    <x v="0"/>
    <s v="Ssiderea057714"/>
    <n v="-2.0053665000000001"/>
    <n v="-1.2795128"/>
    <s v="Direct"/>
    <s v="NA"/>
  </r>
  <r>
    <x v="1"/>
    <x v="0"/>
    <s v="Ssiderea057744"/>
    <n v="3.9715649800000001"/>
    <n v="4.9410961999999996"/>
    <s v="Direct"/>
    <s v="Cytochrome P450"/>
  </r>
  <r>
    <x v="1"/>
    <x v="0"/>
    <s v="Ssiderea057815"/>
    <n v="1.2350435"/>
    <n v="2.6711843200000001"/>
    <s v="Direct"/>
    <s v="ATP-binding cassette, subfamily B (MDR TAP), member"/>
  </r>
  <r>
    <x v="1"/>
    <x v="0"/>
    <s v="Ssiderea057878"/>
    <n v="-1.2480758000000001"/>
    <n v="-1.1511530000000001"/>
    <s v="Direct"/>
    <s v="NA"/>
  </r>
  <r>
    <x v="1"/>
    <x v="0"/>
    <s v="Ssiderea058008"/>
    <n v="-1.3957090999999999"/>
    <n v="-1.2556754000000001"/>
    <s v="Direct"/>
    <s v="procollagen-proline 4-dioxygenase activity"/>
  </r>
  <r>
    <x v="1"/>
    <x v="0"/>
    <s v="Ssiderea058012"/>
    <n v="6.1436699399999997"/>
    <n v="4.7163357599999998"/>
    <s v="Direct"/>
    <s v="UDP-Gal betaGlcNAc beta 1,4- galactosyltransferase, polypeptide"/>
  </r>
  <r>
    <x v="1"/>
    <x v="0"/>
    <s v="Ssiderea058107"/>
    <n v="-1.733608"/>
    <n v="-1.7679864000000001"/>
    <s v="Direct"/>
    <s v="HMG domain-containing protein 3"/>
  </r>
  <r>
    <x v="1"/>
    <x v="0"/>
    <s v="Ssiderea058217"/>
    <n v="-1.9226848000000001"/>
    <n v="-1.4663264"/>
    <s v="Direct"/>
    <s v="Lys63-specific deubiquitinase activity"/>
  </r>
  <r>
    <x v="1"/>
    <x v="0"/>
    <s v="Ssiderea058378"/>
    <n v="-2.2718481000000001"/>
    <n v="-2.0789737000000001"/>
    <s v="Direct"/>
    <s v="NA"/>
  </r>
  <r>
    <x v="1"/>
    <x v="0"/>
    <s v="Ssiderea058415"/>
    <n v="1.6111126600000001"/>
    <n v="1.20515309"/>
    <s v="Direct"/>
    <s v="NA"/>
  </r>
  <r>
    <x v="1"/>
    <x v="0"/>
    <s v="Ssiderea058585"/>
    <n v="1.24383551"/>
    <n v="3.1465374000000002"/>
    <s v="Direct"/>
    <s v="NA"/>
  </r>
  <r>
    <x v="1"/>
    <x v="0"/>
    <s v="Ssiderea058595"/>
    <n v="1.9444362799999999"/>
    <n v="1.4435737399999999"/>
    <s v="Direct"/>
    <s v="NA"/>
  </r>
  <r>
    <x v="1"/>
    <x v="0"/>
    <s v="Ssiderea058633"/>
    <n v="1.61815855"/>
    <n v="1.8216411800000001"/>
    <s v="Direct"/>
    <s v="cysteine-type peptidase activity"/>
  </r>
  <r>
    <x v="1"/>
    <x v="0"/>
    <s v="Ssiderea058642"/>
    <n v="-1.9180132000000001"/>
    <n v="-3.1223847999999998"/>
    <s v="Direct"/>
    <s v="NA"/>
  </r>
  <r>
    <x v="1"/>
    <x v="0"/>
    <s v="Ssiderea058708"/>
    <n v="-2.1568979000000001"/>
    <n v="-1.0111882999999999"/>
    <s v="Direct"/>
    <s v="NA"/>
  </r>
  <r>
    <x v="1"/>
    <x v="0"/>
    <s v="Ssiderea058718"/>
    <n v="-1.7971482999999999"/>
    <n v="-1.4982067999999999"/>
    <s v="Direct"/>
    <s v="Belongs to the p53 family"/>
  </r>
  <r>
    <x v="1"/>
    <x v="0"/>
    <s v="Ssiderea058808"/>
    <n v="-1.6523277999999999"/>
    <n v="-1.1232747999999999"/>
    <s v="Direct"/>
    <s v="NA"/>
  </r>
  <r>
    <x v="1"/>
    <x v="0"/>
    <s v="Ssiderea058830"/>
    <n v="-1.9629923"/>
    <n v="-2.5399354999999999"/>
    <s v="Direct"/>
    <s v="NA"/>
  </r>
  <r>
    <x v="1"/>
    <x v="0"/>
    <s v="Ssiderea059052"/>
    <n v="-2.7528907999999999"/>
    <n v="-1.701119"/>
    <s v="Direct"/>
    <s v="C-5 cytosine-specific DNA methylase"/>
  </r>
  <r>
    <x v="1"/>
    <x v="0"/>
    <s v="Ssiderea059094"/>
    <n v="3.12895382"/>
    <n v="4.3763290000000001"/>
    <s v="Direct"/>
    <s v="NA"/>
  </r>
  <r>
    <x v="1"/>
    <x v="0"/>
    <s v="Ssiderea059140"/>
    <n v="-1.7397014"/>
    <n v="-2.3329247999999998"/>
    <s v="Direct"/>
    <s v="NA"/>
  </r>
  <r>
    <x v="1"/>
    <x v="0"/>
    <s v="Ssiderea59311"/>
    <n v="-1.733608"/>
    <n v="-1.2222280000000001"/>
    <s v="Direct"/>
    <s v="NA"/>
  </r>
  <r>
    <x v="1"/>
    <x v="0"/>
    <s v="Ssiderea59316"/>
    <n v="-4.7790626999999999"/>
    <n v="-1.5277797"/>
    <s v="Direct"/>
    <s v="transposition, RNA-mediated"/>
  </r>
  <r>
    <x v="1"/>
    <x v="0"/>
    <s v="Ssiderea59347"/>
    <n v="-2.15876"/>
    <n v="-1.8725966000000001"/>
    <s v="Direct"/>
    <s v="Heat shock chaperonin-binding motif."/>
  </r>
  <r>
    <x v="1"/>
    <x v="0"/>
    <s v="Ssiderea59378"/>
    <n v="2.56011386"/>
    <n v="1.1746049199999999"/>
    <s v="Direct"/>
    <s v="NA"/>
  </r>
  <r>
    <x v="1"/>
    <x v="0"/>
    <s v="Ssiderea59393"/>
    <n v="-3.8935944999999998"/>
    <n v="-2.3754881999999999"/>
    <s v="Direct"/>
    <s v="NA"/>
  </r>
  <r>
    <x v="1"/>
    <x v="0"/>
    <s v="Ssiderea59430"/>
    <n v="-1.1218862000000001"/>
    <n v="-1.3400848999999999"/>
    <s v="Direct"/>
    <s v="NA"/>
  </r>
  <r>
    <x v="1"/>
    <x v="0"/>
    <s v="Ssiderea59566"/>
    <n v="-2.3871619000000002"/>
    <n v="-1.0376915"/>
    <s v="Direct"/>
    <s v="Glycosyl transferases group 1"/>
  </r>
  <r>
    <x v="1"/>
    <x v="0"/>
    <s v="Ssiderea59585"/>
    <n v="-1.6732111000000001"/>
    <n v="-1.1515967"/>
    <s v="Direct"/>
    <s v="NA"/>
  </r>
  <r>
    <x v="1"/>
    <x v="0"/>
    <s v="Ssiderea59656"/>
    <n v="-3.5956369000000001"/>
    <n v="-1.4473084000000001"/>
    <s v="Direct"/>
    <s v="Ribonuclease H protein"/>
  </r>
  <r>
    <x v="1"/>
    <x v="0"/>
    <s v="Ssiderea59681"/>
    <n v="1.48072147"/>
    <n v="1.57924003"/>
    <s v="Direct"/>
    <s v="NA"/>
  </r>
  <r>
    <x v="1"/>
    <x v="0"/>
    <s v="Ssiderea59755"/>
    <n v="-1.0206786999999999"/>
    <n v="-1.4180936"/>
    <s v="Direct"/>
    <s v="Ribonuclease H protein"/>
  </r>
  <r>
    <x v="1"/>
    <x v="0"/>
    <s v="Ssiderea59831"/>
    <n v="-5.3286227999999998"/>
    <n v="-4.0247092999999996"/>
    <s v="Direct"/>
    <s v="NA"/>
  </r>
  <r>
    <x v="1"/>
    <x v="0"/>
    <s v="Ssiderea59890"/>
    <n v="-3.3127176"/>
    <n v="-1.6770852000000001"/>
    <s v="Direct"/>
    <s v="Reverse transcriptase (RNA-dependent DNA polymerase)"/>
  </r>
  <r>
    <x v="1"/>
    <x v="0"/>
    <s v="Ssiderea59934"/>
    <n v="1.6064706799999999"/>
    <n v="1.40703293"/>
    <s v="Direct"/>
    <s v="NA"/>
  </r>
  <r>
    <x v="1"/>
    <x v="0"/>
    <s v="Ssiderea59961"/>
    <n v="3.83816143"/>
    <n v="1.496664"/>
    <s v="Direct"/>
    <s v="NA"/>
  </r>
  <r>
    <x v="1"/>
    <x v="0"/>
    <s v="Ssiderea59973"/>
    <n v="-3.0577928000000001"/>
    <n v="-1.1422688000000001"/>
    <s v="Direct"/>
    <s v="DBH-like monooxygenase protein 1"/>
  </r>
  <r>
    <x v="1"/>
    <x v="0"/>
    <s v="Ssiderea60027"/>
    <n v="-2.2068314999999998"/>
    <n v="-2.4042876"/>
    <s v="Direct"/>
    <s v="NA"/>
  </r>
  <r>
    <x v="1"/>
    <x v="0"/>
    <s v="Ssiderea60080"/>
    <n v="1.93127669"/>
    <n v="1.3275359"/>
    <s v="Direct"/>
    <s v="NA"/>
  </r>
  <r>
    <x v="1"/>
    <x v="0"/>
    <s v="Ssiderea60093"/>
    <n v="1.93127669"/>
    <n v="2.0643883600000001"/>
    <s v="Direct"/>
    <s v="Collagen triple helix"/>
  </r>
  <r>
    <x v="1"/>
    <x v="0"/>
    <s v="Ssiderea60155"/>
    <n v="2.47890561"/>
    <n v="2.0832437499999998"/>
    <s v="Direct"/>
    <s v="cell adhesion"/>
  </r>
  <r>
    <x v="1"/>
    <x v="0"/>
    <s v="Ssiderea60164"/>
    <n v="1.2809582399999999"/>
    <n v="2.4672027500000002"/>
    <s v="Direct"/>
    <s v="NA"/>
  </r>
  <r>
    <x v="1"/>
    <x v="0"/>
    <s v="Ssiderea60172"/>
    <n v="2.8937918699999998"/>
    <n v="2.7395774899999998"/>
    <s v="Direct"/>
    <s v="NA"/>
  </r>
  <r>
    <x v="1"/>
    <x v="0"/>
    <s v="Ssiderea60216"/>
    <n v="2.9877852100000002"/>
    <n v="3.7552561500000001"/>
    <s v="Direct"/>
    <s v="K02A2.6-like"/>
  </r>
  <r>
    <x v="1"/>
    <x v="0"/>
    <s v="Ssiderea60282"/>
    <n v="-1.9083946000000001"/>
    <n v="-1.4435737"/>
    <s v="Direct"/>
    <s v="Ribonuclease H protein"/>
  </r>
  <r>
    <x v="1"/>
    <x v="0"/>
    <s v="Ssiderea60343"/>
    <n v="1.1801839700000001"/>
    <n v="1.6711501099999999"/>
    <s v="Direct"/>
    <s v="DNA binding"/>
  </r>
  <r>
    <x v="1"/>
    <x v="0"/>
    <s v="Ssiderea60368"/>
    <n v="1.83198971"/>
    <n v="2.12027367"/>
    <s v="Direct"/>
    <s v="metalloendopeptidase activity"/>
  </r>
  <r>
    <x v="1"/>
    <x v="0"/>
    <s v="Ssiderea60373"/>
    <n v="-1.2056500000000001"/>
    <n v="-2.8856332999999998"/>
    <s v="Direct"/>
    <s v="NA"/>
  </r>
  <r>
    <x v="1"/>
    <x v="0"/>
    <s v="Ssiderea60431"/>
    <n v="1.0750816299999999"/>
    <n v="1.4714981899999999"/>
    <s v="Direct"/>
    <s v="NA"/>
  </r>
  <r>
    <x v="1"/>
    <x v="0"/>
    <s v="Ssiderea60445"/>
    <n v="-1.3007166999999999"/>
    <n v="-4.1946313999999996"/>
    <s v="Direct"/>
    <s v="Ribonuclease H protein"/>
  </r>
  <r>
    <x v="1"/>
    <x v="0"/>
    <s v="Ssiderea60451"/>
    <n v="1.6615084200000001"/>
    <n v="3.0206603900000002"/>
    <s v="Direct"/>
    <s v="NA"/>
  </r>
  <r>
    <x v="1"/>
    <x v="0"/>
    <s v="Ssiderea60521"/>
    <n v="-3.1665643999999999"/>
    <n v="-1.1189397999999999"/>
    <s v="Direct"/>
    <s v="NA"/>
  </r>
  <r>
    <x v="1"/>
    <x v="0"/>
    <s v="Ssiderea60764"/>
    <n v="-1.6734936"/>
    <n v="-1.0376915"/>
    <s v="Direct"/>
    <s v="NA"/>
  </r>
  <r>
    <x v="1"/>
    <x v="0"/>
    <s v="Ssiderea60817"/>
    <n v="-1.0404684"/>
    <n v="-1.0167645999999999"/>
    <s v="Direct"/>
    <s v="NA"/>
  </r>
  <r>
    <x v="1"/>
    <x v="0"/>
    <s v="Ssiderea60824"/>
    <n v="-1.1971147"/>
    <n v="-2.2090893"/>
    <s v="Direct"/>
    <s v="Reverse transcriptase (RNA-dependent DNA polymerase)"/>
  </r>
  <r>
    <x v="1"/>
    <x v="0"/>
    <s v="Ssiderea60845"/>
    <n v="1.6812533300000001"/>
    <n v="1.0999401499999999"/>
    <s v="Direct"/>
    <s v="NA"/>
  </r>
  <r>
    <x v="1"/>
    <x v="0"/>
    <s v="Ssiderea60968"/>
    <n v="2.0559192099999999"/>
    <n v="1.11052134"/>
    <s v="Direct"/>
    <s v="Pao retrotransposon peptidase"/>
  </r>
  <r>
    <x v="1"/>
    <x v="0"/>
    <s v="Ssiderea61115"/>
    <n v="-1.5122842999999999"/>
    <n v="-2.4561145999999998"/>
    <s v="Direct"/>
    <s v="NA"/>
  </r>
  <r>
    <x v="1"/>
    <x v="0"/>
    <s v="Ssiderea61126"/>
    <n v="-1.5571786999999999"/>
    <n v="-1.2556754000000001"/>
    <s v="Direct"/>
    <s v="NA"/>
  </r>
  <r>
    <x v="1"/>
    <x v="0"/>
    <s v="Ssiderea61142"/>
    <n v="-1.3279213000000001"/>
    <n v="-1.6310722"/>
    <s v="Direct"/>
    <s v="NA"/>
  </r>
  <r>
    <x v="1"/>
    <x v="0"/>
    <s v="Ssiderea61320"/>
    <n v="2.3274773199999998"/>
    <n v="1.33668472"/>
    <s v="Direct"/>
    <s v="NA"/>
  </r>
  <r>
    <x v="1"/>
    <x v="0"/>
    <s v="Ssiderea61354"/>
    <n v="-2.1004934999999998"/>
    <n v="-2.0633151000000001"/>
    <s v="Direct"/>
    <s v="NA"/>
  </r>
  <r>
    <x v="1"/>
    <x v="0"/>
    <s v="Ssiderea61447"/>
    <n v="-3.2920712999999999"/>
    <n v="-2.0929741000000002"/>
    <s v="Direct"/>
    <s v="Transposase IS4"/>
  </r>
  <r>
    <x v="1"/>
    <x v="0"/>
    <s v="Ssiderea61572"/>
    <n v="1.0770298700000001"/>
    <n v="1.0076705100000001"/>
    <s v="Direct"/>
    <s v="NA"/>
  </r>
  <r>
    <x v="1"/>
    <x v="0"/>
    <s v="Ssiderea61597"/>
    <n v="-1.1553747000000001"/>
    <n v="-2.2958447"/>
    <s v="Direct"/>
    <s v="NA"/>
  </r>
  <r>
    <x v="1"/>
    <x v="0"/>
    <s v="Ssiderea61711"/>
    <n v="-3.3424895999999999"/>
    <n v="-3.4625585999999999"/>
    <s v="Direct"/>
    <s v="NA"/>
  </r>
  <r>
    <x v="1"/>
    <x v="0"/>
    <s v="Ssiderea61861"/>
    <n v="1.82533656"/>
    <n v="1.12707201"/>
    <s v="Direct"/>
    <s v="NA"/>
  </r>
  <r>
    <x v="1"/>
    <x v="0"/>
    <s v="Ssiderea61885"/>
    <n v="2.7211889600000001"/>
    <n v="2.32776687"/>
    <s v="Direct"/>
    <s v="NA"/>
  </r>
  <r>
    <x v="1"/>
    <x v="0"/>
    <s v="Ssiderea61898"/>
    <n v="-1.2093507999999999"/>
    <n v="-1.0393806000000001"/>
    <s v="Direct"/>
    <s v="NA"/>
  </r>
  <r>
    <x v="1"/>
    <x v="0"/>
    <s v="Ssiderea61903"/>
    <n v="1.0473581199999999"/>
    <n v="3.8679835900000001"/>
    <s v="Direct"/>
    <s v="NA"/>
  </r>
  <r>
    <x v="1"/>
    <x v="0"/>
    <s v="Ssiderea61929"/>
    <n v="-2.5656593999999999"/>
    <n v="-1.5911204000000001"/>
    <s v="Direct"/>
    <s v="NA"/>
  </r>
  <r>
    <x v="1"/>
    <x v="0"/>
    <s v="Ssiderea61936"/>
    <n v="1.12507051"/>
    <n v="1.2224273400000001"/>
    <s v="Direct"/>
    <s v="NA"/>
  </r>
  <r>
    <x v="1"/>
    <x v="0"/>
    <s v="Ssiderea61969"/>
    <n v="-2.9091013999999999"/>
    <n v="-2.4274062000000001"/>
    <s v="Direct"/>
    <s v="NA"/>
  </r>
  <r>
    <x v="1"/>
    <x v="0"/>
    <s v="Ssiderea62035"/>
    <n v="2.2148572199999998"/>
    <n v="1.62923117"/>
    <s v="Direct"/>
    <s v="NA"/>
  </r>
  <r>
    <x v="1"/>
    <x v="0"/>
    <s v="Ssiderea62059"/>
    <n v="3.6972916100000002"/>
    <n v="2.5377083699999998"/>
    <s v="Direct"/>
    <s v="CENP-B N-terminal DNA-binding domain"/>
  </r>
  <r>
    <x v="1"/>
    <x v="0"/>
    <s v="Ssiderea62240"/>
    <n v="1.5489347099999999"/>
    <n v="4.4505641799999998"/>
    <s v="Direct"/>
    <s v="carbohydrate binding"/>
  </r>
  <r>
    <x v="1"/>
    <x v="0"/>
    <s v="Ssiderea62250"/>
    <n v="12.112855700000001"/>
    <n v="9.6120558299999992"/>
    <s v="Direct"/>
    <s v="tumor necrosis factor"/>
  </r>
  <r>
    <x v="1"/>
    <x v="0"/>
    <s v="Ssiderea62253"/>
    <n v="-1.0261464"/>
    <n v="-1.3929665"/>
    <s v="Direct"/>
    <s v="regulation of mitotic cell cycle"/>
  </r>
  <r>
    <x v="1"/>
    <x v="0"/>
    <s v="Ssiderea62291"/>
    <n v="1.21810438"/>
    <n v="1.6903638000000001"/>
    <s v="Direct"/>
    <s v="NA"/>
  </r>
  <r>
    <x v="1"/>
    <x v="0"/>
    <s v="Ssiderea62307"/>
    <n v="-1.8947894999999999"/>
    <n v="-2.0686901"/>
    <s v="Direct"/>
    <s v="calcium ion binding"/>
  </r>
  <r>
    <x v="1"/>
    <x v="0"/>
    <s v="Ssiderea62414"/>
    <n v="-1.9829626"/>
    <n v="-1.1604606"/>
    <s v="Direct"/>
    <s v="transitional stage B cell differentiation"/>
  </r>
  <r>
    <x v="1"/>
    <x v="0"/>
    <s v="Ssiderea62455"/>
    <n v="1.1843501299999999"/>
    <n v="1.1515966900000001"/>
    <s v="Direct"/>
    <s v="distal tubule morphogenesis"/>
  </r>
  <r>
    <x v="1"/>
    <x v="0"/>
    <s v="Ssiderea62488"/>
    <n v="-9.9385081999999993"/>
    <n v="-2.3198104000000002"/>
    <s v="Direct"/>
    <s v="NA"/>
  </r>
  <r>
    <x v="1"/>
    <x v="0"/>
    <s v="Ssiderea62565"/>
    <n v="2.1138837399999999"/>
    <n v="1.0262157700000001"/>
    <s v="Direct"/>
    <s v="K02A2.6-like"/>
  </r>
  <r>
    <x v="1"/>
    <x v="0"/>
    <s v="Ssiderea62592"/>
    <n v="-1.9710266000000001"/>
    <n v="-1.1194666"/>
    <s v="Direct"/>
    <s v="NA"/>
  </r>
  <r>
    <x v="1"/>
    <x v="0"/>
    <s v="Ssiderea62629"/>
    <n v="-1.3150280999999999"/>
    <n v="-1.3255872"/>
    <s v="Direct"/>
    <s v="NA"/>
  </r>
  <r>
    <x v="1"/>
    <x v="0"/>
    <s v="Ssiderea62688"/>
    <n v="-1.6669683"/>
    <n v="-4.3409740000000001"/>
    <s v="Direct"/>
    <s v="NA"/>
  </r>
  <r>
    <x v="1"/>
    <x v="0"/>
    <s v="Ssiderea62732"/>
    <n v="3.0728837699999998"/>
    <n v="2.1363412199999998"/>
    <s v="Direct"/>
    <s v="NA"/>
  </r>
  <r>
    <x v="1"/>
    <x v="0"/>
    <s v="Ssiderea62762"/>
    <n v="-2.3630890999999998"/>
    <n v="-1.6991902000000001"/>
    <s v="Direct"/>
    <s v="NA"/>
  </r>
  <r>
    <x v="1"/>
    <x v="0"/>
    <s v="Ssiderea62821"/>
    <n v="-2.2666284999999999"/>
    <n v="-1.7803498"/>
    <s v="Direct"/>
    <s v="NA"/>
  </r>
  <r>
    <x v="1"/>
    <x v="0"/>
    <s v="Ssiderea62829"/>
    <n v="-1.5375015000000001"/>
    <n v="-1.4665003999999999"/>
    <s v="Direct"/>
    <s v="Ribonuclease H protein"/>
  </r>
  <r>
    <x v="1"/>
    <x v="0"/>
    <s v="Ssiderea62831"/>
    <n v="1.7143669699999999"/>
    <n v="2.13614675"/>
    <s v="Direct"/>
    <s v="NA"/>
  </r>
  <r>
    <x v="1"/>
    <x v="1"/>
    <s v="Ssiderea000261"/>
    <n v="1.44268873"/>
    <n v="3.3385308600000001"/>
    <s v="Direct"/>
    <s v="DNA-binding transcription factor activity, RNA polymerase II-specific"/>
  </r>
  <r>
    <x v="1"/>
    <x v="1"/>
    <s v="Ssiderea000744"/>
    <n v="3.3337191800000001"/>
    <n v="1.7341102100000001"/>
    <s v="Direct"/>
    <s v="NA"/>
  </r>
  <r>
    <x v="1"/>
    <x v="1"/>
    <s v="Ssiderea001107"/>
    <n v="-3.8622784999999999"/>
    <n v="-1.7980585"/>
    <s v="Direct"/>
    <s v="NA"/>
  </r>
  <r>
    <x v="1"/>
    <x v="1"/>
    <s v="Ssiderea001161"/>
    <n v="-2.5189564999999998"/>
    <n v="-1.9535476000000001"/>
    <s v="Direct"/>
    <s v="NA"/>
  </r>
  <r>
    <x v="1"/>
    <x v="1"/>
    <s v="Ssiderea001853"/>
    <n v="2.0362887999999999"/>
    <n v="2.6755734000000002"/>
    <s v="Direct"/>
    <s v="NA"/>
  </r>
  <r>
    <x v="1"/>
    <x v="1"/>
    <s v="Ssiderea001879"/>
    <n v="2.7933288599999999"/>
    <n v="4.3765446499999996"/>
    <s v="Direct"/>
    <s v="NA"/>
  </r>
  <r>
    <x v="1"/>
    <x v="1"/>
    <s v="Ssiderea001916"/>
    <n v="1.3580626499999999"/>
    <n v="4.4694185700000002"/>
    <s v="Direct"/>
    <s v="NA"/>
  </r>
  <r>
    <x v="1"/>
    <x v="1"/>
    <s v="Ssiderea001921"/>
    <n v="1.6385928000000001"/>
    <n v="1.37006695"/>
    <s v="Direct"/>
    <s v="axonal fasciculation"/>
  </r>
  <r>
    <x v="1"/>
    <x v="1"/>
    <s v="Ssiderea001966"/>
    <n v="1.5036761300000001"/>
    <n v="2.1431858099999999"/>
    <s v="Direct"/>
    <s v="Zinc finger B-box"/>
  </r>
  <r>
    <x v="1"/>
    <x v="1"/>
    <s v="Ssiderea002005"/>
    <n v="1.28928837"/>
    <n v="1.3395185999999999"/>
    <s v="Direct"/>
    <s v="NA"/>
  </r>
  <r>
    <x v="1"/>
    <x v="1"/>
    <s v="Ssiderea002091"/>
    <n v="-1.161572"/>
    <n v="-1.4551939"/>
    <s v="Direct"/>
    <s v="C2H2-type zinc finger"/>
  </r>
  <r>
    <x v="1"/>
    <x v="1"/>
    <s v="Ssiderea002138"/>
    <n v="-1.7572082"/>
    <n v="-1.0466247"/>
    <s v="Direct"/>
    <s v="thyroid hormone transmembrane transporter activity"/>
  </r>
  <r>
    <x v="1"/>
    <x v="1"/>
    <s v="Ssiderea002234"/>
    <n v="1.96483561"/>
    <n v="2.5489858700000001"/>
    <s v="Direct"/>
    <s v="NA"/>
  </r>
  <r>
    <x v="1"/>
    <x v="1"/>
    <s v="Ssiderea002366"/>
    <n v="2.7933288599999999"/>
    <n v="1.78093368"/>
    <s v="Direct"/>
    <s v="fibroblast growth factor-activated receptor activity"/>
  </r>
  <r>
    <x v="1"/>
    <x v="1"/>
    <s v="Ssiderea002426"/>
    <n v="-1.5344811"/>
    <n v="-1.3734679999999999"/>
    <s v="Direct"/>
    <s v="Ig-like domain on T-cell surface glycoprotein CD3 epsilon chain"/>
  </r>
  <r>
    <x v="1"/>
    <x v="1"/>
    <s v="Ssiderea002497"/>
    <n v="2.56477719"/>
    <n v="2.16557807"/>
    <s v="Direct"/>
    <s v="NA"/>
  </r>
  <r>
    <x v="1"/>
    <x v="1"/>
    <s v="Ssiderea002528"/>
    <n v="-2.9453920999999998"/>
    <n v="-1.4785923000000001"/>
    <s v="Direct"/>
    <s v="Immunoglobulin C-2 Type"/>
  </r>
  <r>
    <x v="1"/>
    <x v="1"/>
    <s v="Ssiderea002543"/>
    <n v="-2.2183362"/>
    <n v="-4.5550404999999996"/>
    <s v="Direct"/>
    <s v="cell division"/>
  </r>
  <r>
    <x v="1"/>
    <x v="1"/>
    <s v="Ssiderea002690"/>
    <n v="3.0432332"/>
    <n v="2.0575047899999999"/>
    <s v="Direct"/>
    <s v="Hemicentin 1"/>
  </r>
  <r>
    <x v="1"/>
    <x v="1"/>
    <s v="Ssiderea002967"/>
    <n v="-1.9228649"/>
    <n v="-1.4008763"/>
    <s v="Direct"/>
    <s v="Ig-like domain on T-cell surface glycoprotein CD3 epsilon chain"/>
  </r>
  <r>
    <x v="1"/>
    <x v="1"/>
    <s v="Ssiderea003090"/>
    <n v="1.8052480500000001"/>
    <n v="1.45776236"/>
    <s v="Direct"/>
    <s v="NA"/>
  </r>
  <r>
    <x v="1"/>
    <x v="1"/>
    <s v="Ssiderea003132"/>
    <n v="-2.2040719000000002"/>
    <n v="-1.7313936999999999"/>
    <s v="Direct"/>
    <s v="thioesterase binding"/>
  </r>
  <r>
    <x v="1"/>
    <x v="1"/>
    <s v="Ssiderea003396"/>
    <n v="-2.6324953"/>
    <n v="-2.5489858999999999"/>
    <s v="Direct"/>
    <s v="NA"/>
  </r>
  <r>
    <x v="1"/>
    <x v="1"/>
    <s v="Ssiderea003700"/>
    <n v="3.7101464700000002"/>
    <n v="2.3440587900000001"/>
    <s v="Direct"/>
    <s v="NA"/>
  </r>
  <r>
    <x v="1"/>
    <x v="1"/>
    <s v="Ssiderea003722"/>
    <n v="-1.4865512000000001"/>
    <n v="-1.2927001"/>
    <s v="Direct"/>
    <s v="nuclear receptor transcription coactivator activity"/>
  </r>
  <r>
    <x v="1"/>
    <x v="1"/>
    <s v="Ssiderea003873"/>
    <n v="-2.2298211999999999"/>
    <n v="-1.7097526999999999"/>
    <s v="Direct"/>
    <s v="NA"/>
  </r>
  <r>
    <x v="1"/>
    <x v="1"/>
    <s v="Ssiderea003894"/>
    <n v="-1.6319543000000001"/>
    <n v="-1.0363777000000001"/>
    <s v="Direct"/>
    <s v="NA"/>
  </r>
  <r>
    <x v="1"/>
    <x v="1"/>
    <s v="Ssiderea004205"/>
    <n v="-2.0971226000000001"/>
    <n v="-1.7398111000000001"/>
    <s v="Direct"/>
    <s v="Serine threonine-protein phosphatase"/>
  </r>
  <r>
    <x v="1"/>
    <x v="1"/>
    <s v="Ssiderea004288"/>
    <n v="1.4706321099999999"/>
    <n v="1.5108837100000001"/>
    <s v="Direct"/>
    <s v="NA"/>
  </r>
  <r>
    <x v="1"/>
    <x v="1"/>
    <s v="Ssiderea004321"/>
    <n v="1.022759"/>
    <n v="1.5450933899999999"/>
    <s v="Direct"/>
    <s v="NA"/>
  </r>
  <r>
    <x v="1"/>
    <x v="1"/>
    <s v="Ssiderea004697"/>
    <n v="-3.2534575999999999"/>
    <n v="-1.7450618"/>
    <s v="Direct"/>
    <s v="SH3/SH2 adaptor activity"/>
  </r>
  <r>
    <x v="1"/>
    <x v="1"/>
    <s v="Ssiderea004889"/>
    <n v="1.32925513"/>
    <n v="1.0013500099999999"/>
    <s v="Direct"/>
    <s v="negative regulation of Arp2/3 complex-mediated actin nucleation"/>
  </r>
  <r>
    <x v="1"/>
    <x v="1"/>
    <s v="Ssiderea004908"/>
    <n v="1.4232348399999999"/>
    <n v="1.4533174799999999"/>
    <s v="Direct"/>
    <s v="Belongs to the enoyl-CoA hydratase isomerase family"/>
  </r>
  <r>
    <x v="1"/>
    <x v="1"/>
    <s v="Ssiderea004937"/>
    <n v="2.7933288599999999"/>
    <n v="4.0448426900000003"/>
    <s v="Direct"/>
    <s v="NA"/>
  </r>
  <r>
    <x v="1"/>
    <x v="1"/>
    <s v="Ssiderea005086"/>
    <n v="-2.6766740000000002"/>
    <n v="-1.7477529000000001"/>
    <s v="Direct"/>
    <s v="DNA binding"/>
  </r>
  <r>
    <x v="1"/>
    <x v="1"/>
    <s v="Ssiderea005170"/>
    <n v="-2.3033286999999998"/>
    <n v="-1.8662071"/>
    <s v="Direct"/>
    <s v="NA"/>
  </r>
  <r>
    <x v="1"/>
    <x v="1"/>
    <s v="Ssiderea005592"/>
    <n v="-1.4761124999999999"/>
    <n v="-1.6579347"/>
    <s v="Direct"/>
    <s v="DEK proto-oncogene"/>
  </r>
  <r>
    <x v="1"/>
    <x v="1"/>
    <s v="Ssiderea006076"/>
    <n v="-2.1925577999999999"/>
    <n v="-1.4036915999999999"/>
    <s v="Direct"/>
    <s v="NA"/>
  </r>
  <r>
    <x v="1"/>
    <x v="1"/>
    <s v="Ssiderea006333"/>
    <n v="-1.6097052000000001"/>
    <n v="-2.4223425000000001"/>
    <s v="Direct"/>
    <s v="Calcium ion binding. It is involved in the biological process described with regulation of developmental process"/>
  </r>
  <r>
    <x v="1"/>
    <x v="1"/>
    <s v="Ssiderea006355"/>
    <n v="1.0034481200000001"/>
    <n v="2.5489858700000001"/>
    <s v="Direct"/>
    <s v="NA"/>
  </r>
  <r>
    <x v="1"/>
    <x v="1"/>
    <s v="Ssiderea006451"/>
    <n v="4.8507012500000002"/>
    <n v="1.65991556"/>
    <s v="Direct"/>
    <s v="ST6 (alpha-N-acetyl-neuraminyl-2,3-beta-galactosyl-1,3)-N-acetylgalactosaminide alpha-2,6-sialyltransferase 4"/>
  </r>
  <r>
    <x v="1"/>
    <x v="1"/>
    <s v="Ssiderea006565"/>
    <n v="2.4031651599999999"/>
    <n v="1.4060029599999999"/>
    <s v="Direct"/>
    <s v="fibroblast growth factor-activated receptor activity"/>
  </r>
  <r>
    <x v="1"/>
    <x v="1"/>
    <s v="Ssiderea006568"/>
    <n v="-1.3132956"/>
    <n v="-1.1282937"/>
    <s v="Direct"/>
    <s v="NA"/>
  </r>
  <r>
    <x v="1"/>
    <x v="1"/>
    <s v="Ssiderea006663"/>
    <n v="-2.1710636999999999"/>
    <n v="-1.0779175999999999"/>
    <s v="Direct"/>
    <s v="Collagen triple helix"/>
  </r>
  <r>
    <x v="1"/>
    <x v="1"/>
    <s v="Ssiderea006718"/>
    <n v="3.8600427000000002"/>
    <n v="1.24478399"/>
    <s v="Direct"/>
    <s v="NA"/>
  </r>
  <r>
    <x v="1"/>
    <x v="1"/>
    <s v="Ssiderea006737"/>
    <n v="1.73128444"/>
    <n v="1.7968864099999999"/>
    <s v="Direct"/>
    <s v="NA"/>
  </r>
  <r>
    <x v="1"/>
    <x v="1"/>
    <s v="Ssiderea006810"/>
    <n v="-1.9638059000000001"/>
    <n v="-1.7391300000000001"/>
    <s v="Direct"/>
    <s v="lysosomal lumen pH elevation"/>
  </r>
  <r>
    <x v="1"/>
    <x v="1"/>
    <s v="Ssiderea006828"/>
    <n v="-1.4255798"/>
    <n v="-1.9277595999999999"/>
    <s v="Direct"/>
    <s v="protection from non-homologous end joining at telomere"/>
  </r>
  <r>
    <x v="1"/>
    <x v="1"/>
    <s v="Ssiderea006859"/>
    <n v="2.92513376"/>
    <n v="1.0184279899999999"/>
    <s v="Direct"/>
    <s v="NA"/>
  </r>
  <r>
    <x v="1"/>
    <x v="1"/>
    <s v="Ssiderea006963"/>
    <n v="1.40938031"/>
    <n v="1.0076870499999999"/>
    <s v="Direct"/>
    <s v="NA"/>
  </r>
  <r>
    <x v="1"/>
    <x v="1"/>
    <s v="Ssiderea006965"/>
    <n v="1.56321383"/>
    <n v="1.64532243"/>
    <s v="Direct"/>
    <s v="NA"/>
  </r>
  <r>
    <x v="1"/>
    <x v="1"/>
    <s v="Ssiderea007020"/>
    <n v="-2.2102865"/>
    <n v="-2.9431753999999999"/>
    <s v="Direct"/>
    <s v="metal ion binding"/>
  </r>
  <r>
    <x v="1"/>
    <x v="1"/>
    <s v="Ssiderea007174"/>
    <n v="-3.3441429999999999"/>
    <n v="-1.8407351999999999"/>
    <s v="Direct"/>
    <s v="NA"/>
  </r>
  <r>
    <x v="1"/>
    <x v="1"/>
    <s v="Ssiderea007183"/>
    <n v="-2.1285175999999999"/>
    <n v="-1.1405061999999999"/>
    <s v="Direct"/>
    <s v="NA"/>
  </r>
  <r>
    <x v="1"/>
    <x v="1"/>
    <s v="Ssiderea007320"/>
    <n v="-1.1887931"/>
    <n v="-1.3238981000000001"/>
    <s v="Direct"/>
    <s v="NA"/>
  </r>
  <r>
    <x v="1"/>
    <x v="1"/>
    <s v="Ssiderea007382"/>
    <n v="-1.0170482000000001"/>
    <n v="-1.8286800000000001"/>
    <s v="Direct"/>
    <s v="calcium ion transport"/>
  </r>
  <r>
    <x v="1"/>
    <x v="1"/>
    <s v="Ssiderea007427"/>
    <n v="-2.6436709"/>
    <n v="-4.5629531999999999"/>
    <s v="Direct"/>
    <s v="NA"/>
  </r>
  <r>
    <x v="1"/>
    <x v="1"/>
    <s v="Ssiderea007435"/>
    <n v="-1.4007122000000001"/>
    <n v="-1.0890271"/>
    <s v="Direct"/>
    <s v="NA"/>
  </r>
  <r>
    <x v="1"/>
    <x v="1"/>
    <s v="Ssiderea007529"/>
    <n v="3.7552646900000002"/>
    <n v="2.8431070799999998"/>
    <s v="Direct"/>
    <s v="NA"/>
  </r>
  <r>
    <x v="1"/>
    <x v="1"/>
    <s v="Ssiderea007617"/>
    <n v="2.0699209600000001"/>
    <n v="1.4171543799999999"/>
    <s v="Direct"/>
    <s v="coreceptor activity involved in Wnt signaling pathway, planar cell polarity pathway"/>
  </r>
  <r>
    <x v="1"/>
    <x v="1"/>
    <s v="Ssiderea007654"/>
    <n v="-1.4221615000000001"/>
    <n v="-1.8486343000000001"/>
    <s v="Direct"/>
    <s v="NA"/>
  </r>
  <r>
    <x v="1"/>
    <x v="1"/>
    <s v="Ssiderea007782"/>
    <n v="-1.8668283999999999"/>
    <n v="-3.2340165000000001"/>
    <s v="Direct"/>
    <s v="G-protein coupled receptor activity"/>
  </r>
  <r>
    <x v="1"/>
    <x v="1"/>
    <s v="Ssiderea007807"/>
    <n v="1.85748329"/>
    <n v="1.7068428"/>
    <s v="Direct"/>
    <s v="NA"/>
  </r>
  <r>
    <x v="1"/>
    <x v="1"/>
    <s v="Ssiderea008152"/>
    <n v="-1.9051156"/>
    <n v="-1.2382834"/>
    <s v="Direct"/>
    <s v="hyaluronic acid binding"/>
  </r>
  <r>
    <x v="1"/>
    <x v="1"/>
    <s v="Ssiderea008159"/>
    <n v="1.20249976"/>
    <n v="1.1280764999999999"/>
    <s v="Direct"/>
    <s v="Deleted in malignant brain tumors 1"/>
  </r>
  <r>
    <x v="1"/>
    <x v="1"/>
    <s v="Ssiderea008285"/>
    <n v="1.58373735"/>
    <n v="1.7803366899999999"/>
    <s v="Direct"/>
    <s v="AP-5 complex subunit sigma-1"/>
  </r>
  <r>
    <x v="1"/>
    <x v="1"/>
    <s v="Ssiderea008329"/>
    <n v="-2.0286742000000002"/>
    <n v="-1.7691011999999999"/>
    <s v="Direct"/>
    <s v="NA"/>
  </r>
  <r>
    <x v="1"/>
    <x v="1"/>
    <s v="Ssiderea008750"/>
    <n v="-2.7413292999999999"/>
    <n v="-1.5223435999999999"/>
    <s v="Direct"/>
    <s v="positive regulation of interleukin-13 biosynthetic process"/>
  </r>
  <r>
    <x v="1"/>
    <x v="1"/>
    <s v="Ssiderea008934"/>
    <n v="-1.7350184"/>
    <n v="-2.0901855"/>
    <s v="Direct"/>
    <s v="NA"/>
  </r>
  <r>
    <x v="1"/>
    <x v="1"/>
    <s v="Ssiderea008970"/>
    <n v="1.54270252"/>
    <n v="1.0101442700000001"/>
    <s v="Direct"/>
    <s v="CDK-activating kinase assembly factor"/>
  </r>
  <r>
    <x v="1"/>
    <x v="1"/>
    <s v="Ssiderea008985"/>
    <n v="2.1422439199999999"/>
    <n v="2.0440075100000001"/>
    <s v="Direct"/>
    <s v="carbohydrate binding"/>
  </r>
  <r>
    <x v="1"/>
    <x v="1"/>
    <s v="Ssiderea009023"/>
    <n v="1.3553841"/>
    <n v="2.1768439100000001"/>
    <s v="Direct"/>
    <s v="carbohydrate binding"/>
  </r>
  <r>
    <x v="1"/>
    <x v="1"/>
    <s v="Ssiderea009025"/>
    <n v="1.88943689"/>
    <n v="1.4826306499999999"/>
    <s v="Direct"/>
    <s v="negative regulation of DNA replication"/>
  </r>
  <r>
    <x v="1"/>
    <x v="1"/>
    <s v="Ssiderea009026"/>
    <n v="3.9938072199999999"/>
    <n v="1.50385817"/>
    <s v="Direct"/>
    <s v="carbohydrate binding"/>
  </r>
  <r>
    <x v="1"/>
    <x v="1"/>
    <s v="Ssiderea009049"/>
    <n v="4.1950233199999998"/>
    <n v="2.8234053600000002"/>
    <s v="Direct"/>
    <s v="tumor necrosis factor"/>
  </r>
  <r>
    <x v="1"/>
    <x v="1"/>
    <s v="Ssiderea009069"/>
    <n v="4.2246431900000001"/>
    <n v="4.1114605800000001"/>
    <s v="Direct"/>
    <s v="Coagulation factor 5/8 C-terminal domain, discoidin domain"/>
  </r>
  <r>
    <x v="1"/>
    <x v="1"/>
    <s v="Ssiderea009157"/>
    <n v="-1.2546085"/>
    <n v="-2.9687382000000002"/>
    <s v="Direct"/>
    <s v="NA"/>
  </r>
  <r>
    <x v="1"/>
    <x v="1"/>
    <s v="Ssiderea009162"/>
    <n v="2.4416111900000002"/>
    <n v="1.0962469500000001"/>
    <s v="Direct"/>
    <s v="Tumor necrosis factor (ligand) superfamily, member"/>
  </r>
  <r>
    <x v="1"/>
    <x v="1"/>
    <s v="Ssiderea009188"/>
    <n v="3.89554563"/>
    <n v="2.04387154"/>
    <s v="Direct"/>
    <s v="NA"/>
  </r>
  <r>
    <x v="1"/>
    <x v="1"/>
    <s v="Ssiderea009191"/>
    <n v="1.8974935100000001"/>
    <n v="2.8240664500000001"/>
    <s v="Direct"/>
    <s v="NA"/>
  </r>
  <r>
    <x v="1"/>
    <x v="1"/>
    <s v="Ssiderea009196"/>
    <n v="2.3070384499999999"/>
    <n v="1.7846662499999999"/>
    <s v="Direct"/>
    <s v="NA"/>
  </r>
  <r>
    <x v="1"/>
    <x v="1"/>
    <s v="Ssiderea009336"/>
    <n v="-2.0281775"/>
    <n v="-1.7969032"/>
    <s v="Direct"/>
    <s v="Hemicentin-1"/>
  </r>
  <r>
    <x v="1"/>
    <x v="1"/>
    <s v="Ssiderea009358"/>
    <n v="1.0784704899999999"/>
    <n v="1.0393866899999999"/>
    <s v="Direct"/>
    <s v="signaling receptor binding"/>
  </r>
  <r>
    <x v="1"/>
    <x v="1"/>
    <s v="Ssiderea009444"/>
    <n v="-2.2485588999999999"/>
    <n v="-2.8033728999999998"/>
    <s v="Direct"/>
    <s v="NA"/>
  </r>
  <r>
    <x v="1"/>
    <x v="1"/>
    <s v="Ssiderea009483"/>
    <n v="-1.1142418000000001"/>
    <n v="-1.0019479"/>
    <s v="Direct"/>
    <s v="NA"/>
  </r>
  <r>
    <x v="1"/>
    <x v="1"/>
    <s v="Ssiderea009522"/>
    <n v="-3.0432332"/>
    <n v="-3.9327046999999999"/>
    <s v="Direct"/>
    <s v="retinol dehydrogenase activity"/>
  </r>
  <r>
    <x v="1"/>
    <x v="1"/>
    <s v="Ssiderea009523"/>
    <n v="2.6515016400000002"/>
    <n v="1.2282466999999999"/>
    <s v="Direct"/>
    <s v="retinol dehydrogenase activity"/>
  </r>
  <r>
    <x v="1"/>
    <x v="1"/>
    <s v="Ssiderea009670"/>
    <n v="3.03606146"/>
    <n v="1.3936350399999999"/>
    <s v="Direct"/>
    <s v="Cobalamin binding. It is involved in the biological process described with cobalamin transport"/>
  </r>
  <r>
    <x v="1"/>
    <x v="1"/>
    <s v="Ssiderea009736"/>
    <n v="1.87487618"/>
    <n v="1.55248959"/>
    <s v="Direct"/>
    <s v="NA"/>
  </r>
  <r>
    <x v="1"/>
    <x v="1"/>
    <s v="Ssiderea009801"/>
    <n v="1.58940383"/>
    <n v="2.1263088200000002"/>
    <s v="Direct"/>
    <s v="NA"/>
  </r>
  <r>
    <x v="1"/>
    <x v="1"/>
    <s v="Ssiderea009987"/>
    <n v="1.6029078400000001"/>
    <n v="2.1768439100000001"/>
    <s v="Direct"/>
    <s v="SANT SWI3, ADA2, N-CoR and TFIIIB'' DNA-binding domains"/>
  </r>
  <r>
    <x v="1"/>
    <x v="1"/>
    <s v="Ssiderea010100"/>
    <n v="-1.3661243999999999"/>
    <n v="-1.4004428"/>
    <s v="Direct"/>
    <s v="NA"/>
  </r>
  <r>
    <x v="1"/>
    <x v="1"/>
    <s v="Ssiderea010720"/>
    <n v="2.5658697699999999"/>
    <n v="3.9235126199999999"/>
    <s v="Direct"/>
    <s v="NA"/>
  </r>
  <r>
    <x v="1"/>
    <x v="1"/>
    <s v="Ssiderea010960"/>
    <n v="-1.9325848999999999"/>
    <n v="-2.7017340000000001"/>
    <s v="Direct"/>
    <s v="nail development"/>
  </r>
  <r>
    <x v="1"/>
    <x v="1"/>
    <s v="Ssiderea011073"/>
    <n v="1.0509774000000001"/>
    <n v="2.11820765"/>
    <s v="Direct"/>
    <s v="NA"/>
  </r>
  <r>
    <x v="1"/>
    <x v="1"/>
    <s v="Ssiderea011220"/>
    <n v="-6.0868289999999998"/>
    <n v="-5.1080864000000004"/>
    <s v="Direct"/>
    <s v="NA"/>
  </r>
  <r>
    <x v="1"/>
    <x v="1"/>
    <s v="Ssiderea011419"/>
    <n v="1.2927687800000001"/>
    <n v="1.3201590000000001"/>
    <s v="Direct"/>
    <s v="NA"/>
  </r>
  <r>
    <x v="1"/>
    <x v="1"/>
    <s v="Ssiderea011465"/>
    <n v="-1.0803221000000001"/>
    <n v="-1.0929342"/>
    <s v="Direct"/>
    <s v="arachidonate 5-lipoxygenase activity"/>
  </r>
  <r>
    <x v="1"/>
    <x v="1"/>
    <s v="Ssiderea011584"/>
    <n v="1.9228649099999999"/>
    <n v="2.8879739099999999"/>
    <s v="Direct"/>
    <s v="NA"/>
  </r>
  <r>
    <x v="1"/>
    <x v="1"/>
    <s v="Ssiderea011949"/>
    <n v="-2.6436709"/>
    <n v="-1.53959"/>
    <s v="Direct"/>
    <s v="regulation of canonical Wnt signaling pathway"/>
  </r>
  <r>
    <x v="1"/>
    <x v="1"/>
    <s v="Ssiderea011958"/>
    <n v="-7.5470195999999996"/>
    <n v="-5.4015711"/>
    <s v="Direct"/>
    <s v="Tetratricopeptide repeat"/>
  </r>
  <r>
    <x v="1"/>
    <x v="1"/>
    <s v="Ssiderea011980"/>
    <n v="1.6625063200000001"/>
    <n v="2.1350278600000001"/>
    <s v="Direct"/>
    <s v="NA"/>
  </r>
  <r>
    <x v="1"/>
    <x v="1"/>
    <s v="Ssiderea011982"/>
    <n v="4.8887710100000001"/>
    <n v="4.5629531600000002"/>
    <s v="Direct"/>
    <s v="NA"/>
  </r>
  <r>
    <x v="1"/>
    <x v="1"/>
    <s v="Ssiderea012245"/>
    <n v="1.09073848"/>
    <n v="3.0818876400000002"/>
    <s v="Direct"/>
    <s v="NA"/>
  </r>
  <r>
    <x v="1"/>
    <x v="1"/>
    <s v="Ssiderea012259"/>
    <n v="2.07962808"/>
    <n v="6.8548592399999997"/>
    <s v="Direct"/>
    <s v="NA"/>
  </r>
  <r>
    <x v="1"/>
    <x v="1"/>
    <s v="Ssiderea012290"/>
    <n v="-1.4602328"/>
    <n v="-1.4999762000000001"/>
    <s v="Direct"/>
    <s v="response to defense-related nitric oxide production by other organism involved in symbiotic interaction"/>
  </r>
  <r>
    <x v="1"/>
    <x v="1"/>
    <s v="Ssiderea012406"/>
    <n v="-1.0555604000000001"/>
    <n v="-4.5629531999999999"/>
    <s v="Direct"/>
    <s v="NA"/>
  </r>
  <r>
    <x v="1"/>
    <x v="1"/>
    <s v="Ssiderea012723"/>
    <n v="-1.1917693"/>
    <n v="-1.7152917999999999"/>
    <s v="Direct"/>
    <s v="Belongs to the mitochondrial carrier (TC 2.A.29) family"/>
  </r>
  <r>
    <x v="1"/>
    <x v="1"/>
    <s v="Ssiderea012976"/>
    <n v="1.50078051"/>
    <n v="1.7803366899999999"/>
    <s v="Direct"/>
    <s v="chromatin disassembly"/>
  </r>
  <r>
    <x v="1"/>
    <x v="1"/>
    <s v="Ssiderea013036"/>
    <n v="1.38081356"/>
    <n v="1.01973259"/>
    <s v="Direct"/>
    <s v="Belongs to the glycosyl hydrolase 31 family"/>
  </r>
  <r>
    <x v="1"/>
    <x v="1"/>
    <s v="Ssiderea013067"/>
    <n v="4.1013601399999997"/>
    <n v="5.3891007399999999"/>
    <s v="Direct"/>
    <s v="dihydrofolate reductase activity"/>
  </r>
  <r>
    <x v="1"/>
    <x v="1"/>
    <s v="Ssiderea013138"/>
    <n v="3.8287984399999999"/>
    <n v="1.9727104099999999"/>
    <s v="Direct"/>
    <s v="NA"/>
  </r>
  <r>
    <x v="1"/>
    <x v="1"/>
    <s v="Ssiderea013640"/>
    <n v="-1.7254119000000001"/>
    <n v="-1.1343673999999999"/>
    <s v="Direct"/>
    <s v="NA"/>
  </r>
  <r>
    <x v="1"/>
    <x v="1"/>
    <s v="Ssiderea013642"/>
    <n v="-1.0820633"/>
    <n v="-1.8817155999999999"/>
    <s v="Direct"/>
    <s v="Vesicular inhibitory amino acid"/>
  </r>
  <r>
    <x v="1"/>
    <x v="1"/>
    <s v="Ssiderea013810"/>
    <n v="1.7523587199999999"/>
    <n v="2.0803257300000002"/>
    <s v="Direct"/>
    <s v="NA"/>
  </r>
  <r>
    <x v="1"/>
    <x v="1"/>
    <s v="Ssiderea013891"/>
    <n v="-1.026489"/>
    <n v="-1.4715876999999999"/>
    <s v="Direct"/>
    <s v="NA"/>
  </r>
  <r>
    <x v="1"/>
    <x v="1"/>
    <s v="Ssiderea013912"/>
    <n v="-2.6766740000000002"/>
    <n v="-3.0616409999999998"/>
    <s v="Direct"/>
    <s v="regulation of nitrosative stress-induced intrinsic apoptotic signaling pathway"/>
  </r>
  <r>
    <x v="1"/>
    <x v="1"/>
    <s v="Ssiderea013935"/>
    <n v="1.60578033"/>
    <n v="2.24463744"/>
    <s v="Direct"/>
    <s v="Dienelactone hydrolase family"/>
  </r>
  <r>
    <x v="1"/>
    <x v="1"/>
    <s v="Ssiderea013956"/>
    <n v="-1.3221274999999999"/>
    <n v="-1.4600712"/>
    <s v="Direct"/>
    <s v="NA"/>
  </r>
  <r>
    <x v="1"/>
    <x v="1"/>
    <s v="Ssiderea014166"/>
    <n v="1.40234345"/>
    <n v="-1.2282466999999999"/>
    <s v="Inverse"/>
    <s v="NA"/>
  </r>
  <r>
    <x v="1"/>
    <x v="1"/>
    <s v="Ssiderea014617"/>
    <n v="1.8423563199999999"/>
    <n v="3.2314235899999999"/>
    <s v="Direct"/>
    <s v="fucose metabolic process"/>
  </r>
  <r>
    <x v="1"/>
    <x v="1"/>
    <s v="Ssiderea015352"/>
    <n v="-1.8748762000000001"/>
    <n v="-1.8589420999999999"/>
    <s v="Direct"/>
    <s v="hydrolase activity"/>
  </r>
  <r>
    <x v="1"/>
    <x v="1"/>
    <s v="Ssiderea015433"/>
    <n v="-2.6436709"/>
    <n v="-2.3416465"/>
    <s v="Direct"/>
    <s v="NA"/>
  </r>
  <r>
    <x v="1"/>
    <x v="1"/>
    <s v="Ssiderea015479"/>
    <n v="1.13963748"/>
    <n v="1.5604819700000001"/>
    <s v="Direct"/>
    <s v="NA"/>
  </r>
  <r>
    <x v="1"/>
    <x v="1"/>
    <s v="Ssiderea015688"/>
    <n v="-2.2422841999999998"/>
    <n v="-1.5209424"/>
    <s v="Direct"/>
    <s v="serine threonine-protein kinase"/>
  </r>
  <r>
    <x v="1"/>
    <x v="1"/>
    <s v="Ssiderea015912"/>
    <n v="1.90010656"/>
    <n v="1.7068428"/>
    <s v="Direct"/>
    <s v="ornithine carbamoyltransferase activity"/>
  </r>
  <r>
    <x v="1"/>
    <x v="1"/>
    <s v="Ssiderea015915"/>
    <n v="-1.0130682"/>
    <n v="-1.7592399999999999"/>
    <s v="Direct"/>
    <s v="Allows the formation of correctly charged Gln-tRNA(Gln) through the transamidation of misacylated Glu-tRNA(Gln) in the mitochondria. The reaction takes place in the presence of glutamine and ATP through an activated gamma-phospho-Glu- tRNA(Gln)"/>
  </r>
  <r>
    <x v="1"/>
    <x v="1"/>
    <s v="Ssiderea016088"/>
    <n v="-2.3070385"/>
    <n v="-2.1267987000000002"/>
    <s v="Direct"/>
    <s v="alkaline phosphatase activity"/>
  </r>
  <r>
    <x v="1"/>
    <x v="1"/>
    <s v="Ssiderea016097"/>
    <n v="1.8435925"/>
    <n v="2.11820765"/>
    <s v="Direct"/>
    <s v="LanC lantibiotic synthetase component C-like 3 (bacterial)"/>
  </r>
  <r>
    <x v="1"/>
    <x v="1"/>
    <s v="Ssiderea016226"/>
    <n v="-1.4928060999999999"/>
    <n v="-3.3823460999999999"/>
    <s v="Direct"/>
    <s v="NA"/>
  </r>
  <r>
    <x v="1"/>
    <x v="1"/>
    <s v="Ssiderea016286"/>
    <n v="1.5500712400000001"/>
    <n v="1.7477529199999999"/>
    <s v="Direct"/>
    <s v="NA"/>
  </r>
  <r>
    <x v="1"/>
    <x v="1"/>
    <s v="Ssiderea016494"/>
    <n v="1.0705809900000001"/>
    <n v="2.4724918100000002"/>
    <s v="Direct"/>
    <s v="NA"/>
  </r>
  <r>
    <x v="1"/>
    <x v="1"/>
    <s v="Ssiderea016706"/>
    <n v="-4.3485870000000002"/>
    <n v="-1.7649870000000001"/>
    <s v="Direct"/>
    <s v="C-terminal of Roc, COR, domain"/>
  </r>
  <r>
    <x v="1"/>
    <x v="1"/>
    <s v="Ssiderea017365"/>
    <n v="1.20834928"/>
    <n v="1.76498701"/>
    <s v="Direct"/>
    <s v="electron carrier activity. It is involved in the biological process described with oxidation-reduction process"/>
  </r>
  <r>
    <x v="1"/>
    <x v="1"/>
    <s v="Ssiderea017479"/>
    <n v="-1.6030863"/>
    <n v="-2.1939516000000001"/>
    <s v="Direct"/>
    <s v="Mab-21"/>
  </r>
  <r>
    <x v="1"/>
    <x v="1"/>
    <s v="Ssiderea017517"/>
    <n v="4.0348971599999999"/>
    <n v="1.42480125"/>
    <s v="Direct"/>
    <s v="fibronectin type III and laminin G domains"/>
  </r>
  <r>
    <x v="1"/>
    <x v="1"/>
    <s v="Ssiderea017732"/>
    <n v="-4.5120494999999998"/>
    <n v="-2.5806784"/>
    <s v="Direct"/>
    <s v="NA"/>
  </r>
  <r>
    <x v="1"/>
    <x v="1"/>
    <s v="Ssiderea017733"/>
    <n v="-6.1129443999999999"/>
    <n v="-4.1085269000000002"/>
    <s v="Direct"/>
    <s v="NA"/>
  </r>
  <r>
    <x v="1"/>
    <x v="1"/>
    <s v="Ssiderea017734"/>
    <n v="-4.1013601"/>
    <n v="-2.6539571"/>
    <s v="Direct"/>
    <s v="NA"/>
  </r>
  <r>
    <x v="1"/>
    <x v="1"/>
    <s v="Ssiderea017743"/>
    <n v="1.0833611400000001"/>
    <n v="2.9251877899999998"/>
    <s v="Direct"/>
    <s v="NA"/>
  </r>
  <r>
    <x v="1"/>
    <x v="1"/>
    <s v="Ssiderea017841"/>
    <n v="-2.0035145999999999"/>
    <n v="-1.5569591"/>
    <s v="Direct"/>
    <s v="C-type lectin (CTL) or carbohydrate-recognition domain (CRD)"/>
  </r>
  <r>
    <x v="1"/>
    <x v="1"/>
    <s v="Ssiderea017967"/>
    <n v="-2.0860623"/>
    <n v="-2.3407512000000001"/>
    <s v="Direct"/>
    <s v="holocytochrome-c synthase activity"/>
  </r>
  <r>
    <x v="1"/>
    <x v="1"/>
    <s v="Ssiderea018006"/>
    <n v="-2.5428218"/>
    <n v="-1.7189783000000001"/>
    <s v="Direct"/>
    <s v="NA"/>
  </r>
  <r>
    <x v="1"/>
    <x v="1"/>
    <s v="Ssiderea018397"/>
    <n v="1.4910565499999999"/>
    <n v="1.81847994"/>
    <s v="Direct"/>
    <s v="NA"/>
  </r>
  <r>
    <x v="1"/>
    <x v="1"/>
    <s v="Ssiderea018481"/>
    <n v="-1.0642792000000001"/>
    <n v="-1.5421573"/>
    <s v="Direct"/>
    <s v="lathosterol oxidase activity"/>
  </r>
  <r>
    <x v="1"/>
    <x v="1"/>
    <s v="Ssiderea018606"/>
    <n v="-1.5036761000000001"/>
    <n v="-1.4569749999999999"/>
    <s v="Direct"/>
    <s v="NA"/>
  </r>
  <r>
    <x v="1"/>
    <x v="1"/>
    <s v="Ssiderea018639"/>
    <n v="2.8217405200000001"/>
    <n v="2.7018484200000001"/>
    <s v="Direct"/>
    <s v="intracellular cholesterol transport"/>
  </r>
  <r>
    <x v="1"/>
    <x v="1"/>
    <s v="Ssiderea018808"/>
    <n v="1.8893196400000001"/>
    <n v="1.85505012"/>
    <s v="Direct"/>
    <s v="peroxidase activity"/>
  </r>
  <r>
    <x v="1"/>
    <x v="1"/>
    <s v="Ssiderea018810"/>
    <n v="1.2897510400000001"/>
    <n v="2.0589819899999999"/>
    <s v="Direct"/>
    <s v="Peyer's patch morphogenesis"/>
  </r>
  <r>
    <x v="1"/>
    <x v="1"/>
    <s v="Ssiderea018828"/>
    <n v="-1.5870116000000001"/>
    <n v="-1.2580119000000001"/>
    <s v="Direct"/>
    <s v="NAD(P)H-binding"/>
  </r>
  <r>
    <x v="1"/>
    <x v="1"/>
    <s v="Ssiderea018973"/>
    <n v="1.2905653800000001"/>
    <n v="1.46484024"/>
    <s v="Direct"/>
    <s v="scavenger receptor activity"/>
  </r>
  <r>
    <x v="1"/>
    <x v="1"/>
    <s v="Ssiderea018990"/>
    <n v="-2.0885517999999998"/>
    <n v="-1.7313936999999999"/>
    <s v="Direct"/>
    <s v="protein heterodimerization activity"/>
  </r>
  <r>
    <x v="1"/>
    <x v="1"/>
    <s v="Ssiderea019217"/>
    <n v="-1.7091958"/>
    <n v="-1.9006997000000001"/>
    <s v="Direct"/>
    <s v="NA"/>
  </r>
  <r>
    <x v="1"/>
    <x v="1"/>
    <s v="Ssiderea019309"/>
    <n v="2.9017029700000001"/>
    <n v="1.42480125"/>
    <s v="Direct"/>
    <s v="Universal stress protein family"/>
  </r>
  <r>
    <x v="1"/>
    <x v="1"/>
    <s v="Ssiderea019630"/>
    <n v="1.1638484099999999"/>
    <n v="1.0345782800000001"/>
    <s v="Direct"/>
    <s v="NA"/>
  </r>
  <r>
    <x v="1"/>
    <x v="1"/>
    <s v="Ssiderea019840"/>
    <n v="-1.8081971999999999"/>
    <n v="-1.3864099999999999"/>
    <s v="Direct"/>
    <s v="Sushi, nidogen and EGF-like"/>
  </r>
  <r>
    <x v="1"/>
    <x v="1"/>
    <s v="Ssiderea019841"/>
    <n v="-2.6436709"/>
    <n v="-1.9271525"/>
    <s v="Direct"/>
    <s v="NA"/>
  </r>
  <r>
    <x v="1"/>
    <x v="1"/>
    <s v="Ssiderea019943"/>
    <n v="1.0040608900000001"/>
    <n v="1.1730210599999999"/>
    <s v="Direct"/>
    <s v="positive regulation of histone H3-K36 methylation"/>
  </r>
  <r>
    <x v="1"/>
    <x v="1"/>
    <s v="Ssiderea020235"/>
    <n v="-1.5372368000000001"/>
    <n v="-1.4491949"/>
    <s v="Direct"/>
    <s v="NA"/>
  </r>
  <r>
    <x v="1"/>
    <x v="1"/>
    <s v="Ssiderea020347"/>
    <n v="-1.139211"/>
    <n v="-1.0466247"/>
    <s v="Direct"/>
    <s v="7 transmembrane receptor (rhodopsin family)"/>
  </r>
  <r>
    <x v="1"/>
    <x v="1"/>
    <s v="Ssiderea020477"/>
    <n v="-1.6088758000000001"/>
    <n v="-1.5618247999999999"/>
    <s v="Direct"/>
    <s v="NA"/>
  </r>
  <r>
    <x v="1"/>
    <x v="1"/>
    <s v="Ssiderea020491"/>
    <n v="-4.1650469000000001"/>
    <n v="2.27051479"/>
    <s v="Inverse"/>
    <s v="NA"/>
  </r>
  <r>
    <x v="1"/>
    <x v="1"/>
    <s v="Ssiderea020495"/>
    <n v="-1.0853931000000001"/>
    <n v="-1.6008062000000001"/>
    <s v="Direct"/>
    <s v="NA"/>
  </r>
  <r>
    <x v="1"/>
    <x v="1"/>
    <s v="Ssiderea020500"/>
    <n v="4.9455422599999999"/>
    <n v="5.1734530300000001"/>
    <s v="Direct"/>
    <s v="NA"/>
  </r>
  <r>
    <x v="1"/>
    <x v="1"/>
    <s v="Ssiderea020988"/>
    <n v="-2.9464706999999999"/>
    <n v="-1.1342808"/>
    <s v="Direct"/>
    <s v="von Willebrand factor (vWF) type A domain"/>
  </r>
  <r>
    <x v="1"/>
    <x v="1"/>
    <s v="Ssiderea021039"/>
    <n v="-6.7502709000000003"/>
    <n v="-2.1943595"/>
    <s v="Direct"/>
    <s v="structural molecule activity"/>
  </r>
  <r>
    <x v="1"/>
    <x v="1"/>
    <s v="Ssiderea021044"/>
    <n v="2.11257246"/>
    <n v="3.4996323299999998"/>
    <s v="Direct"/>
    <s v="Collagen triple helix"/>
  </r>
  <r>
    <x v="1"/>
    <x v="1"/>
    <s v="Ssiderea021107"/>
    <n v="3.1837356899999998"/>
    <n v="6.0268808900000002"/>
    <s v="Direct"/>
    <s v="NA"/>
  </r>
  <r>
    <x v="1"/>
    <x v="1"/>
    <s v="Ssiderea021127"/>
    <n v="-2.1404722"/>
    <n v="-1.8550500999999999"/>
    <s v="Direct"/>
    <s v="ribosomal large subunit biogenesis"/>
  </r>
  <r>
    <x v="1"/>
    <x v="1"/>
    <s v="Ssiderea021220"/>
    <n v="1.6017829100000001"/>
    <n v="3.0474344100000001"/>
    <s v="Direct"/>
    <s v="Synaptic vesicle membrane protein VAT-1 homolog"/>
  </r>
  <r>
    <x v="1"/>
    <x v="1"/>
    <s v="Ssiderea021262"/>
    <n v="-1.3789902000000001"/>
    <n v="-1.4026536000000001"/>
    <s v="Direct"/>
    <s v="NFX1-type zinc finger-containing protein"/>
  </r>
  <r>
    <x v="1"/>
    <x v="1"/>
    <s v="Ssiderea021421"/>
    <n v="1.1197437800000001"/>
    <n v="2.0428072099999999"/>
    <s v="Direct"/>
    <s v="Tyrosine-protein kinase transmembrane receptor ROR2"/>
  </r>
  <r>
    <x v="1"/>
    <x v="1"/>
    <s v="Ssiderea021665"/>
    <n v="2.20265719"/>
    <n v="2.0968383099999999"/>
    <s v="Direct"/>
    <s v="Common central domain of tyrosinase"/>
  </r>
  <r>
    <x v="1"/>
    <x v="1"/>
    <s v="Ssiderea021826"/>
    <n v="1.42067345"/>
    <n v="4.5238255299999999"/>
    <s v="Direct"/>
    <s v="NA"/>
  </r>
  <r>
    <x v="1"/>
    <x v="1"/>
    <s v="Ssiderea021831"/>
    <n v="3.0212153599999998"/>
    <n v="6.55689134"/>
    <s v="Direct"/>
    <s v="NA"/>
  </r>
  <r>
    <x v="1"/>
    <x v="1"/>
    <s v="Ssiderea021902"/>
    <n v="-4.5177541999999997"/>
    <n v="-2.6539571"/>
    <s v="Direct"/>
    <s v="NA"/>
  </r>
  <r>
    <x v="1"/>
    <x v="1"/>
    <s v="Ssiderea021983"/>
    <n v="-4.9455422999999996"/>
    <n v="-1.2781476000000001"/>
    <s v="Direct"/>
    <s v="NA"/>
  </r>
  <r>
    <x v="1"/>
    <x v="1"/>
    <s v="Ssiderea022281"/>
    <n v="1.2970447599999999"/>
    <n v="1.77401739"/>
    <s v="Direct"/>
    <s v="zinc ion binding"/>
  </r>
  <r>
    <x v="1"/>
    <x v="1"/>
    <s v="Ssiderea022318"/>
    <n v="-1.1142266000000001"/>
    <n v="1.5780364099999999"/>
    <s v="Inverse"/>
    <s v="fibroblast growth factor-activated receptor activity"/>
  </r>
  <r>
    <x v="1"/>
    <x v="1"/>
    <s v="Ssiderea022417"/>
    <n v="1.5297795700000001"/>
    <n v="2.3853449900000001"/>
    <s v="Direct"/>
    <s v="NA"/>
  </r>
  <r>
    <x v="1"/>
    <x v="1"/>
    <s v="Ssiderea022486"/>
    <n v="1.2800088300000001"/>
    <n v="1.5553629499999999"/>
    <s v="Direct"/>
    <s v="NA"/>
  </r>
  <r>
    <x v="1"/>
    <x v="1"/>
    <s v="Ssiderea022695"/>
    <n v="1.37119455"/>
    <n v="2.0589819899999999"/>
    <s v="Direct"/>
    <s v="pseudouridine 5'-phosphatase activity"/>
  </r>
  <r>
    <x v="1"/>
    <x v="1"/>
    <s v="Ssiderea022747"/>
    <n v="-3.7225101999999999"/>
    <n v="-1.4576374000000001"/>
    <s v="Direct"/>
    <s v="NA"/>
  </r>
  <r>
    <x v="1"/>
    <x v="1"/>
    <s v="Ssiderea022864"/>
    <n v="1.30090061"/>
    <n v="2.0700602199999998"/>
    <s v="Direct"/>
    <s v="Neural cell adhesion molecule"/>
  </r>
  <r>
    <x v="1"/>
    <x v="1"/>
    <s v="Ssiderea023003"/>
    <n v="-1.3198707000000001"/>
    <n v="-1.9218667"/>
    <s v="Direct"/>
    <s v="Extracellular matrix protein"/>
  </r>
  <r>
    <x v="1"/>
    <x v="1"/>
    <s v="Ssiderea023126"/>
    <n v="-2.7933289000000001"/>
    <n v="-6.4642621"/>
    <s v="Direct"/>
    <s v="NA"/>
  </r>
  <r>
    <x v="1"/>
    <x v="1"/>
    <s v="Ssiderea023221"/>
    <n v="2.8990071199999998"/>
    <n v="1.1791703499999999"/>
    <s v="Direct"/>
    <s v="NA"/>
  </r>
  <r>
    <x v="1"/>
    <x v="1"/>
    <s v="Ssiderea023349"/>
    <n v="-1.0605907999999999"/>
    <n v="-1.0560448"/>
    <s v="Direct"/>
    <s v="DNA nucleotidylexotransferase activity"/>
  </r>
  <r>
    <x v="1"/>
    <x v="1"/>
    <s v="Ssiderea023364"/>
    <n v="2.1241311399999998"/>
    <n v="1.4104586699999999"/>
    <s v="Direct"/>
    <s v="non-membrane spanning protein tyrosine kinase activity"/>
  </r>
  <r>
    <x v="1"/>
    <x v="1"/>
    <s v="Ssiderea023648"/>
    <n v="-1.2161493999999999"/>
    <n v="-1.2902601"/>
    <s v="Direct"/>
    <s v="NA"/>
  </r>
  <r>
    <x v="1"/>
    <x v="1"/>
    <s v="Ssiderea023649"/>
    <n v="-3.7848111000000002"/>
    <n v="-4.0854166000000003"/>
    <s v="Direct"/>
    <s v="NA"/>
  </r>
  <r>
    <x v="1"/>
    <x v="1"/>
    <s v="Ssiderea023975"/>
    <n v="1.09073848"/>
    <n v="1.79186541"/>
    <s v="Direct"/>
    <s v="NA"/>
  </r>
  <r>
    <x v="1"/>
    <x v="1"/>
    <s v="Ssiderea024129"/>
    <n v="-1.4570955999999999"/>
    <n v="-1.0184280000000001"/>
    <s v="Direct"/>
    <s v="Belongs to the sodium solute symporter (SSF) (TC 2.A.21) family"/>
  </r>
  <r>
    <x v="1"/>
    <x v="1"/>
    <s v="Ssiderea024166"/>
    <n v="-1.1856096"/>
    <n v="-1.8870323"/>
    <s v="Direct"/>
    <s v="Protein of unknown function DUF72"/>
  </r>
  <r>
    <x v="1"/>
    <x v="1"/>
    <s v="Ssiderea024229"/>
    <n v="-4.3050939000000001"/>
    <n v="-1.2817826000000001"/>
    <s v="Direct"/>
    <s v="NA"/>
  </r>
  <r>
    <x v="1"/>
    <x v="1"/>
    <s v="Ssiderea024230"/>
    <n v="-5.6730698000000004"/>
    <n v="-1.2816856999999999"/>
    <s v="Direct"/>
    <s v="NA"/>
  </r>
  <r>
    <x v="1"/>
    <x v="1"/>
    <s v="Ssiderea024554"/>
    <n v="1.0146455599999999"/>
    <n v="1.1718857899999999"/>
    <s v="Direct"/>
    <s v="phytanoyl-CoA dioxygenase activity"/>
  </r>
  <r>
    <x v="1"/>
    <x v="1"/>
    <s v="Ssiderea024595"/>
    <n v="-1.9947689"/>
    <n v="-1.4100349999999999"/>
    <s v="Direct"/>
    <s v="biological adhesion"/>
  </r>
  <r>
    <x v="1"/>
    <x v="1"/>
    <s v="Ssiderea024754"/>
    <n v="10.9593799"/>
    <n v="7.0239617299999999"/>
    <s v="Direct"/>
    <s v="NA"/>
  </r>
  <r>
    <x v="1"/>
    <x v="1"/>
    <s v="Ssiderea024813"/>
    <n v="-4.0307918999999997"/>
    <n v="-1.2497720999999999"/>
    <s v="Direct"/>
    <s v="glycine amidinotransferase"/>
  </r>
  <r>
    <x v="1"/>
    <x v="1"/>
    <s v="Ssiderea024906"/>
    <n v="2.8584070100000001"/>
    <n v="5.5631052399999996"/>
    <s v="Direct"/>
    <s v="Galactose binding lectin domain"/>
  </r>
  <r>
    <x v="1"/>
    <x v="1"/>
    <s v="Ssiderea025267"/>
    <n v="-1.1004423000000001"/>
    <n v="-1.0551702000000001"/>
    <s v="Direct"/>
    <s v="Domain present in PSD-95, Dlg, and ZO-1/2."/>
  </r>
  <r>
    <x v="1"/>
    <x v="1"/>
    <s v="Ssiderea025376"/>
    <n v="-1.8635656"/>
    <n v="-2.0773107"/>
    <s v="Direct"/>
    <s v="gamma-glutamyl-peptidase activity"/>
  </r>
  <r>
    <x v="1"/>
    <x v="1"/>
    <s v="Ssiderea025685"/>
    <n v="3.4791505599999999"/>
    <n v="-1.0931394000000001"/>
    <s v="Inverse"/>
    <s v="Collagen triple helix"/>
  </r>
  <r>
    <x v="1"/>
    <x v="1"/>
    <s v="Ssiderea025794"/>
    <n v="2.7908525000000002"/>
    <n v="2.6922902400000002"/>
    <s v="Direct"/>
    <s v="Receptor tyrosine phosphatase type r2a"/>
  </r>
  <r>
    <x v="1"/>
    <x v="1"/>
    <s v="Ssiderea025906"/>
    <n v="-2.4183859999999999"/>
    <n v="-1.1282937"/>
    <s v="Direct"/>
    <s v="MAC/Perforin domain"/>
  </r>
  <r>
    <x v="1"/>
    <x v="1"/>
    <s v="Ssiderea025912"/>
    <n v="2.1144149300000001"/>
    <n v="1.95497645"/>
    <s v="Direct"/>
    <s v="transcription initiation from RNA polymerase II promoter"/>
  </r>
  <r>
    <x v="1"/>
    <x v="1"/>
    <s v="Ssiderea025990"/>
    <n v="1.4034310000000001"/>
    <n v="1.1320006"/>
    <s v="Direct"/>
    <s v="sequence-specific DNA binding"/>
  </r>
  <r>
    <x v="1"/>
    <x v="1"/>
    <s v="Ssiderea026015"/>
    <n v="-1.1684175000000001"/>
    <n v="-2.2770250999999999"/>
    <s v="Direct"/>
    <s v="NA"/>
  </r>
  <r>
    <x v="1"/>
    <x v="1"/>
    <s v="Ssiderea026050"/>
    <n v="1.6720233600000001"/>
    <n v="2.1703950299999999"/>
    <s v="Direct"/>
    <s v="NA"/>
  </r>
  <r>
    <x v="1"/>
    <x v="1"/>
    <s v="Ssiderea026331"/>
    <n v="-1.4257869999999999"/>
    <n v="-3.5413806999999999"/>
    <s v="Direct"/>
    <s v="Belongs to the ATP guanido phosphotransferase family"/>
  </r>
  <r>
    <x v="1"/>
    <x v="1"/>
    <s v="Ssiderea026350"/>
    <n v="-1.3199320000000001"/>
    <n v="-1.8575363"/>
    <s v="Direct"/>
    <s v="NA"/>
  </r>
  <r>
    <x v="1"/>
    <x v="1"/>
    <s v="Ssiderea026681"/>
    <n v="1.1888102"/>
    <n v="2.01323981"/>
    <s v="Direct"/>
    <s v="C-type lectin (CTL) or carbohydrate-recognition domain (CRD)"/>
  </r>
  <r>
    <x v="1"/>
    <x v="1"/>
    <s v="Ssiderea026686"/>
    <n v="-3.1086816000000002"/>
    <n v="-3.2771292000000001"/>
    <s v="Direct"/>
    <s v="NA"/>
  </r>
  <r>
    <x v="1"/>
    <x v="1"/>
    <s v="Ssiderea026694"/>
    <n v="2.9484369099999999"/>
    <n v="2.3056789000000002"/>
    <s v="Direct"/>
    <s v="C-type lectin (CTL) or carbohydrate-recognition domain (CRD)"/>
  </r>
  <r>
    <x v="1"/>
    <x v="1"/>
    <s v="Ssiderea026904"/>
    <n v="-3.9983905000000002"/>
    <n v="-2.4741787"/>
    <s v="Direct"/>
    <s v="NA"/>
  </r>
  <r>
    <x v="1"/>
    <x v="1"/>
    <s v="Ssiderea026954"/>
    <n v="-2.7831467000000001"/>
    <n v="-1.3367036000000001"/>
    <s v="Direct"/>
    <s v="NA"/>
  </r>
  <r>
    <x v="1"/>
    <x v="1"/>
    <s v="Ssiderea027033"/>
    <n v="2.60471122"/>
    <n v="3.0470030000000001"/>
    <s v="Direct"/>
    <s v="NA"/>
  </r>
  <r>
    <x v="1"/>
    <x v="1"/>
    <s v="Ssiderea027610"/>
    <n v="1.19762089"/>
    <n v="1.5613078300000001"/>
    <s v="Direct"/>
    <s v="NA"/>
  </r>
  <r>
    <x v="1"/>
    <x v="1"/>
    <s v="Ssiderea027674"/>
    <n v="-3.6973862"/>
    <n v="-1.8486343000000001"/>
    <s v="Direct"/>
    <s v="NA"/>
  </r>
  <r>
    <x v="1"/>
    <x v="1"/>
    <s v="Ssiderea027777"/>
    <n v="-1.2948421000000001"/>
    <n v="-1.2110148000000001"/>
    <s v="Direct"/>
    <s v="Adenylyl- / guanylyl cyclase, catalytic domain"/>
  </r>
  <r>
    <x v="1"/>
    <x v="1"/>
    <s v="Ssiderea027829"/>
    <n v="1.54455937"/>
    <n v="1.95718511"/>
    <s v="Direct"/>
    <s v="NA"/>
  </r>
  <r>
    <x v="1"/>
    <x v="1"/>
    <s v="Ssiderea027900"/>
    <n v="-1.2760039000000001"/>
    <n v="-1.7968864"/>
    <s v="Direct"/>
    <s v="voltage-gated sodium channel activity"/>
  </r>
  <r>
    <x v="1"/>
    <x v="1"/>
    <s v="Ssiderea027950"/>
    <n v="-1.3667351999999999"/>
    <n v="-1.0811077"/>
    <s v="Direct"/>
    <s v="NA"/>
  </r>
  <r>
    <x v="1"/>
    <x v="1"/>
    <s v="Ssiderea028078"/>
    <n v="-1.3186138000000001"/>
    <n v="-1.0742018"/>
    <s v="Direct"/>
    <s v="NA"/>
  </r>
  <r>
    <x v="1"/>
    <x v="1"/>
    <s v="Ssiderea028434"/>
    <n v="-2.3711492999999999"/>
    <n v="-2.5485720999999999"/>
    <s v="Direct"/>
    <s v="thyroid hormone transmembrane transporter activity"/>
  </r>
  <r>
    <x v="1"/>
    <x v="1"/>
    <s v="Ssiderea028492"/>
    <n v="1.38081356"/>
    <n v="1.2228409"/>
    <s v="Direct"/>
    <s v="protein phosphatase regulator activity"/>
  </r>
  <r>
    <x v="1"/>
    <x v="1"/>
    <s v="Ssiderea028526"/>
    <n v="-1.1414202"/>
    <n v="-1.1805687"/>
    <s v="Direct"/>
    <s v="NA"/>
  </r>
  <r>
    <x v="1"/>
    <x v="1"/>
    <s v="Ssiderea028718"/>
    <n v="-2.7933289000000001"/>
    <n v="-2.1349589"/>
    <s v="Direct"/>
    <s v="NA"/>
  </r>
  <r>
    <x v="1"/>
    <x v="1"/>
    <s v="Ssiderea028819"/>
    <n v="2.9925260800000002"/>
    <n v="4.3765446499999996"/>
    <s v="Direct"/>
    <s v="complement activation, lectin pathway"/>
  </r>
  <r>
    <x v="1"/>
    <x v="1"/>
    <s v="Ssiderea028833"/>
    <n v="3.49842239"/>
    <n v="4.3883352499999999"/>
    <s v="Direct"/>
    <s v="NA"/>
  </r>
  <r>
    <x v="1"/>
    <x v="1"/>
    <s v="Ssiderea029188"/>
    <n v="2.8015523"/>
    <n v="1.85505012"/>
    <s v="Direct"/>
    <s v="Cobalamin-independent synthase, Catalytic domain"/>
  </r>
  <r>
    <x v="1"/>
    <x v="1"/>
    <s v="Ssiderea029247"/>
    <n v="-1.1119627999999999"/>
    <n v="-1.4910817000000001"/>
    <s v="Direct"/>
    <s v="NA"/>
  </r>
  <r>
    <x v="1"/>
    <x v="1"/>
    <s v="Ssiderea029278"/>
    <n v="2.79458311"/>
    <n v="1.5618247999999999"/>
    <s v="Direct"/>
    <s v="NA"/>
  </r>
  <r>
    <x v="1"/>
    <x v="1"/>
    <s v="Ssiderea029713"/>
    <n v="-1.0669002000000001"/>
    <n v="-1.3376621"/>
    <s v="Direct"/>
    <s v="NA"/>
  </r>
  <r>
    <x v="1"/>
    <x v="1"/>
    <s v="Ssiderea029805"/>
    <n v="1.83940287"/>
    <n v="1.64947033"/>
    <s v="Direct"/>
    <s v="NA"/>
  </r>
  <r>
    <x v="1"/>
    <x v="1"/>
    <s v="Ssiderea029844"/>
    <n v="1.3053326599999999"/>
    <n v="1.6385004999999999"/>
    <s v="Direct"/>
    <s v="NA"/>
  </r>
  <r>
    <x v="1"/>
    <x v="1"/>
    <s v="Ssiderea029846"/>
    <n v="1.22183686"/>
    <n v="1.12829366"/>
    <s v="Direct"/>
    <s v="Cupin-like domain"/>
  </r>
  <r>
    <x v="1"/>
    <x v="1"/>
    <s v="Ssiderea029875"/>
    <n v="1.34770608"/>
    <n v="1.7880968399999999"/>
    <s v="Direct"/>
    <s v="NA"/>
  </r>
  <r>
    <x v="1"/>
    <x v="1"/>
    <s v="Ssiderea030041"/>
    <n v="-1.7819453999999999"/>
    <n v="-1.0689592999999999"/>
    <s v="Direct"/>
    <s v="NA"/>
  </r>
  <r>
    <x v="1"/>
    <x v="1"/>
    <s v="Ssiderea030042"/>
    <n v="2.1586436600000001"/>
    <n v="1.1185780999999999"/>
    <s v="Direct"/>
    <s v="NA"/>
  </r>
  <r>
    <x v="1"/>
    <x v="1"/>
    <s v="Ssiderea030069"/>
    <n v="1.1546903900000001"/>
    <n v="1.38883519"/>
    <s v="Direct"/>
    <s v="phosphopyruvate hydratase activity"/>
  </r>
  <r>
    <x v="1"/>
    <x v="1"/>
    <s v="Ssiderea030145"/>
    <n v="-1.5365773"/>
    <n v="-2.1547635000000001"/>
    <s v="Direct"/>
    <s v="NA"/>
  </r>
  <r>
    <x v="1"/>
    <x v="1"/>
    <s v="Ssiderea030239"/>
    <n v="1.56429365"/>
    <n v="1.3392641300000001"/>
    <s v="Direct"/>
    <s v="NA"/>
  </r>
  <r>
    <x v="1"/>
    <x v="1"/>
    <s v="Ssiderea030302"/>
    <n v="-1.0229884"/>
    <n v="-1.8545954"/>
    <s v="Direct"/>
    <s v="Folate receptor family"/>
  </r>
  <r>
    <x v="1"/>
    <x v="1"/>
    <s v="Ssiderea030632"/>
    <n v="2.2878695200000001"/>
    <n v="1.0560448"/>
    <s v="Direct"/>
    <s v="NA"/>
  </r>
  <r>
    <x v="1"/>
    <x v="1"/>
    <s v="Ssiderea030651"/>
    <n v="-1.0916729000000001"/>
    <n v="-1.4911258000000001"/>
    <s v="Direct"/>
    <s v="NA"/>
  </r>
  <r>
    <x v="1"/>
    <x v="1"/>
    <s v="Ssiderea030710"/>
    <n v="-1.4858401999999999"/>
    <n v="-1.4491949"/>
    <s v="Direct"/>
    <s v="NA"/>
  </r>
  <r>
    <x v="1"/>
    <x v="1"/>
    <s v="Ssiderea030985"/>
    <n v="-1.0642668"/>
    <n v="-1.2994083000000001"/>
    <s v="Direct"/>
    <s v="Reverse transcriptase (RNA-dependent DNA polymerase)"/>
  </r>
  <r>
    <x v="1"/>
    <x v="1"/>
    <s v="Ssiderea031066"/>
    <n v="-2.6388919999999998"/>
    <n v="-3.4504665999999999"/>
    <s v="Direct"/>
    <s v="NA"/>
  </r>
  <r>
    <x v="1"/>
    <x v="1"/>
    <s v="Ssiderea031312"/>
    <n v="-3.0084312999999998"/>
    <n v="-1.0955326999999999"/>
    <s v="Direct"/>
    <s v="peroxidase activity"/>
  </r>
  <r>
    <x v="1"/>
    <x v="1"/>
    <s v="Ssiderea031448"/>
    <n v="-1.7332231"/>
    <n v="-1.5095358999999999"/>
    <s v="Direct"/>
    <s v="NA"/>
  </r>
  <r>
    <x v="1"/>
    <x v="1"/>
    <s v="Ssiderea031502"/>
    <n v="-1.4449392999999999"/>
    <n v="-1.3238451"/>
    <s v="Direct"/>
    <s v="NA"/>
  </r>
  <r>
    <x v="1"/>
    <x v="1"/>
    <s v="Ssiderea031537"/>
    <n v="1.12165933"/>
    <n v="1.0727973500000001"/>
    <s v="Direct"/>
    <s v="Specifically deglycosylates the denatured form of N- linked glycoproteins in the cytoplasm and assists their proteasome-mediated degradation. Cleaves the beta-aspartyl- glucosamine (GlcNAc) of the glycan and the amide side chain of Asn, converting Asn to "/>
  </r>
  <r>
    <x v="1"/>
    <x v="1"/>
    <s v="Ssiderea031553"/>
    <n v="-1.6050751999999999"/>
    <n v="-3.2340165000000001"/>
    <s v="Direct"/>
    <s v="calcium ion binding"/>
  </r>
  <r>
    <x v="1"/>
    <x v="1"/>
    <s v="Ssiderea031574"/>
    <n v="-1.6153691999999999"/>
    <n v="-1.2650874999999999"/>
    <s v="Direct"/>
    <s v="NA"/>
  </r>
  <r>
    <x v="1"/>
    <x v="1"/>
    <s v="Ssiderea031592"/>
    <n v="-1.0654494999999999"/>
    <n v="-1.1040562"/>
    <s v="Direct"/>
    <s v="NFX1-type zinc finger-containing protein"/>
  </r>
  <r>
    <x v="1"/>
    <x v="1"/>
    <s v="Ssiderea031654"/>
    <n v="1.3305096300000001"/>
    <n v="3.2289921000000001"/>
    <s v="Direct"/>
    <s v="NA"/>
  </r>
  <r>
    <x v="1"/>
    <x v="1"/>
    <s v="Ssiderea031692"/>
    <n v="-1.1974278"/>
    <n v="-1.8570232"/>
    <s v="Direct"/>
    <s v="LETM1 domain containing 1"/>
  </r>
  <r>
    <x v="1"/>
    <x v="1"/>
    <s v="Ssiderea031743"/>
    <n v="-1.3054334000000001"/>
    <n v="-1.1659248"/>
    <s v="Direct"/>
    <s v="determination of stomach left/right asymmetry"/>
  </r>
  <r>
    <x v="1"/>
    <x v="1"/>
    <s v="Ssiderea031931"/>
    <n v="-3.0432332"/>
    <n v="-1.2036251"/>
    <s v="Direct"/>
    <s v="NA"/>
  </r>
  <r>
    <x v="1"/>
    <x v="1"/>
    <s v="Ssiderea032171"/>
    <n v="-1.7365641999999999"/>
    <n v="-1.3913181999999999"/>
    <s v="Direct"/>
    <s v="NA"/>
  </r>
  <r>
    <x v="1"/>
    <x v="1"/>
    <s v="Ssiderea032250"/>
    <n v="1.2015780599999999"/>
    <n v="2.1008711500000001"/>
    <s v="Direct"/>
    <s v="Common central domain of tyrosinase"/>
  </r>
  <r>
    <x v="1"/>
    <x v="1"/>
    <s v="Ssiderea032352"/>
    <n v="1.1415033000000001"/>
    <n v="1.8912205499999999"/>
    <s v="Direct"/>
    <s v="tRNA methylation"/>
  </r>
  <r>
    <x v="1"/>
    <x v="1"/>
    <s v="Ssiderea032491"/>
    <n v="2.1016208999999999"/>
    <n v="2.4599678100000002"/>
    <s v="Direct"/>
    <s v="Common central domain of tyrosinase"/>
  </r>
  <r>
    <x v="1"/>
    <x v="1"/>
    <s v="Ssiderea032502"/>
    <n v="1.1232522300000001"/>
    <n v="2.2266810600000002"/>
    <s v="Direct"/>
    <s v="NA"/>
  </r>
  <r>
    <x v="1"/>
    <x v="1"/>
    <s v="Ssiderea032816"/>
    <n v="-1.8182233000000001"/>
    <n v="-1.0341597"/>
    <s v="Direct"/>
    <s v="NA"/>
  </r>
  <r>
    <x v="1"/>
    <x v="1"/>
    <s v="Ssiderea033082"/>
    <n v="-5.3906228"/>
    <n v="-1.0518953"/>
    <s v="Direct"/>
    <s v="homophilic cell adhesion via plasma membrane adhesion molecules"/>
  </r>
  <r>
    <x v="1"/>
    <x v="1"/>
    <s v="Ssiderea033289"/>
    <n v="-2.1447579999999999"/>
    <n v="-1.2462536"/>
    <s v="Direct"/>
    <s v="RNA binding"/>
  </r>
  <r>
    <x v="1"/>
    <x v="1"/>
    <s v="Ssiderea033477"/>
    <n v="-2.1715073"/>
    <n v="-1.0451195"/>
    <s v="Direct"/>
    <s v="NA"/>
  </r>
  <r>
    <x v="1"/>
    <x v="1"/>
    <s v="Ssiderea033524"/>
    <n v="-4.0307918999999997"/>
    <n v="-2.1415706999999999"/>
    <s v="Direct"/>
    <s v="NA"/>
  </r>
  <r>
    <x v="1"/>
    <x v="1"/>
    <s v="Ssiderea033639"/>
    <n v="1.36302642"/>
    <n v="1.7803366899999999"/>
    <s v="Direct"/>
    <s v="NA"/>
  </r>
  <r>
    <x v="1"/>
    <x v="1"/>
    <s v="Ssiderea033838"/>
    <n v="1.0170481499999999"/>
    <n v="2.6144861000000001"/>
    <s v="Direct"/>
    <s v="NA"/>
  </r>
  <r>
    <x v="1"/>
    <x v="1"/>
    <s v="Ssiderea034143"/>
    <n v="2.1273785200000002"/>
    <n v="2.3940001400000002"/>
    <s v="Direct"/>
    <s v="NA"/>
  </r>
  <r>
    <x v="1"/>
    <x v="1"/>
    <s v="Ssiderea034156"/>
    <n v="1.84894029"/>
    <n v="1.0419480800000001"/>
    <s v="Direct"/>
    <s v="NA"/>
  </r>
  <r>
    <x v="1"/>
    <x v="1"/>
    <s v="Ssiderea034234"/>
    <n v="-1.8858877999999999"/>
    <n v="-1.1905996999999999"/>
    <s v="Direct"/>
    <s v="negative regulation of non-canonical Wnt signaling pathway"/>
  </r>
  <r>
    <x v="1"/>
    <x v="1"/>
    <s v="Ssiderea034283"/>
    <n v="-1.9223269999999999"/>
    <n v="-2.1052320999999998"/>
    <s v="Direct"/>
    <s v="ATP binding. It is involved in the biological process described with protein phosphorylation"/>
  </r>
  <r>
    <x v="1"/>
    <x v="1"/>
    <s v="Ssiderea034394"/>
    <n v="-4.2661148999999998"/>
    <n v="-3.4996323"/>
    <s v="Direct"/>
    <s v="defense response to nematode"/>
  </r>
  <r>
    <x v="1"/>
    <x v="1"/>
    <s v="Ssiderea034395"/>
    <n v="1.63075379"/>
    <n v="2.5489858700000001"/>
    <s v="Direct"/>
    <s v="carbohydrate binding"/>
  </r>
  <r>
    <x v="1"/>
    <x v="1"/>
    <s v="Ssiderea034401"/>
    <n v="-1.8744269"/>
    <n v="-5.0253829999999997"/>
    <s v="Direct"/>
    <s v="carbohydrate binding"/>
  </r>
  <r>
    <x v="1"/>
    <x v="1"/>
    <s v="Ssiderea034505"/>
    <n v="2.0971226000000001"/>
    <n v="2.14934951"/>
    <s v="Direct"/>
    <s v="NA"/>
  </r>
  <r>
    <x v="1"/>
    <x v="1"/>
    <s v="Ssiderea034545"/>
    <n v="-1.6448357"/>
    <n v="-1.2313152999999999"/>
    <s v="Direct"/>
    <s v="NA"/>
  </r>
  <r>
    <x v="1"/>
    <x v="1"/>
    <s v="Ssiderea034578"/>
    <n v="-1.8476478000000001"/>
    <n v="-1.1236774"/>
    <s v="Direct"/>
    <s v="NA"/>
  </r>
  <r>
    <x v="1"/>
    <x v="1"/>
    <s v="Ssiderea034762"/>
    <n v="1.8377660300000001"/>
    <n v="1.11656683"/>
    <s v="Direct"/>
    <s v="Belongs to the peptidase C14A family"/>
  </r>
  <r>
    <x v="1"/>
    <x v="1"/>
    <s v="Ssiderea034995"/>
    <n v="-2.6324953"/>
    <n v="-2.1193165999999999"/>
    <s v="Direct"/>
    <s v="tumor necrosis factor receptor binding"/>
  </r>
  <r>
    <x v="1"/>
    <x v="1"/>
    <s v="Ssiderea035207"/>
    <n v="-1.3609802"/>
    <n v="-3.7656746000000001"/>
    <s v="Direct"/>
    <s v="NA"/>
  </r>
  <r>
    <x v="1"/>
    <x v="1"/>
    <s v="Ssiderea035259"/>
    <n v="6.7587441699999999"/>
    <n v="7.9896267099999996"/>
    <s v="Direct"/>
    <s v="NA"/>
  </r>
  <r>
    <x v="1"/>
    <x v="1"/>
    <s v="Ssiderea035261"/>
    <n v="-1.5702223"/>
    <n v="-2.5771095000000002"/>
    <s v="Direct"/>
    <s v="NA"/>
  </r>
  <r>
    <x v="1"/>
    <x v="1"/>
    <s v="Ssiderea035314"/>
    <n v="-2.3138469000000002"/>
    <n v="-1.4630586000000001"/>
    <s v="Direct"/>
    <s v="PTK6 protein tyrosine kinase"/>
  </r>
  <r>
    <x v="1"/>
    <x v="1"/>
    <s v="Ssiderea035315"/>
    <n v="-1.5947047000000001"/>
    <n v="-1.7649870000000001"/>
    <s v="Direct"/>
    <s v="NA"/>
  </r>
  <r>
    <x v="1"/>
    <x v="1"/>
    <s v="Ssiderea035390"/>
    <n v="1.6584200600000001"/>
    <n v="2.30486974"/>
    <s v="Direct"/>
    <s v="nutrient reservoir activity"/>
  </r>
  <r>
    <x v="1"/>
    <x v="1"/>
    <s v="Ssiderea035418"/>
    <n v="-1.0848627"/>
    <n v="-1.0116000000000001"/>
    <s v="Direct"/>
    <s v="G-protein coupled receptor activity"/>
  </r>
  <r>
    <x v="1"/>
    <x v="1"/>
    <s v="Ssiderea035521"/>
    <n v="3.1796078900000002"/>
    <n v="1.71173496"/>
    <s v="Direct"/>
    <s v="NA"/>
  </r>
  <r>
    <x v="1"/>
    <x v="1"/>
    <s v="Ssiderea035586"/>
    <n v="2.6724933499999999"/>
    <n v="2.6539570600000002"/>
    <s v="Direct"/>
    <s v="Belongs to the protein-tyrosine phosphatase family. Non-receptor class myotubularin subfamily"/>
  </r>
  <r>
    <x v="1"/>
    <x v="1"/>
    <s v="Ssiderea035646"/>
    <n v="-2.6853083999999998"/>
    <n v="-2.2770250999999999"/>
    <s v="Direct"/>
    <s v="NA"/>
  </r>
  <r>
    <x v="1"/>
    <x v="1"/>
    <s v="Ssiderea035992"/>
    <n v="3.8255452700000001"/>
    <n v="1.5450933899999999"/>
    <s v="Direct"/>
    <s v="NA"/>
  </r>
  <r>
    <x v="1"/>
    <x v="1"/>
    <s v="Ssiderea035994"/>
    <n v="6.7502709000000003"/>
    <n v="2.3893243200000001"/>
    <s v="Direct"/>
    <s v="NA"/>
  </r>
  <r>
    <x v="1"/>
    <x v="1"/>
    <s v="Ssiderea036092"/>
    <n v="-2.9521299999999999"/>
    <n v="-1.0689592999999999"/>
    <s v="Direct"/>
    <s v="NA"/>
  </r>
  <r>
    <x v="1"/>
    <x v="1"/>
    <s v="Ssiderea036101"/>
    <n v="1.29912201"/>
    <n v="1.24186427"/>
    <s v="Direct"/>
    <s v="Tetratricopeptide repeat"/>
  </r>
  <r>
    <x v="1"/>
    <x v="1"/>
    <s v="Ssiderea036254"/>
    <n v="-2.6388919999999998"/>
    <n v="-1.5360510999999999"/>
    <s v="Direct"/>
    <s v="recombinational repair"/>
  </r>
  <r>
    <x v="1"/>
    <x v="1"/>
    <s v="Ssiderea036716"/>
    <n v="1.83940287"/>
    <n v="2.1008711500000001"/>
    <s v="Direct"/>
    <s v="structural constituent of cuticle"/>
  </r>
  <r>
    <x v="1"/>
    <x v="1"/>
    <s v="Ssiderea036721"/>
    <n v="2.39456501"/>
    <n v="2.5960956300000002"/>
    <s v="Direct"/>
    <s v="structural constituent of cuticle"/>
  </r>
  <r>
    <x v="1"/>
    <x v="1"/>
    <s v="Ssiderea036818"/>
    <n v="2.7172516600000001"/>
    <n v="1.71039498"/>
    <s v="Direct"/>
    <s v="NA"/>
  </r>
  <r>
    <x v="1"/>
    <x v="1"/>
    <s v="Ssiderea036881"/>
    <n v="-1.5500712000000001"/>
    <n v="-1.9724704"/>
    <s v="Direct"/>
    <s v="NA"/>
  </r>
  <r>
    <x v="1"/>
    <x v="1"/>
    <s v="Ssiderea037047"/>
    <n v="1.4963111600000001"/>
    <n v="1.76498701"/>
    <s v="Direct"/>
    <s v="NA"/>
  </r>
  <r>
    <x v="1"/>
    <x v="1"/>
    <s v="Ssiderea037401"/>
    <n v="-2.5808694999999999"/>
    <n v="-1.6533582"/>
    <s v="Direct"/>
    <s v="identical protein binding"/>
  </r>
  <r>
    <x v="1"/>
    <x v="1"/>
    <s v="Ssiderea037904"/>
    <n v="-1.2848835000000001"/>
    <n v="-2.0273888000000002"/>
    <s v="Direct"/>
    <s v="NA"/>
  </r>
  <r>
    <x v="1"/>
    <x v="1"/>
    <s v="Ssiderea038001"/>
    <n v="1.0441544199999999"/>
    <n v="1.68336843"/>
    <s v="Direct"/>
    <s v="TNF receptor-associated factor"/>
  </r>
  <r>
    <x v="1"/>
    <x v="1"/>
    <s v="Ssiderea038033"/>
    <n v="-1.5050656"/>
    <n v="-1.4807047"/>
    <s v="Direct"/>
    <s v="NA"/>
  </r>
  <r>
    <x v="1"/>
    <x v="1"/>
    <s v="Ssiderea038246"/>
    <n v="-2.3547587000000001"/>
    <n v="-1.2876327000000001"/>
    <s v="Direct"/>
    <s v="NA"/>
  </r>
  <r>
    <x v="1"/>
    <x v="1"/>
    <s v="Ssiderea038311"/>
    <n v="1.65798281"/>
    <n v="1.31668936"/>
    <s v="Direct"/>
    <s v="positive regulation of Arp2/3 complex-mediated actin nucleation"/>
  </r>
  <r>
    <x v="1"/>
    <x v="1"/>
    <s v="Ssiderea038424"/>
    <n v="-2.4854478000000002"/>
    <n v="-4.3765445999999999"/>
    <s v="Direct"/>
    <s v="NA"/>
  </r>
  <r>
    <x v="1"/>
    <x v="1"/>
    <s v="Ssiderea038513"/>
    <n v="-6.9416717999999999"/>
    <n v="-1.6965066"/>
    <s v="Direct"/>
    <s v="NA"/>
  </r>
  <r>
    <x v="1"/>
    <x v="1"/>
    <s v="Ssiderea038529"/>
    <n v="-3.8287984000000002"/>
    <n v="-3.0828652000000001"/>
    <s v="Direct"/>
    <s v="NA"/>
  </r>
  <r>
    <x v="1"/>
    <x v="1"/>
    <s v="Ssiderea038534"/>
    <n v="-13.671151"/>
    <n v="-5.8839084000000001"/>
    <s v="Direct"/>
    <s v="NA"/>
  </r>
  <r>
    <x v="1"/>
    <x v="1"/>
    <s v="Ssiderea038540"/>
    <n v="-8.4983898999999994"/>
    <n v="-1.0419480999999999"/>
    <s v="Direct"/>
    <s v="NA"/>
  </r>
  <r>
    <x v="1"/>
    <x v="1"/>
    <s v="Ssiderea038632"/>
    <n v="-2.8016165000000002"/>
    <n v="-3.3250350000000002"/>
    <s v="Direct"/>
    <s v="zinc ion binding"/>
  </r>
  <r>
    <x v="1"/>
    <x v="1"/>
    <s v="Ssiderea038648"/>
    <n v="-1.2465754"/>
    <n v="-1.0172041000000001"/>
    <s v="Direct"/>
    <s v="positive regulation of interleukin-4-mediated signaling pathway"/>
  </r>
  <r>
    <x v="1"/>
    <x v="1"/>
    <s v="Ssiderea038847"/>
    <n v="4.3480567600000004"/>
    <n v="5.7716294799999996"/>
    <s v="Direct"/>
    <s v="NA"/>
  </r>
  <r>
    <x v="1"/>
    <x v="1"/>
    <s v="Ssiderea038854"/>
    <n v="1.1119628500000001"/>
    <n v="1.3471936799999999"/>
    <s v="Direct"/>
    <s v="tripartite motif containing 71, E3 ubiquitin protein ligase"/>
  </r>
  <r>
    <x v="1"/>
    <x v="1"/>
    <s v="Ssiderea038885"/>
    <n v="2.9557985499999999"/>
    <n v="4.2092644400000001"/>
    <s v="Direct"/>
    <s v="NA"/>
  </r>
  <r>
    <x v="1"/>
    <x v="1"/>
    <s v="Ssiderea038962"/>
    <n v="1.2984213899999999"/>
    <n v="1.13164493"/>
    <s v="Direct"/>
    <s v="Bardet-Biedl syndrome 4"/>
  </r>
  <r>
    <x v="1"/>
    <x v="1"/>
    <s v="Ssiderea039115"/>
    <n v="2.10844553"/>
    <n v="1.8664249399999999"/>
    <s v="Direct"/>
    <s v="NA"/>
  </r>
  <r>
    <x v="1"/>
    <x v="1"/>
    <s v="Ssiderea039175"/>
    <n v="-1.7816086"/>
    <n v="-2.4908163000000001"/>
    <s v="Direct"/>
    <s v="glycosylceramidase activity"/>
  </r>
  <r>
    <x v="1"/>
    <x v="1"/>
    <s v="Ssiderea039227"/>
    <n v="1.7439715899999999"/>
    <n v="3.3417067199999999"/>
    <s v="Direct"/>
    <s v="NA"/>
  </r>
  <r>
    <x v="1"/>
    <x v="1"/>
    <s v="Ssiderea039506"/>
    <n v="1.34778077"/>
    <n v="2.2364124699999999"/>
    <s v="Direct"/>
    <s v="binding of sperm to zona pellucida"/>
  </r>
  <r>
    <x v="1"/>
    <x v="1"/>
    <s v="Ssiderea039605"/>
    <n v="-1.0564937000000001"/>
    <n v="-3.8621547999999999"/>
    <s v="Direct"/>
    <s v="phosphoethanolamine N-methyltransferase"/>
  </r>
  <r>
    <x v="1"/>
    <x v="1"/>
    <s v="Ssiderea039623"/>
    <n v="2.05642601"/>
    <n v="2.9775102200000001"/>
    <s v="Direct"/>
    <s v="HELP motif"/>
  </r>
  <r>
    <x v="1"/>
    <x v="1"/>
    <s v="Ssiderea039744"/>
    <n v="-1.5615576"/>
    <n v="-1.0389059"/>
    <s v="Direct"/>
    <s v="NA"/>
  </r>
  <r>
    <x v="1"/>
    <x v="1"/>
    <s v="Ssiderea039926"/>
    <n v="2.6850122399999998"/>
    <n v="1.05475206"/>
    <s v="Direct"/>
    <s v="Protein tyrosine kinase"/>
  </r>
  <r>
    <x v="1"/>
    <x v="1"/>
    <s v="Ssiderea039935"/>
    <n v="3.8287984399999999"/>
    <n v="1.3370242400000001"/>
    <s v="Direct"/>
    <s v="NA"/>
  </r>
  <r>
    <x v="1"/>
    <x v="1"/>
    <s v="Ssiderea040857"/>
    <n v="-1.012305"/>
    <n v="-1.1361315999999999"/>
    <s v="Direct"/>
    <s v="Sialic acid binding Ig-like lectin 1, sialoadhesin"/>
  </r>
  <r>
    <x v="1"/>
    <x v="1"/>
    <s v="Ssiderea040898"/>
    <n v="1.4282864500000001"/>
    <n v="1.00911061"/>
    <s v="Direct"/>
    <s v="Hemicentin 1"/>
  </r>
  <r>
    <x v="1"/>
    <x v="1"/>
    <s v="Ssiderea041210"/>
    <n v="1.2928650699999999"/>
    <n v="2.0575047899999999"/>
    <s v="Direct"/>
    <s v="coreceptor activity involved in Wnt signaling pathway, planar cell polarity pathway"/>
  </r>
  <r>
    <x v="1"/>
    <x v="1"/>
    <s v="Ssiderea041257"/>
    <n v="1.86990872"/>
    <n v="1.2349543599999999"/>
    <s v="Direct"/>
    <s v="NA"/>
  </r>
  <r>
    <x v="1"/>
    <x v="1"/>
    <s v="Ssiderea041337"/>
    <n v="1.74781841"/>
    <n v="2.0309231699999999"/>
    <s v="Direct"/>
    <s v="Common central domain of tyrosinase"/>
  </r>
  <r>
    <x v="1"/>
    <x v="1"/>
    <s v="Ssiderea041532"/>
    <n v="-1.4034310000000001"/>
    <n v="-1.1864524999999999"/>
    <s v="Direct"/>
    <s v="DBH-like monooxygenase protein 1"/>
  </r>
  <r>
    <x v="1"/>
    <x v="1"/>
    <s v="Ssiderea041622"/>
    <n v="2.6136091800000001"/>
    <n v="1.5403380099999999"/>
    <s v="Direct"/>
    <s v="Collagen triple helix"/>
  </r>
  <r>
    <x v="1"/>
    <x v="1"/>
    <s v="Ssiderea041679"/>
    <n v="4.6854698800000003"/>
    <n v="3.0342593500000001"/>
    <s v="Direct"/>
    <s v="Collagen triple helix"/>
  </r>
  <r>
    <x v="1"/>
    <x v="1"/>
    <s v="Ssiderea041712"/>
    <n v="5.0736422499999998"/>
    <n v="3.0247344900000002"/>
    <s v="Direct"/>
    <s v="Protein tyrosine kinase"/>
  </r>
  <r>
    <x v="1"/>
    <x v="1"/>
    <s v="Ssiderea041724"/>
    <n v="-1.6660944"/>
    <n v="-1.3442168000000001"/>
    <s v="Direct"/>
    <s v="Protein tyrosine kinase"/>
  </r>
  <r>
    <x v="1"/>
    <x v="1"/>
    <s v="Ssiderea041746"/>
    <n v="5.0171870700000003"/>
    <n v="5.26881091"/>
    <s v="Direct"/>
    <s v="Protein tyrosine kinase"/>
  </r>
  <r>
    <x v="1"/>
    <x v="1"/>
    <s v="Ssiderea042200"/>
    <n v="2.2048866899999999"/>
    <n v="1.0184279899999999"/>
    <s v="Direct"/>
    <s v="BTB And C-terminal Kelch"/>
  </r>
  <r>
    <x v="1"/>
    <x v="1"/>
    <s v="Ssiderea042386"/>
    <n v="1.8858878100000001"/>
    <n v="1.08091716"/>
    <s v="Direct"/>
    <s v="HMG box domain containing 3"/>
  </r>
  <r>
    <x v="1"/>
    <x v="1"/>
    <s v="Ssiderea042649"/>
    <n v="2.4879759300000002"/>
    <n v="2.7017340399999998"/>
    <s v="Direct"/>
    <s v="Lipoxygenase"/>
  </r>
  <r>
    <x v="1"/>
    <x v="1"/>
    <s v="Ssiderea042655"/>
    <n v="1.0614421599999999"/>
    <n v="1.9218667199999999"/>
    <s v="Direct"/>
    <s v="betaine-homocysteine S-methyltransferase activity"/>
  </r>
  <r>
    <x v="1"/>
    <x v="1"/>
    <s v="Ssiderea042804"/>
    <n v="1.3068862800000001"/>
    <n v="2.2432676699999998"/>
    <s v="Direct"/>
    <s v="Histone H1"/>
  </r>
  <r>
    <x v="1"/>
    <x v="1"/>
    <s v="Ssiderea043041"/>
    <n v="-1.8748762000000001"/>
    <n v="-1.5025029999999999"/>
    <s v="Direct"/>
    <s v="NA"/>
  </r>
  <r>
    <x v="1"/>
    <x v="1"/>
    <s v="Ssiderea043085"/>
    <n v="-1.5657715999999999"/>
    <n v="-3.2196281999999998"/>
    <s v="Direct"/>
    <s v="NA"/>
  </r>
  <r>
    <x v="1"/>
    <x v="1"/>
    <s v="Ssiderea043280"/>
    <n v="-1.2267163000000001"/>
    <n v="-1.5223435999999999"/>
    <s v="Direct"/>
    <s v="NA"/>
  </r>
  <r>
    <x v="1"/>
    <x v="1"/>
    <s v="Ssiderea043285"/>
    <n v="-3.3407632999999999"/>
    <n v="-1.2998505"/>
    <s v="Direct"/>
    <s v="NA"/>
  </r>
  <r>
    <x v="1"/>
    <x v="1"/>
    <s v="Ssiderea043312"/>
    <n v="-4.0521178000000004"/>
    <n v="-3.9264863000000001"/>
    <s v="Direct"/>
    <s v="NA"/>
  </r>
  <r>
    <x v="1"/>
    <x v="1"/>
    <s v="Ssiderea043316"/>
    <n v="1.06223198"/>
    <n v="1.02458899"/>
    <s v="Direct"/>
    <s v="NA"/>
  </r>
  <r>
    <x v="1"/>
    <x v="1"/>
    <s v="Ssiderea043459"/>
    <n v="-1.8329001"/>
    <n v="-1.0360224"/>
    <s v="Direct"/>
    <s v="NA"/>
  </r>
  <r>
    <x v="1"/>
    <x v="1"/>
    <s v="Ssiderea043482"/>
    <n v="2.75330019"/>
    <n v="1.27664709"/>
    <s v="Direct"/>
    <s v="regulation of mitotic cell cycle"/>
  </r>
  <r>
    <x v="1"/>
    <x v="1"/>
    <s v="Ssiderea043956"/>
    <n v="-4.6854699000000002"/>
    <n v="-1.3125791"/>
    <s v="Direct"/>
    <s v="serine-type endopeptidase activity"/>
  </r>
  <r>
    <x v="1"/>
    <x v="1"/>
    <s v="Ssiderea044482"/>
    <n v="1.3261333099999999"/>
    <n v="5.2695716499999996"/>
    <s v="Direct"/>
    <s v="Belongs to the small heat shock protein (HSP20) family"/>
  </r>
  <r>
    <x v="1"/>
    <x v="1"/>
    <s v="Ssiderea044483"/>
    <n v="-1.2143022000000001"/>
    <n v="-1.8841509000000001"/>
    <s v="Direct"/>
    <s v="NA"/>
  </r>
  <r>
    <x v="1"/>
    <x v="1"/>
    <s v="Ssiderea044708"/>
    <n v="-4.5179583000000001"/>
    <n v="-3.9647157000000002"/>
    <s v="Direct"/>
    <s v="NA"/>
  </r>
  <r>
    <x v="1"/>
    <x v="1"/>
    <s v="Ssiderea044734"/>
    <n v="-1.1293827000000001"/>
    <n v="-1.4181885999999999"/>
    <s v="Direct"/>
    <s v="NA"/>
  </r>
  <r>
    <x v="1"/>
    <x v="1"/>
    <s v="Ssiderea044854"/>
    <n v="2.922841"/>
    <n v="2.09232738"/>
    <s v="Direct"/>
    <s v="Common central domain of tyrosinase"/>
  </r>
  <r>
    <x v="1"/>
    <x v="1"/>
    <s v="Ssiderea044870"/>
    <n v="1.59808631"/>
    <n v="4.1645286800000001"/>
    <s v="Direct"/>
    <s v="NA"/>
  </r>
  <r>
    <x v="1"/>
    <x v="1"/>
    <s v="Ssiderea044913"/>
    <n v="3.1044535"/>
    <n v="1.9908514100000001"/>
    <s v="Direct"/>
    <s v="mannose binding"/>
  </r>
  <r>
    <x v="1"/>
    <x v="1"/>
    <s v="Ssiderea045388"/>
    <n v="1.3211595700000001"/>
    <n v="1.3273633899999999"/>
    <s v="Direct"/>
    <s v="Trypsin-like serine protease"/>
  </r>
  <r>
    <x v="1"/>
    <x v="1"/>
    <s v="Ssiderea045632"/>
    <n v="-1.1608746000000001"/>
    <n v="-1.6222877"/>
    <s v="Direct"/>
    <s v="NA"/>
  </r>
  <r>
    <x v="1"/>
    <x v="1"/>
    <s v="Ssiderea045796"/>
    <n v="1.5365772900000001"/>
    <n v="2.0200916699999998"/>
    <s v="Direct"/>
    <s v="activation of NF-kappaB-inducing kinase activity"/>
  </r>
  <r>
    <x v="1"/>
    <x v="1"/>
    <s v="Ssiderea045838"/>
    <n v="7.4421316600000003"/>
    <n v="4.2625781299999996"/>
    <s v="Direct"/>
    <s v="NA"/>
  </r>
  <r>
    <x v="1"/>
    <x v="1"/>
    <s v="Ssiderea045841"/>
    <n v="4.8887710100000001"/>
    <n v="1.9935205499999999"/>
    <s v="Direct"/>
    <s v="NA"/>
  </r>
  <r>
    <x v="1"/>
    <x v="1"/>
    <s v="Ssiderea045978"/>
    <n v="-2.7945831000000001"/>
    <n v="-2.6703592999999999"/>
    <s v="Direct"/>
    <s v="BRCA1 interacting protein C-terminal helicase 1"/>
  </r>
  <r>
    <x v="1"/>
    <x v="1"/>
    <s v="Ssiderea045999"/>
    <n v="-1.3299112"/>
    <n v="-3.3250350000000002"/>
    <s v="Direct"/>
    <s v="Belongs to the peptidase C14A family"/>
  </r>
  <r>
    <x v="1"/>
    <x v="1"/>
    <s v="Ssiderea046340"/>
    <n v="-1.7720278"/>
    <n v="-1.7133791"/>
    <s v="Direct"/>
    <s v="IMP dehydrogenase activity"/>
  </r>
  <r>
    <x v="1"/>
    <x v="1"/>
    <s v="Ssiderea046764"/>
    <n v="1.496264"/>
    <n v="1.24220218"/>
    <s v="Direct"/>
    <s v="NA"/>
  </r>
  <r>
    <x v="1"/>
    <x v="1"/>
    <s v="Ssiderea046967"/>
    <n v="1.22671631"/>
    <n v="1.35865569"/>
    <s v="Direct"/>
    <s v="NA"/>
  </r>
  <r>
    <x v="1"/>
    <x v="1"/>
    <s v="Ssiderea047003"/>
    <n v="1.13058817"/>
    <n v="1.01973259"/>
    <s v="Direct"/>
    <s v="NA"/>
  </r>
  <r>
    <x v="1"/>
    <x v="1"/>
    <s v="Ssiderea047138"/>
    <n v="1.60578033"/>
    <n v="2.3940679899999999"/>
    <s v="Direct"/>
    <s v="NA"/>
  </r>
  <r>
    <x v="1"/>
    <x v="1"/>
    <s v="Ssiderea047183"/>
    <n v="-1.1141642"/>
    <n v="-2.2432677000000001"/>
    <s v="Direct"/>
    <s v="Tripartite motif-containing protein"/>
  </r>
  <r>
    <x v="1"/>
    <x v="1"/>
    <s v="Ssiderea047590"/>
    <n v="-2.1559528000000001"/>
    <n v="-7.2555237000000004"/>
    <s v="Direct"/>
    <s v="clustering of voltage-gated sodium channels"/>
  </r>
  <r>
    <x v="1"/>
    <x v="1"/>
    <s v="Ssiderea047591"/>
    <n v="-3.8955456000000002"/>
    <n v="-1.4695583999999999"/>
    <s v="Direct"/>
    <s v="NA"/>
  </r>
  <r>
    <x v="1"/>
    <x v="1"/>
    <s v="Ssiderea047607"/>
    <n v="7.3230401499999997"/>
    <n v="2.8900690899999999"/>
    <s v="Direct"/>
    <s v="NA"/>
  </r>
  <r>
    <x v="1"/>
    <x v="1"/>
    <s v="Ssiderea047867"/>
    <n v="-2.9169025999999998"/>
    <n v="-1.7691011999999999"/>
    <s v="Direct"/>
    <s v="Belongs to the peptidase M10A family"/>
  </r>
  <r>
    <x v="1"/>
    <x v="1"/>
    <s v="Ssiderea047913"/>
    <n v="2.2548065899999998"/>
    <n v="1.64532243"/>
    <s v="Direct"/>
    <s v="NA"/>
  </r>
  <r>
    <x v="1"/>
    <x v="1"/>
    <s v="Ssiderea047925"/>
    <n v="-1.3292550999999999"/>
    <n v="-1.4281261999999999"/>
    <s v="Direct"/>
    <s v="activation of NF-kappaB-inducing kinase activity"/>
  </r>
  <r>
    <x v="1"/>
    <x v="1"/>
    <s v="Ssiderea047931"/>
    <n v="1.25628483"/>
    <n v="1.20362879"/>
    <s v="Direct"/>
    <s v="activation of NF-kappaB-inducing kinase activity"/>
  </r>
  <r>
    <x v="1"/>
    <x v="1"/>
    <s v="Ssiderea047942"/>
    <n v="-1.3943236999999999"/>
    <n v="-1.7097526999999999"/>
    <s v="Direct"/>
    <s v="activation of NF-kappaB-inducing kinase activity"/>
  </r>
  <r>
    <x v="1"/>
    <x v="1"/>
    <s v="Ssiderea048220"/>
    <n v="-2.6850122000000001"/>
    <n v="-1.4153808000000001"/>
    <s v="Direct"/>
    <s v="Farnesoic acid 0-methyl transferase"/>
  </r>
  <r>
    <x v="1"/>
    <x v="1"/>
    <s v="Ssiderea048506"/>
    <n v="-1.5980863000000001"/>
    <n v="-2.3705047000000001"/>
    <s v="Direct"/>
    <s v="inositol hexakisphosphate 6-kinase activity"/>
  </r>
  <r>
    <x v="1"/>
    <x v="1"/>
    <s v="Ssiderea048618"/>
    <n v="-5.8513850999999999"/>
    <n v="-2.2048052"/>
    <s v="Direct"/>
    <s v="sequence-specific DNA binding"/>
  </r>
  <r>
    <x v="1"/>
    <x v="1"/>
    <s v="Ssiderea048749"/>
    <n v="-1.1302819"/>
    <n v="-2.3876493000000001"/>
    <s v="Direct"/>
    <s v="NA"/>
  </r>
  <r>
    <x v="1"/>
    <x v="1"/>
    <s v="Ssiderea048803"/>
    <n v="1.04075947"/>
    <n v="2.5935684499999998"/>
    <s v="Direct"/>
    <s v="NA"/>
  </r>
  <r>
    <x v="1"/>
    <x v="1"/>
    <s v="Ssiderea048817"/>
    <n v="1.41778391"/>
    <n v="1.5452116899999999"/>
    <s v="Direct"/>
    <s v="NA"/>
  </r>
  <r>
    <x v="1"/>
    <x v="1"/>
    <s v="Ssiderea048834"/>
    <n v="-1.1976209"/>
    <n v="-1.5962483000000001"/>
    <s v="Direct"/>
    <s v="NA"/>
  </r>
  <r>
    <x v="1"/>
    <x v="1"/>
    <s v="Ssiderea048843"/>
    <n v="1.84802336"/>
    <n v="1.56978518"/>
    <s v="Direct"/>
    <s v="GABA-A receptor activity"/>
  </r>
  <r>
    <x v="1"/>
    <x v="1"/>
    <s v="Ssiderea048941"/>
    <n v="-2.0699209999999999"/>
    <n v="-1.1541811"/>
    <s v="Direct"/>
    <s v="NA"/>
  </r>
  <r>
    <x v="1"/>
    <x v="1"/>
    <s v="Ssiderea049008"/>
    <n v="1.2625281900000001"/>
    <n v="1.3019471"/>
    <s v="Direct"/>
    <s v="positive regulation of smooth muscle cell-matrix adhesion"/>
  </r>
  <r>
    <x v="1"/>
    <x v="1"/>
    <s v="Ssiderea049012"/>
    <n v="-1.0049882999999999"/>
    <n v="-1.034518"/>
    <s v="Direct"/>
    <s v="NA"/>
  </r>
  <r>
    <x v="1"/>
    <x v="1"/>
    <s v="Ssiderea049034"/>
    <n v="-1.5982554"/>
    <n v="-3.2108433999999999"/>
    <s v="Direct"/>
    <s v="NA"/>
  </r>
  <r>
    <x v="1"/>
    <x v="1"/>
    <s v="Ssiderea049036"/>
    <n v="-4.2650478999999999"/>
    <n v="-3.4642436999999999"/>
    <s v="Direct"/>
    <s v="NA"/>
  </r>
  <r>
    <x v="1"/>
    <x v="1"/>
    <s v="Ssiderea049067"/>
    <n v="1.34116419"/>
    <n v="1.11966341"/>
    <s v="Direct"/>
    <s v="NA"/>
  </r>
  <r>
    <x v="1"/>
    <x v="1"/>
    <s v="Ssiderea049260"/>
    <n v="-3.3892259"/>
    <n v="-2.1398093"/>
    <s v="Direct"/>
    <s v="receptor localization to synapse"/>
  </r>
  <r>
    <x v="1"/>
    <x v="1"/>
    <s v="Ssiderea049326"/>
    <n v="-1.4272928"/>
    <n v="-1.3913181999999999"/>
    <s v="Direct"/>
    <s v="NA"/>
  </r>
  <r>
    <x v="1"/>
    <x v="1"/>
    <s v="Ssiderea049435"/>
    <n v="1.6674058300000001"/>
    <n v="1.2402924"/>
    <s v="Direct"/>
    <s v="UPF0554 protein C2orf43 homolog"/>
  </r>
  <r>
    <x v="1"/>
    <x v="1"/>
    <s v="Ssiderea049467"/>
    <n v="1.90010656"/>
    <n v="3.4135438699999998"/>
    <s v="Direct"/>
    <s v="mitotic cell cycle checkpoint"/>
  </r>
  <r>
    <x v="1"/>
    <x v="1"/>
    <s v="Ssiderea049798"/>
    <n v="1.4257869700000001"/>
    <n v="1.30216859"/>
    <s v="Direct"/>
    <s v="NA"/>
  </r>
  <r>
    <x v="1"/>
    <x v="1"/>
    <s v="Ssiderea049997"/>
    <n v="1.7967984699999999"/>
    <n v="2.6539570600000002"/>
    <s v="Direct"/>
    <s v="NA"/>
  </r>
  <r>
    <x v="1"/>
    <x v="1"/>
    <s v="Ssiderea050053"/>
    <n v="2.4029220800000002"/>
    <n v="1.0652366799999999"/>
    <s v="Direct"/>
    <s v="fructose-bisphosphate aldolase"/>
  </r>
  <r>
    <x v="1"/>
    <x v="1"/>
    <s v="Ssiderea050623"/>
    <n v="9.2006835200000001"/>
    <n v="3.2840886999999999"/>
    <s v="Direct"/>
    <s v="Nucleus accumbens associated 1, BEN and BTB (POZ) domain containing"/>
  </r>
  <r>
    <x v="1"/>
    <x v="1"/>
    <s v="Ssiderea050930"/>
    <n v="1.39219783"/>
    <n v="1.3873966600000001"/>
    <s v="Direct"/>
    <s v="NA"/>
  </r>
  <r>
    <x v="1"/>
    <x v="1"/>
    <s v="Ssiderea051110"/>
    <n v="-1.8739686"/>
    <n v="-1.1610611"/>
    <s v="Direct"/>
    <s v="DNA-directed DNA polymerase activity"/>
  </r>
  <r>
    <x v="1"/>
    <x v="1"/>
    <s v="Ssiderea051186"/>
    <n v="1.4007122000000001"/>
    <n v="1.4131411899999999"/>
    <s v="Direct"/>
    <s v="NA"/>
  </r>
  <r>
    <x v="1"/>
    <x v="1"/>
    <s v="Ssiderea051572"/>
    <n v="-1.1485053000000001"/>
    <n v="-1.1331236"/>
    <s v="Direct"/>
    <s v="HNK-1 sulfotransferase activity"/>
  </r>
  <r>
    <x v="1"/>
    <x v="1"/>
    <s v="Ssiderea051796"/>
    <n v="2.1321949500000001"/>
    <n v="4.4694185700000002"/>
    <s v="Direct"/>
    <s v="Glycosyl hydrolase family 20, catalytic domain"/>
  </r>
  <r>
    <x v="1"/>
    <x v="1"/>
    <s v="Ssiderea051914"/>
    <n v="-2.2950366999999998"/>
    <n v="-2.4599677999999998"/>
    <s v="Direct"/>
    <s v="axoneme assembly"/>
  </r>
  <r>
    <x v="1"/>
    <x v="1"/>
    <s v="Ssiderea051932"/>
    <n v="-1.0440894999999999"/>
    <n v="-1.1066461000000001"/>
    <s v="Direct"/>
    <s v="coagulation factor V"/>
  </r>
  <r>
    <x v="1"/>
    <x v="1"/>
    <s v="Ssiderea052157"/>
    <n v="1.6189666700000001"/>
    <n v="1.0332964899999999"/>
    <s v="Direct"/>
    <s v="NA"/>
  </r>
  <r>
    <x v="1"/>
    <x v="1"/>
    <s v="Ssiderea052159"/>
    <n v="-1.2083493000000001"/>
    <n v="-2.2103856999999998"/>
    <s v="Direct"/>
    <s v="Lipoxygenase homology 2 (beta barrel) domain"/>
  </r>
  <r>
    <x v="1"/>
    <x v="1"/>
    <s v="Ssiderea052362"/>
    <n v="1.5264814900000001"/>
    <n v="1.5025872499999999"/>
    <s v="Direct"/>
    <s v="NA"/>
  </r>
  <r>
    <x v="1"/>
    <x v="1"/>
    <s v="Ssiderea052518"/>
    <n v="-4.1650469000000001"/>
    <n v="-1.5576890999999999"/>
    <s v="Direct"/>
    <s v="NA"/>
  </r>
  <r>
    <x v="1"/>
    <x v="1"/>
    <s v="Ssiderea052656"/>
    <n v="-3.0035398999999998"/>
    <n v="-5.5631051999999999"/>
    <s v="Direct"/>
    <s v="carbohydrate binding"/>
  </r>
  <r>
    <x v="1"/>
    <x v="1"/>
    <s v="Ssiderea053017"/>
    <n v="1.02841264"/>
    <n v="1.61444795"/>
    <s v="Direct"/>
    <s v="Interferon induced with helicase C domain 1"/>
  </r>
  <r>
    <x v="1"/>
    <x v="1"/>
    <s v="Ssiderea053115"/>
    <n v="-5.0171871000000001"/>
    <n v="-4.6894932999999996"/>
    <s v="Direct"/>
    <s v="Structural maintenance of chromosomes"/>
  </r>
  <r>
    <x v="1"/>
    <x v="1"/>
    <s v="Ssiderea053364"/>
    <n v="2.1869299099999999"/>
    <n v="1.85439098"/>
    <s v="Direct"/>
    <s v="Common central domain of tyrosinase"/>
  </r>
  <r>
    <x v="1"/>
    <x v="1"/>
    <s v="Ssiderea053371"/>
    <n v="3.1457178099999998"/>
    <n v="1.0091644099999999"/>
    <s v="Direct"/>
    <s v="Common central domain of tyrosinase"/>
  </r>
  <r>
    <x v="1"/>
    <x v="1"/>
    <s v="Ssiderea053696"/>
    <n v="-1.0772520999999999"/>
    <n v="-4.4885298999999996"/>
    <s v="Direct"/>
    <s v="NA"/>
  </r>
  <r>
    <x v="1"/>
    <x v="1"/>
    <s v="Ssiderea053724"/>
    <n v="-4.7123710000000001"/>
    <n v="-3.5739751000000002"/>
    <s v="Direct"/>
    <s v="NA"/>
  </r>
  <r>
    <x v="1"/>
    <x v="1"/>
    <s v="Ssiderea053828"/>
    <n v="3.1044535"/>
    <n v="2.6539570600000002"/>
    <s v="Direct"/>
    <s v="NA"/>
  </r>
  <r>
    <x v="1"/>
    <x v="1"/>
    <s v="Ssiderea054400"/>
    <n v="2.4266741000000001"/>
    <n v="2.75886283"/>
    <s v="Direct"/>
    <s v="NA"/>
  </r>
  <r>
    <x v="1"/>
    <x v="1"/>
    <s v="Ssiderea054582"/>
    <n v="-1.3221274999999999"/>
    <n v="-1.5223435999999999"/>
    <s v="Direct"/>
    <s v="Belongs to the G-protein coupled receptor 2 family"/>
  </r>
  <r>
    <x v="1"/>
    <x v="1"/>
    <s v="Ssiderea054683"/>
    <n v="-1.0914965000000001"/>
    <n v="-1.0184280000000001"/>
    <s v="Direct"/>
    <s v="NA"/>
  </r>
  <r>
    <x v="1"/>
    <x v="1"/>
    <s v="Ssiderea054891"/>
    <n v="-1.0001139999999999"/>
    <n v="2.532896"/>
    <s v="Inverse"/>
    <s v="aryl sulfotransferase activity"/>
  </r>
  <r>
    <x v="1"/>
    <x v="1"/>
    <s v="Ssiderea055324"/>
    <n v="-2.5968007000000002"/>
    <n v="-2.4954187999999999"/>
    <s v="Direct"/>
    <s v="regulation of systemic arterial blood pressure by aortic arch baroreceptor feedback"/>
  </r>
  <r>
    <x v="1"/>
    <x v="1"/>
    <s v="Ssiderea056118"/>
    <n v="-1.2683253999999999"/>
    <n v="-2.0309232000000002"/>
    <s v="Direct"/>
    <s v="NA"/>
  </r>
  <r>
    <x v="1"/>
    <x v="1"/>
    <s v="Ssiderea056460"/>
    <n v="1.0509774000000001"/>
    <n v="7.0239617299999999"/>
    <s v="Direct"/>
    <s v="NA"/>
  </r>
  <r>
    <x v="1"/>
    <x v="1"/>
    <s v="Ssiderea056771"/>
    <n v="1.42963134"/>
    <n v="1.10664615"/>
    <s v="Direct"/>
    <s v="histidine transport"/>
  </r>
  <r>
    <x v="1"/>
    <x v="1"/>
    <s v="Ssiderea056809"/>
    <n v="1.42216151"/>
    <n v="1.3734679999999999"/>
    <s v="Direct"/>
    <s v="NA"/>
  </r>
  <r>
    <x v="1"/>
    <x v="1"/>
    <s v="Ssiderea057248"/>
    <n v="2.2704766799999998"/>
    <n v="7.0239617299999999"/>
    <s v="Direct"/>
    <s v="NA"/>
  </r>
  <r>
    <x v="1"/>
    <x v="1"/>
    <s v="Ssiderea057290"/>
    <n v="1.2298969"/>
    <n v="2.01569479"/>
    <s v="Direct"/>
    <s v="NA"/>
  </r>
  <r>
    <x v="1"/>
    <x v="1"/>
    <s v="Ssiderea057306"/>
    <n v="-5.3073058"/>
    <n v="-4.5369267000000004"/>
    <s v="Direct"/>
    <s v="NA"/>
  </r>
  <r>
    <x v="1"/>
    <x v="1"/>
    <s v="Ssiderea057323"/>
    <n v="-1.2863651"/>
    <n v="-2.0309232000000002"/>
    <s v="Direct"/>
    <s v="Hydrolase activity, acting on carbon-nitrogen (but not peptide) bonds, in linear amides. It is involved in the biological process described with nitrogen compound metabolic process"/>
  </r>
  <r>
    <x v="1"/>
    <x v="1"/>
    <s v="Ssiderea057744"/>
    <n v="1.3287327200000001"/>
    <n v="1.80335014"/>
    <s v="Direct"/>
    <s v="Cytochrome P450"/>
  </r>
  <r>
    <x v="1"/>
    <x v="1"/>
    <s v="Ssiderea057794"/>
    <n v="-1.0577346000000001"/>
    <n v="-1.0530697"/>
    <s v="Direct"/>
    <s v="Peptidase family M28"/>
  </r>
  <r>
    <x v="1"/>
    <x v="1"/>
    <s v="Ssiderea057909"/>
    <n v="-1.0195509"/>
    <n v="-1.3793435999999999"/>
    <s v="Direct"/>
    <s v="NA"/>
  </r>
  <r>
    <x v="1"/>
    <x v="1"/>
    <s v="Ssiderea057978"/>
    <n v="1.2786098800000001"/>
    <n v="1.1236061399999999"/>
    <s v="Direct"/>
    <s v="NA"/>
  </r>
  <r>
    <x v="1"/>
    <x v="1"/>
    <s v="Ssiderea058012"/>
    <n v="5.7924512899999998"/>
    <n v="4.3326482100000003"/>
    <s v="Direct"/>
    <s v="UDP-Gal betaGlcNAc beta 1,4- galactosyltransferase, polypeptide"/>
  </r>
  <r>
    <x v="1"/>
    <x v="1"/>
    <s v="Ssiderea058022"/>
    <n v="2.1867231299999998"/>
    <n v="2.0309231699999999"/>
    <s v="Direct"/>
    <s v="NA"/>
  </r>
  <r>
    <x v="1"/>
    <x v="1"/>
    <s v="Ssiderea058081"/>
    <n v="3.8622785500000001"/>
    <n v="1.75253093"/>
    <s v="Direct"/>
    <s v="NA"/>
  </r>
  <r>
    <x v="1"/>
    <x v="1"/>
    <s v="Ssiderea058082"/>
    <n v="-1.2158021000000001"/>
    <n v="-1.1729018"/>
    <s v="Direct"/>
    <s v="Si ch211-69l10.4"/>
  </r>
  <r>
    <x v="1"/>
    <x v="1"/>
    <s v="Ssiderea058118"/>
    <n v="-1.9538120999999999"/>
    <n v="-1.1527385000000001"/>
    <s v="Direct"/>
    <s v="Myb/SANT-like DNA-binding domain"/>
  </r>
  <r>
    <x v="1"/>
    <x v="1"/>
    <s v="Ssiderea058353"/>
    <n v="1.0309215"/>
    <n v="1.75274032"/>
    <s v="Direct"/>
    <s v="Common central domain of tyrosinase"/>
  </r>
  <r>
    <x v="1"/>
    <x v="1"/>
    <s v="Ssiderea058589"/>
    <n v="-2.0860623"/>
    <n v="-1.8296081"/>
    <s v="Direct"/>
    <s v="NA"/>
  </r>
  <r>
    <x v="1"/>
    <x v="1"/>
    <s v="Ssiderea058642"/>
    <n v="-2.8016165000000002"/>
    <n v="-4.2294149000000001"/>
    <s v="Direct"/>
    <s v="NA"/>
  </r>
  <r>
    <x v="1"/>
    <x v="1"/>
    <s v="Ssiderea058877"/>
    <n v="2.9276524899999998"/>
    <n v="1.9063449100000001"/>
    <s v="Direct"/>
    <s v="positive regulation of glutamate neurotransmitter secretion in response to membrane depolarization"/>
  </r>
  <r>
    <x v="1"/>
    <x v="1"/>
    <s v="Ssiderea058965"/>
    <n v="-2.6388919999999998"/>
    <n v="-1.9124105"/>
    <s v="Direct"/>
    <s v="NA"/>
  </r>
  <r>
    <x v="1"/>
    <x v="1"/>
    <s v="Ssiderea058971"/>
    <n v="2.0541364500000001"/>
    <n v="5.3351164100000004"/>
    <s v="Direct"/>
    <s v="NA"/>
  </r>
  <r>
    <x v="1"/>
    <x v="1"/>
    <s v="Ssiderea059105"/>
    <n v="3.2160528899999998"/>
    <n v="1.3392641300000001"/>
    <s v="Direct"/>
    <s v="Translocase of inner mitochondrial membrane 21"/>
  </r>
  <r>
    <x v="1"/>
    <x v="1"/>
    <s v="Ssiderea059158"/>
    <n v="-1.4007122000000001"/>
    <n v="-1.0332965000000001"/>
    <s v="Direct"/>
    <s v="four-way junction helicase activity"/>
  </r>
  <r>
    <x v="1"/>
    <x v="1"/>
    <s v="Ssiderea059167"/>
    <n v="-1.0381171"/>
    <n v="-1.1047908"/>
    <s v="Direct"/>
    <s v="NA"/>
  </r>
  <r>
    <x v="1"/>
    <x v="1"/>
    <s v="Ssiderea59194"/>
    <n v="-1.0707298999999999"/>
    <n v="-1.2913196"/>
    <s v="Direct"/>
    <s v="NA"/>
  </r>
  <r>
    <x v="1"/>
    <x v="1"/>
    <s v="Ssiderea59378"/>
    <n v="2.4662253299999999"/>
    <n v="1.04676904"/>
    <s v="Direct"/>
    <s v="NA"/>
  </r>
  <r>
    <x v="1"/>
    <x v="1"/>
    <s v="Ssiderea59438"/>
    <n v="-2.6436709"/>
    <n v="-1.030742"/>
    <s v="Direct"/>
    <s v="NA"/>
  </r>
  <r>
    <x v="1"/>
    <x v="1"/>
    <s v="Ssiderea59477"/>
    <n v="-2.3032727999999998"/>
    <n v="-2.0325293000000002"/>
    <s v="Direct"/>
    <s v="NA"/>
  </r>
  <r>
    <x v="1"/>
    <x v="1"/>
    <s v="Ssiderea59537"/>
    <n v="-4.4400855999999997"/>
    <n v="-1.8184799"/>
    <s v="Direct"/>
    <s v="NA"/>
  </r>
  <r>
    <x v="1"/>
    <x v="1"/>
    <s v="Ssiderea59705"/>
    <n v="1.91658945"/>
    <n v="1.3537266299999999"/>
    <s v="Direct"/>
    <s v="NA"/>
  </r>
  <r>
    <x v="1"/>
    <x v="1"/>
    <s v="Ssiderea59793"/>
    <n v="-1.1552853999999999"/>
    <n v="-2.2792602"/>
    <s v="Direct"/>
    <s v="NA"/>
  </r>
  <r>
    <x v="1"/>
    <x v="1"/>
    <s v="Ssiderea59845"/>
    <n v="-3.2285005"/>
    <n v="-2.2337275999999999"/>
    <s v="Direct"/>
    <s v="NA"/>
  </r>
  <r>
    <x v="1"/>
    <x v="1"/>
    <s v="Ssiderea59853"/>
    <n v="-1.1856096"/>
    <n v="-1.8791708"/>
    <s v="Direct"/>
    <s v="NA"/>
  </r>
  <r>
    <x v="1"/>
    <x v="1"/>
    <s v="Ssiderea59859"/>
    <n v="1.20989766"/>
    <n v="2.7696168299999999"/>
    <s v="Direct"/>
    <s v="NA"/>
  </r>
  <r>
    <x v="1"/>
    <x v="1"/>
    <s v="Ssiderea59860"/>
    <n v="-1.1009488000000001"/>
    <n v="-1.0857393"/>
    <s v="Direct"/>
    <s v="transposition, RNA-mediated"/>
  </r>
  <r>
    <x v="1"/>
    <x v="1"/>
    <s v="Ssiderea59884"/>
    <n v="-1.2361626999999999"/>
    <n v="-1.8392516000000001"/>
    <s v="Direct"/>
    <s v="NA"/>
  </r>
  <r>
    <x v="1"/>
    <x v="1"/>
    <s v="Ssiderea59895"/>
    <n v="4.0566119499999997"/>
    <n v="3.5624763800000001"/>
    <s v="Direct"/>
    <s v="NA"/>
  </r>
  <r>
    <x v="1"/>
    <x v="1"/>
    <s v="Ssiderea59897"/>
    <n v="-3.2479472"/>
    <n v="-1.5686829"/>
    <s v="Direct"/>
    <s v="NA"/>
  </r>
  <r>
    <x v="1"/>
    <x v="1"/>
    <s v="Ssiderea60036"/>
    <n v="1.23733505"/>
    <n v="3.5888132100000001"/>
    <s v="Direct"/>
    <s v="NA"/>
  </r>
  <r>
    <x v="1"/>
    <x v="1"/>
    <s v="Ssiderea60042"/>
    <n v="-3.1044535"/>
    <n v="-1.5654674"/>
    <s v="Direct"/>
    <s v="NA"/>
  </r>
  <r>
    <x v="1"/>
    <x v="1"/>
    <s v="Ssiderea60093"/>
    <n v="1.9676343700000001"/>
    <n v="2.0575047899999999"/>
    <s v="Direct"/>
    <s v="Collagen triple helix"/>
  </r>
  <r>
    <x v="1"/>
    <x v="1"/>
    <s v="Ssiderea60182"/>
    <n v="1.3681227600000001"/>
    <n v="1.1361316400000001"/>
    <s v="Direct"/>
    <s v="NA"/>
  </r>
  <r>
    <x v="1"/>
    <x v="1"/>
    <s v="Ssiderea60183"/>
    <n v="-1.9809739"/>
    <n v="-1.0423423999999999"/>
    <s v="Direct"/>
    <s v="NA"/>
  </r>
  <r>
    <x v="1"/>
    <x v="1"/>
    <s v="Ssiderea60216"/>
    <n v="2.3943513699999999"/>
    <n v="3.0552917499999999"/>
    <s v="Direct"/>
    <s v="K02A2.6-like"/>
  </r>
  <r>
    <x v="1"/>
    <x v="1"/>
    <s v="Ssiderea60348"/>
    <n v="-3.0432332"/>
    <n v="-1.1325992"/>
    <s v="Direct"/>
    <s v="NA"/>
  </r>
  <r>
    <x v="1"/>
    <x v="1"/>
    <s v="Ssiderea60368"/>
    <n v="1.21687692"/>
    <n v="1.4004427699999999"/>
    <s v="Direct"/>
    <s v="metalloendopeptidase activity"/>
  </r>
  <r>
    <x v="1"/>
    <x v="1"/>
    <s v="Ssiderea60552"/>
    <n v="-1.2665162999999999"/>
    <n v="-2.1469317000000001"/>
    <s v="Direct"/>
    <s v="NA"/>
  </r>
  <r>
    <x v="1"/>
    <x v="1"/>
    <s v="Ssiderea60684"/>
    <n v="-7.8934211000000003"/>
    <n v="-3.9327046999999999"/>
    <s v="Direct"/>
    <s v="Glycosyl transferases group 1"/>
  </r>
  <r>
    <x v="1"/>
    <x v="1"/>
    <s v="Ssiderea60824"/>
    <n v="-1.1477506"/>
    <n v="-2.1008711"/>
    <s v="Direct"/>
    <s v="Reverse transcriptase (RNA-dependent DNA polymerase)"/>
  </r>
  <r>
    <x v="1"/>
    <x v="1"/>
    <s v="Ssiderea60964"/>
    <n v="-1.56162"/>
    <n v="-1.8791708"/>
    <s v="Direct"/>
    <s v="NA"/>
  </r>
  <r>
    <x v="1"/>
    <x v="1"/>
    <s v="Ssiderea60971"/>
    <n v="-2.0800958999999999"/>
    <n v="-1.5673584"/>
    <s v="Direct"/>
    <s v="transposition, RNA-mediated"/>
  </r>
  <r>
    <x v="1"/>
    <x v="1"/>
    <s v="Ssiderea61137"/>
    <n v="2.6436708599999998"/>
    <n v="1.66058299"/>
    <s v="Direct"/>
    <s v="NA"/>
  </r>
  <r>
    <x v="1"/>
    <x v="1"/>
    <s v="Ssiderea61144"/>
    <n v="-1.3779721"/>
    <n v="-1.6913848"/>
    <s v="Direct"/>
    <s v="NA"/>
  </r>
  <r>
    <x v="1"/>
    <x v="1"/>
    <s v="Ssiderea61192"/>
    <n v="-1.2995935000000001"/>
    <n v="-1.3098143"/>
    <s v="Direct"/>
    <s v="NA"/>
  </r>
  <r>
    <x v="1"/>
    <x v="1"/>
    <s v="Ssiderea61286"/>
    <n v="-2.1586436999999998"/>
    <n v="-2.3893243000000002"/>
    <s v="Direct"/>
    <s v="DNA-binding transcription factor activity, RNA polymerase II-specific"/>
  </r>
  <r>
    <x v="1"/>
    <x v="1"/>
    <s v="Ssiderea61326"/>
    <n v="-1.2984214000000001"/>
    <n v="-1.5030572"/>
    <s v="Direct"/>
    <s v="NA"/>
  </r>
  <r>
    <x v="1"/>
    <x v="1"/>
    <s v="Ssiderea61334"/>
    <n v="-1.8744269"/>
    <n v="-1.9393639"/>
    <s v="Direct"/>
    <s v="NA"/>
  </r>
  <r>
    <x v="1"/>
    <x v="1"/>
    <s v="Ssiderea61461"/>
    <n v="-2.8132736999999999"/>
    <n v="-3.4996323"/>
    <s v="Direct"/>
    <s v="NA"/>
  </r>
  <r>
    <x v="1"/>
    <x v="1"/>
    <s v="Ssiderea61470"/>
    <n v="1.7069494999999999"/>
    <n v="1.0172041300000001"/>
    <s v="Direct"/>
    <s v="CUB and zona pellucida-like domain-containing protein"/>
  </r>
  <r>
    <x v="1"/>
    <x v="1"/>
    <s v="Ssiderea61644"/>
    <n v="1.2703960999999999"/>
    <n v="1.9908514100000001"/>
    <s v="Direct"/>
    <s v="NA"/>
  </r>
  <r>
    <x v="1"/>
    <x v="1"/>
    <s v="Ssiderea61670"/>
    <n v="1.70285324"/>
    <n v="1.0184279899999999"/>
    <s v="Direct"/>
    <s v="NA"/>
  </r>
  <r>
    <x v="1"/>
    <x v="1"/>
    <s v="Ssiderea61730"/>
    <n v="2.5254127799999999"/>
    <n v="1.7133791300000001"/>
    <s v="Direct"/>
    <s v="Collagen triple helix"/>
  </r>
  <r>
    <x v="1"/>
    <x v="1"/>
    <s v="Ssiderea61839"/>
    <n v="-1.0147016"/>
    <n v="-1.2760174"/>
    <s v="Direct"/>
    <s v="nuclease HARBI1-like"/>
  </r>
  <r>
    <x v="1"/>
    <x v="1"/>
    <s v="Ssiderea61861"/>
    <n v="2.2439164100000002"/>
    <n v="1.4068453700000001"/>
    <s v="Direct"/>
    <s v="NA"/>
  </r>
  <r>
    <x v="1"/>
    <x v="1"/>
    <s v="Ssiderea61932"/>
    <n v="-3.7101465"/>
    <n v="-1.2290067"/>
    <s v="Direct"/>
    <s v="NA"/>
  </r>
  <r>
    <x v="1"/>
    <x v="1"/>
    <s v="Ssiderea61934"/>
    <n v="-1.2689241"/>
    <n v="-1.3235243999999999"/>
    <s v="Direct"/>
    <s v="NA"/>
  </r>
  <r>
    <x v="1"/>
    <x v="1"/>
    <s v="Ssiderea62146"/>
    <n v="-4.6661519"/>
    <n v="-7.0239617000000001"/>
    <s v="Direct"/>
    <s v="NA"/>
  </r>
  <r>
    <x v="1"/>
    <x v="1"/>
    <s v="Ssiderea62228"/>
    <n v="-1.1477506"/>
    <n v="-2.1036744000000001"/>
    <s v="Direct"/>
    <s v="NA"/>
  </r>
  <r>
    <x v="1"/>
    <x v="1"/>
    <s v="Ssiderea62250"/>
    <n v="4.1650468600000004"/>
    <n v="2.9933232400000001"/>
    <s v="Direct"/>
    <s v="tumor necrosis factor"/>
  </r>
  <r>
    <x v="1"/>
    <x v="1"/>
    <s v="Ssiderea62253"/>
    <n v="-1.0334017"/>
    <n v="-1.3619634"/>
    <s v="Direct"/>
    <s v="regulation of mitotic cell cycle"/>
  </r>
  <r>
    <x v="1"/>
    <x v="1"/>
    <s v="Ssiderea62302"/>
    <n v="-1.4150502"/>
    <n v="-1.0843636999999999"/>
    <s v="Direct"/>
    <s v="NA"/>
  </r>
  <r>
    <x v="1"/>
    <x v="1"/>
    <s v="Ssiderea62321"/>
    <n v="-1.09853"/>
    <n v="-1.3173136000000001"/>
    <s v="Direct"/>
    <s v="NA"/>
  </r>
  <r>
    <x v="1"/>
    <x v="1"/>
    <s v="Ssiderea62437"/>
    <n v="-1.9105022"/>
    <n v="-2.0803256999999999"/>
    <s v="Direct"/>
    <s v="NA"/>
  </r>
  <r>
    <x v="1"/>
    <x v="1"/>
    <s v="Ssiderea62446"/>
    <n v="-1.0170482000000001"/>
    <n v="-1.5038582"/>
    <s v="Direct"/>
    <s v="NA"/>
  </r>
  <r>
    <x v="1"/>
    <x v="1"/>
    <s v="Ssiderea62465"/>
    <n v="-1.0331102999999999"/>
    <n v="-1.7097526999999999"/>
    <s v="Direct"/>
    <s v="NA"/>
  </r>
  <r>
    <x v="1"/>
    <x v="1"/>
    <s v="Ssiderea62527"/>
    <n v="1.5648292100000001"/>
    <n v="1.5025030100000001"/>
    <s v="Direct"/>
    <s v="distal tubule morphogenesis"/>
  </r>
  <r>
    <x v="1"/>
    <x v="1"/>
    <s v="Ssiderea62585"/>
    <n v="-1.8846731000000001"/>
    <n v="-1.138234"/>
    <s v="Direct"/>
    <s v="NA"/>
  </r>
  <r>
    <x v="1"/>
    <x v="1"/>
    <s v="Ssiderea62739"/>
    <n v="-2.2282266000000002"/>
    <n v="-2.3664654999999999"/>
    <s v="Direct"/>
    <s v="transposition, RNA-mediated"/>
  </r>
  <r>
    <x v="1"/>
    <x v="1"/>
    <s v="Ssiderea62799"/>
    <n v="-1.6355732999999999"/>
    <n v="-1.1565112"/>
    <s v="Direct"/>
    <s v="retrotranspos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AB5A6C-6784-114C-8963-91683EA8E68F}" name="PivotTable1" cacheId="38" applyNumberFormats="0" applyBorderFormats="0" applyFontFormats="0" applyPatternFormats="0" applyAlignmentFormats="0" applyWidthHeightFormats="0" dataCaption="" updatedVersion="8" compact="0" compactData="0">
  <location ref="J1:L8" firstHeaderRow="1" firstDataRow="1" firstDataCol="2"/>
  <pivotFields count="7">
    <pivotField name="Species" axis="axisRow" compact="0" outline="0" multipleItemSelectionAllowed="1" showAll="0" sortType="ascending">
      <items count="3">
        <item x="0"/>
        <item x="1"/>
        <item t="default"/>
      </items>
    </pivotField>
    <pivotField name="Comparison" axis="axisRow" compact="0" outline="0" multipleItemSelectionAllowed="1" showAll="0" sortType="ascending">
      <items count="3">
        <item x="0"/>
        <item x="1"/>
        <item t="default"/>
      </items>
    </pivotField>
    <pivotField name="Gene ID" dataField="1" compact="0" outline="0" multipleItemSelectionAllowed="1" showAll="0"/>
    <pivotField name="Star Island lpv" compact="0" outline="0" multipleItemSelectionAllowed="1" showAll="0"/>
    <pivotField name="MacArthur North lpv" compact="0" outline="0" multipleItemSelectionAllowed="1" showAll="0"/>
    <pivotField name="Relationship" compact="0" outline="0" multipleItemSelectionAllowed="1" showAll="0"/>
    <pivotField name="Gene Annotation" compact="0" outline="0" multipleItemSelectionAllowed="1" showAll="0"/>
  </pivotFields>
  <rowFields count="2">
    <field x="0"/>
    <field x="1"/>
  </rowFields>
  <rowItems count="7">
    <i>
      <x/>
      <x/>
    </i>
    <i r="1">
      <x v="1"/>
    </i>
    <i t="default">
      <x/>
    </i>
    <i>
      <x v="1"/>
      <x/>
    </i>
    <i r="1">
      <x v="1"/>
    </i>
    <i t="default">
      <x v="1"/>
    </i>
    <i t="grand">
      <x/>
    </i>
  </rowItems>
  <colItems count="1">
    <i/>
  </colItems>
  <dataFields count="1">
    <dataField name="COUNTA of Gene ID" fld="2"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213FF-3A61-B448-8706-6CCD5099D92C}">
  <dimension ref="A1:V5585"/>
  <sheetViews>
    <sheetView tabSelected="1" topLeftCell="G1" workbookViewId="0">
      <selection activeCell="G11" sqref="G11"/>
    </sheetView>
  </sheetViews>
  <sheetFormatPr baseColWidth="10" defaultColWidth="11.1640625" defaultRowHeight="16" x14ac:dyDescent="0.2"/>
  <cols>
    <col min="1" max="1" width="17.5" bestFit="1" customWidth="1"/>
    <col min="2" max="2" width="20.5" bestFit="1" customWidth="1"/>
    <col min="3" max="3" width="15.6640625" bestFit="1" customWidth="1"/>
    <col min="4" max="4" width="14" bestFit="1" customWidth="1"/>
    <col min="5" max="5" width="20" bestFit="1" customWidth="1"/>
    <col min="6" max="6" width="12" bestFit="1" customWidth="1"/>
    <col min="7" max="7" width="255.83203125" bestFit="1" customWidth="1"/>
    <col min="10" max="10" width="18.83203125" customWidth="1"/>
    <col min="11" max="11" width="18" customWidth="1"/>
    <col min="12" max="12" width="17.1640625" customWidth="1"/>
  </cols>
  <sheetData>
    <row r="1" spans="1:22" x14ac:dyDescent="0.2">
      <c r="A1" s="1" t="s">
        <v>0</v>
      </c>
      <c r="B1" s="1" t="s">
        <v>1</v>
      </c>
      <c r="C1" s="2" t="s">
        <v>2</v>
      </c>
      <c r="D1" s="2" t="s">
        <v>3</v>
      </c>
      <c r="E1" s="2" t="s">
        <v>4</v>
      </c>
      <c r="F1" s="2" t="s">
        <v>5</v>
      </c>
      <c r="G1" s="2" t="s">
        <v>6</v>
      </c>
      <c r="H1" s="3"/>
      <c r="I1" s="3"/>
      <c r="J1" s="20" t="s">
        <v>0</v>
      </c>
      <c r="K1" s="20" t="s">
        <v>1</v>
      </c>
      <c r="L1" s="5" t="s">
        <v>7</v>
      </c>
      <c r="M1" s="3"/>
      <c r="N1" s="3"/>
      <c r="O1" s="3"/>
      <c r="P1" s="3"/>
      <c r="Q1" s="3"/>
      <c r="R1" s="3"/>
      <c r="S1" s="3"/>
      <c r="T1" s="3"/>
      <c r="U1" s="3"/>
      <c r="V1" s="3"/>
    </row>
    <row r="2" spans="1:22" x14ac:dyDescent="0.2">
      <c r="A2" s="6" t="s">
        <v>8</v>
      </c>
      <c r="B2" s="7" t="s">
        <v>9</v>
      </c>
      <c r="C2" s="7" t="s">
        <v>10</v>
      </c>
      <c r="D2" s="8">
        <v>1.3848503299999999</v>
      </c>
      <c r="E2" s="8">
        <v>2.8311262099999999</v>
      </c>
      <c r="F2" s="9" t="str">
        <f t="shared" ref="F2:F256" si="0">IF(OR(AND(D2&gt;0,E2&gt;0),AND(D2&lt;0,E2&lt;0)),"Direct","Inverse")</f>
        <v>Direct</v>
      </c>
      <c r="G2" s="7" t="s">
        <v>11</v>
      </c>
      <c r="J2" s="4" t="s">
        <v>8</v>
      </c>
      <c r="K2" s="4" t="s">
        <v>9</v>
      </c>
      <c r="L2" s="5">
        <v>740</v>
      </c>
    </row>
    <row r="3" spans="1:22" x14ac:dyDescent="0.2">
      <c r="A3" s="6" t="s">
        <v>8</v>
      </c>
      <c r="B3" s="7" t="s">
        <v>9</v>
      </c>
      <c r="C3" s="7" t="s">
        <v>12</v>
      </c>
      <c r="D3" s="8">
        <v>-1.0496188</v>
      </c>
      <c r="E3" s="8">
        <v>-2.1903969999999999</v>
      </c>
      <c r="F3" s="9" t="str">
        <f t="shared" si="0"/>
        <v>Direct</v>
      </c>
      <c r="G3" s="7" t="s">
        <v>11</v>
      </c>
      <c r="J3" s="10"/>
      <c r="K3" s="11" t="s">
        <v>13</v>
      </c>
      <c r="L3" s="12">
        <v>1350</v>
      </c>
    </row>
    <row r="4" spans="1:22" x14ac:dyDescent="0.2">
      <c r="A4" s="6" t="s">
        <v>8</v>
      </c>
      <c r="B4" s="7" t="s">
        <v>9</v>
      </c>
      <c r="C4" s="7" t="s">
        <v>14</v>
      </c>
      <c r="D4" s="8">
        <v>-3.3506049999999998</v>
      </c>
      <c r="E4" s="8">
        <v>-2.3227500999999999</v>
      </c>
      <c r="F4" s="9" t="str">
        <f t="shared" si="0"/>
        <v>Direct</v>
      </c>
      <c r="G4" s="7" t="s">
        <v>15</v>
      </c>
      <c r="J4" s="4" t="s">
        <v>16</v>
      </c>
      <c r="K4" s="13"/>
      <c r="L4" s="5">
        <v>2090</v>
      </c>
    </row>
    <row r="5" spans="1:22" x14ac:dyDescent="0.2">
      <c r="A5" s="6" t="s">
        <v>8</v>
      </c>
      <c r="B5" s="7" t="s">
        <v>9</v>
      </c>
      <c r="C5" s="7" t="s">
        <v>17</v>
      </c>
      <c r="D5" s="8">
        <v>-4.3264405999999997</v>
      </c>
      <c r="E5" s="8">
        <v>-2.1129834000000001</v>
      </c>
      <c r="F5" s="9" t="str">
        <f t="shared" si="0"/>
        <v>Direct</v>
      </c>
      <c r="G5" s="7" t="s">
        <v>11</v>
      </c>
      <c r="J5" s="4" t="s">
        <v>18</v>
      </c>
      <c r="K5" s="4" t="s">
        <v>9</v>
      </c>
      <c r="L5" s="5">
        <v>780</v>
      </c>
    </row>
    <row r="6" spans="1:22" x14ac:dyDescent="0.2">
      <c r="A6" s="6" t="s">
        <v>8</v>
      </c>
      <c r="B6" s="7" t="s">
        <v>9</v>
      </c>
      <c r="C6" s="7" t="s">
        <v>19</v>
      </c>
      <c r="D6" s="8">
        <v>1.18882854</v>
      </c>
      <c r="E6" s="8">
        <v>1.58025142</v>
      </c>
      <c r="F6" s="9" t="str">
        <f t="shared" si="0"/>
        <v>Direct</v>
      </c>
      <c r="G6" s="7" t="s">
        <v>11</v>
      </c>
      <c r="J6" s="10"/>
      <c r="K6" s="11" t="s">
        <v>13</v>
      </c>
      <c r="L6" s="12">
        <v>511</v>
      </c>
    </row>
    <row r="7" spans="1:22" x14ac:dyDescent="0.2">
      <c r="A7" s="6" t="s">
        <v>8</v>
      </c>
      <c r="B7" s="7" t="s">
        <v>9</v>
      </c>
      <c r="C7" s="7" t="s">
        <v>20</v>
      </c>
      <c r="D7" s="8">
        <v>1.3852279700000001</v>
      </c>
      <c r="E7" s="8">
        <v>1.2888416300000001</v>
      </c>
      <c r="F7" s="9" t="str">
        <f t="shared" si="0"/>
        <v>Direct</v>
      </c>
      <c r="G7" s="7" t="s">
        <v>11</v>
      </c>
      <c r="J7" s="4" t="s">
        <v>21</v>
      </c>
      <c r="K7" s="13"/>
      <c r="L7" s="5">
        <v>1291</v>
      </c>
    </row>
    <row r="8" spans="1:22" x14ac:dyDescent="0.2">
      <c r="A8" s="6" t="s">
        <v>8</v>
      </c>
      <c r="B8" s="7" t="s">
        <v>9</v>
      </c>
      <c r="C8" s="7" t="s">
        <v>22</v>
      </c>
      <c r="D8" s="8">
        <v>-1.5412064000000001</v>
      </c>
      <c r="E8" s="8">
        <v>-4.7136369</v>
      </c>
      <c r="F8" s="9" t="str">
        <f t="shared" si="0"/>
        <v>Direct</v>
      </c>
      <c r="G8" s="7" t="s">
        <v>23</v>
      </c>
      <c r="J8" s="14" t="s">
        <v>24</v>
      </c>
      <c r="K8" s="15"/>
      <c r="L8" s="16">
        <v>3381</v>
      </c>
    </row>
    <row r="9" spans="1:22" x14ac:dyDescent="0.2">
      <c r="A9" s="6" t="s">
        <v>8</v>
      </c>
      <c r="B9" s="7" t="s">
        <v>9</v>
      </c>
      <c r="C9" s="7" t="s">
        <v>25</v>
      </c>
      <c r="D9" s="8">
        <v>-1.6371047000000001</v>
      </c>
      <c r="E9" s="8">
        <v>-1.7897205</v>
      </c>
      <c r="F9" s="9" t="str">
        <f t="shared" si="0"/>
        <v>Direct</v>
      </c>
      <c r="G9" s="7" t="s">
        <v>26</v>
      </c>
      <c r="J9" s="7"/>
      <c r="K9" s="7"/>
      <c r="L9" s="7"/>
    </row>
    <row r="10" spans="1:22" x14ac:dyDescent="0.2">
      <c r="A10" s="6" t="s">
        <v>8</v>
      </c>
      <c r="B10" s="7" t="s">
        <v>9</v>
      </c>
      <c r="C10" s="7" t="s">
        <v>27</v>
      </c>
      <c r="D10" s="8">
        <v>1.0410138900000001</v>
      </c>
      <c r="E10" s="8">
        <v>7.4201081100000001</v>
      </c>
      <c r="F10" s="9" t="str">
        <f t="shared" si="0"/>
        <v>Direct</v>
      </c>
      <c r="G10" s="7" t="s">
        <v>11</v>
      </c>
      <c r="J10" s="7"/>
      <c r="K10" s="7"/>
      <c r="L10" s="7"/>
    </row>
    <row r="11" spans="1:22" x14ac:dyDescent="0.2">
      <c r="A11" s="6" t="s">
        <v>8</v>
      </c>
      <c r="B11" s="7" t="s">
        <v>9</v>
      </c>
      <c r="C11" s="7" t="s">
        <v>28</v>
      </c>
      <c r="D11" s="8">
        <v>-1.7655577</v>
      </c>
      <c r="E11" s="8">
        <v>-2.1578662999999998</v>
      </c>
      <c r="F11" s="9" t="str">
        <f t="shared" si="0"/>
        <v>Direct</v>
      </c>
      <c r="G11" s="7" t="s">
        <v>11</v>
      </c>
      <c r="J11" s="7"/>
      <c r="K11" s="7"/>
      <c r="L11" s="7"/>
    </row>
    <row r="12" spans="1:22" x14ac:dyDescent="0.2">
      <c r="A12" s="6" t="s">
        <v>8</v>
      </c>
      <c r="B12" s="7" t="s">
        <v>9</v>
      </c>
      <c r="C12" s="7" t="s">
        <v>29</v>
      </c>
      <c r="D12" s="8">
        <v>1.8435829399999999</v>
      </c>
      <c r="E12" s="8">
        <v>4.8288361100000001</v>
      </c>
      <c r="F12" s="9" t="str">
        <f t="shared" si="0"/>
        <v>Direct</v>
      </c>
      <c r="G12" s="7" t="s">
        <v>11</v>
      </c>
      <c r="J12" s="7"/>
      <c r="K12" s="2" t="s">
        <v>30</v>
      </c>
      <c r="L12" s="2" t="s">
        <v>31</v>
      </c>
    </row>
    <row r="13" spans="1:22" x14ac:dyDescent="0.2">
      <c r="A13" s="6" t="s">
        <v>8</v>
      </c>
      <c r="B13" s="7" t="s">
        <v>9</v>
      </c>
      <c r="C13" s="7" t="s">
        <v>32</v>
      </c>
      <c r="D13" s="8">
        <v>-1.82565</v>
      </c>
      <c r="E13" s="8">
        <v>-1.4088101</v>
      </c>
      <c r="F13" s="9" t="str">
        <f t="shared" si="0"/>
        <v>Direct</v>
      </c>
      <c r="G13" s="7" t="s">
        <v>11</v>
      </c>
      <c r="J13" s="6" t="s">
        <v>8</v>
      </c>
      <c r="K13" s="7">
        <f>COUNTIF($F$2:$F$2096,"Direct")</f>
        <v>2062</v>
      </c>
      <c r="L13" s="7">
        <f>COUNTIF($F$2:$F$2096,"Inverse")</f>
        <v>33</v>
      </c>
    </row>
    <row r="14" spans="1:22" x14ac:dyDescent="0.2">
      <c r="A14" s="6" t="s">
        <v>8</v>
      </c>
      <c r="B14" s="7" t="s">
        <v>9</v>
      </c>
      <c r="C14" s="7" t="s">
        <v>33</v>
      </c>
      <c r="D14" s="8">
        <v>-1.4153232</v>
      </c>
      <c r="E14" s="8">
        <v>-2.4542313999999998</v>
      </c>
      <c r="F14" s="9" t="str">
        <f t="shared" si="0"/>
        <v>Direct</v>
      </c>
      <c r="G14" s="7" t="s">
        <v>11</v>
      </c>
      <c r="J14" s="6" t="s">
        <v>18</v>
      </c>
      <c r="K14" s="7">
        <f>COUNTIF($F$2092:$F$3382,"Direct")</f>
        <v>1280</v>
      </c>
      <c r="L14" s="7">
        <f>COUNTIF($F$2092:$F$3382,"Inverse")</f>
        <v>11</v>
      </c>
    </row>
    <row r="15" spans="1:22" x14ac:dyDescent="0.2">
      <c r="A15" s="6" t="s">
        <v>8</v>
      </c>
      <c r="B15" s="7" t="s">
        <v>9</v>
      </c>
      <c r="C15" s="7" t="s">
        <v>34</v>
      </c>
      <c r="D15" s="8">
        <v>1.6908605800000001</v>
      </c>
      <c r="E15" s="8">
        <v>4.5601133899999997</v>
      </c>
      <c r="F15" s="9" t="str">
        <f t="shared" si="0"/>
        <v>Direct</v>
      </c>
      <c r="G15" s="7" t="s">
        <v>35</v>
      </c>
      <c r="J15" s="6"/>
      <c r="K15" s="2" t="s">
        <v>30</v>
      </c>
      <c r="L15" s="2" t="s">
        <v>31</v>
      </c>
    </row>
    <row r="16" spans="1:22" x14ac:dyDescent="0.2">
      <c r="A16" s="6" t="s">
        <v>8</v>
      </c>
      <c r="B16" s="7" t="s">
        <v>9</v>
      </c>
      <c r="C16" s="7" t="s">
        <v>36</v>
      </c>
      <c r="D16" s="8">
        <v>-2.2601141999999999</v>
      </c>
      <c r="E16" s="8">
        <v>1.1775829600000001</v>
      </c>
      <c r="F16" s="9" t="str">
        <f t="shared" si="0"/>
        <v>Inverse</v>
      </c>
      <c r="G16" s="7" t="s">
        <v>11</v>
      </c>
      <c r="J16" s="6" t="s">
        <v>8</v>
      </c>
      <c r="K16" s="17">
        <f t="shared" ref="K16:K17" si="1">K13/SUM(K13:L13)</f>
        <v>0.98424821002386631</v>
      </c>
      <c r="L16" s="17">
        <f t="shared" ref="L16:L17" si="2">L13/SUM(K13:L13)</f>
        <v>1.5751789976133652E-2</v>
      </c>
    </row>
    <row r="17" spans="1:13" x14ac:dyDescent="0.2">
      <c r="A17" s="6" t="s">
        <v>8</v>
      </c>
      <c r="B17" s="7" t="s">
        <v>9</v>
      </c>
      <c r="C17" s="7" t="s">
        <v>37</v>
      </c>
      <c r="D17" s="8">
        <v>1.9059719900000001</v>
      </c>
      <c r="E17" s="8">
        <v>1.5893831199999999</v>
      </c>
      <c r="F17" s="9" t="str">
        <f t="shared" si="0"/>
        <v>Direct</v>
      </c>
      <c r="G17" s="7" t="s">
        <v>38</v>
      </c>
      <c r="J17" s="6" t="s">
        <v>18</v>
      </c>
      <c r="K17" s="17">
        <f t="shared" si="1"/>
        <v>0.99147947327652985</v>
      </c>
      <c r="L17" s="17">
        <f t="shared" si="2"/>
        <v>8.5205267234701784E-3</v>
      </c>
    </row>
    <row r="18" spans="1:13" x14ac:dyDescent="0.2">
      <c r="A18" s="6" t="s">
        <v>8</v>
      </c>
      <c r="B18" s="7" t="s">
        <v>9</v>
      </c>
      <c r="C18" s="7" t="s">
        <v>39</v>
      </c>
      <c r="D18" s="8">
        <v>1.9295597200000001</v>
      </c>
      <c r="E18" s="8">
        <v>1.0115157299999999</v>
      </c>
      <c r="F18" s="9" t="str">
        <f t="shared" si="0"/>
        <v>Direct</v>
      </c>
      <c r="G18" s="7" t="s">
        <v>11</v>
      </c>
      <c r="J18" s="7"/>
      <c r="K18" s="7"/>
      <c r="L18" s="7"/>
    </row>
    <row r="19" spans="1:13" x14ac:dyDescent="0.2">
      <c r="A19" s="6" t="s">
        <v>8</v>
      </c>
      <c r="B19" s="7" t="s">
        <v>9</v>
      </c>
      <c r="C19" s="7" t="s">
        <v>40</v>
      </c>
      <c r="D19" s="8">
        <v>1.0477375499999999</v>
      </c>
      <c r="E19" s="8">
        <v>1.23043832</v>
      </c>
      <c r="F19" s="9" t="str">
        <f t="shared" si="0"/>
        <v>Direct</v>
      </c>
      <c r="G19" s="7" t="s">
        <v>41</v>
      </c>
      <c r="K19" s="2" t="s">
        <v>42</v>
      </c>
      <c r="L19" s="7"/>
    </row>
    <row r="20" spans="1:13" x14ac:dyDescent="0.2">
      <c r="A20" s="6" t="s">
        <v>8</v>
      </c>
      <c r="B20" s="7" t="s">
        <v>9</v>
      </c>
      <c r="C20" s="7" t="s">
        <v>43</v>
      </c>
      <c r="D20" s="8">
        <v>-1.2383824999999999</v>
      </c>
      <c r="E20" s="8">
        <v>-14.622786</v>
      </c>
      <c r="F20" s="9" t="str">
        <f t="shared" si="0"/>
        <v>Direct</v>
      </c>
      <c r="G20" s="7" t="s">
        <v>11</v>
      </c>
      <c r="J20" s="6" t="s">
        <v>8</v>
      </c>
      <c r="K20" s="7">
        <f ca="1">IFERROR(__xludf.DUMMYFUNCTION("COUNTUNIQUE($C$2:$C$2096)"),1848)</f>
        <v>1848</v>
      </c>
      <c r="L20" s="7"/>
    </row>
    <row r="21" spans="1:13" x14ac:dyDescent="0.2">
      <c r="A21" s="6" t="s">
        <v>8</v>
      </c>
      <c r="B21" s="7" t="s">
        <v>9</v>
      </c>
      <c r="C21" s="7" t="s">
        <v>44</v>
      </c>
      <c r="D21" s="8">
        <v>2.1834490899999999</v>
      </c>
      <c r="E21" s="8">
        <v>10.2267492</v>
      </c>
      <c r="F21" s="9" t="str">
        <f t="shared" si="0"/>
        <v>Direct</v>
      </c>
      <c r="G21" s="7" t="s">
        <v>45</v>
      </c>
      <c r="J21" s="6" t="s">
        <v>18</v>
      </c>
      <c r="K21" s="7">
        <f ca="1">IFERROR(__xludf.DUMMYFUNCTION("COUNTUNIQUE($C$2092:$C$3382)"),1198)</f>
        <v>1198</v>
      </c>
      <c r="L21" s="7"/>
    </row>
    <row r="22" spans="1:13" x14ac:dyDescent="0.2">
      <c r="A22" s="6" t="s">
        <v>8</v>
      </c>
      <c r="B22" s="7" t="s">
        <v>9</v>
      </c>
      <c r="C22" s="7" t="s">
        <v>46</v>
      </c>
      <c r="D22" s="8">
        <v>-1.2286473</v>
      </c>
      <c r="E22" s="8">
        <v>-1.2970725000000001</v>
      </c>
      <c r="F22" s="9" t="str">
        <f t="shared" si="0"/>
        <v>Direct</v>
      </c>
      <c r="G22" s="7" t="s">
        <v>47</v>
      </c>
      <c r="J22" s="7"/>
      <c r="K22" s="7"/>
      <c r="L22" s="7"/>
    </row>
    <row r="23" spans="1:13" x14ac:dyDescent="0.2">
      <c r="A23" s="6" t="s">
        <v>8</v>
      </c>
      <c r="B23" s="7" t="s">
        <v>9</v>
      </c>
      <c r="C23" s="7" t="s">
        <v>48</v>
      </c>
      <c r="D23" s="8">
        <v>1.3552131700000001</v>
      </c>
      <c r="E23" s="8">
        <v>2.6491916999999998</v>
      </c>
      <c r="F23" s="9" t="str">
        <f t="shared" si="0"/>
        <v>Direct</v>
      </c>
      <c r="G23" s="7" t="s">
        <v>49</v>
      </c>
    </row>
    <row r="24" spans="1:13" x14ac:dyDescent="0.2">
      <c r="A24" s="6" t="s">
        <v>8</v>
      </c>
      <c r="B24" s="7" t="s">
        <v>9</v>
      </c>
      <c r="C24" s="7" t="s">
        <v>50</v>
      </c>
      <c r="D24" s="8">
        <v>-1.0218883000000001</v>
      </c>
      <c r="E24" s="8">
        <v>-2.5722960000000001</v>
      </c>
      <c r="F24" s="9" t="str">
        <f t="shared" si="0"/>
        <v>Direct</v>
      </c>
      <c r="G24" s="7" t="s">
        <v>51</v>
      </c>
    </row>
    <row r="25" spans="1:13" x14ac:dyDescent="0.2">
      <c r="A25" s="6" t="s">
        <v>8</v>
      </c>
      <c r="B25" s="7" t="s">
        <v>9</v>
      </c>
      <c r="C25" s="7" t="s">
        <v>52</v>
      </c>
      <c r="D25" s="8">
        <v>1.3377136300000001</v>
      </c>
      <c r="E25" s="8">
        <v>7.6179934100000004</v>
      </c>
      <c r="F25" s="9" t="str">
        <f t="shared" si="0"/>
        <v>Direct</v>
      </c>
      <c r="G25" s="7" t="s">
        <v>53</v>
      </c>
    </row>
    <row r="26" spans="1:13" x14ac:dyDescent="0.2">
      <c r="A26" s="6" t="s">
        <v>8</v>
      </c>
      <c r="B26" s="7" t="s">
        <v>9</v>
      </c>
      <c r="C26" s="7" t="s">
        <v>54</v>
      </c>
      <c r="D26" s="8">
        <v>-1.7848343</v>
      </c>
      <c r="E26" s="8">
        <v>-5.7346706000000003</v>
      </c>
      <c r="F26" s="9" t="str">
        <f t="shared" si="0"/>
        <v>Direct</v>
      </c>
      <c r="G26" s="7" t="s">
        <v>11</v>
      </c>
      <c r="L26" s="18"/>
      <c r="M26" s="18"/>
    </row>
    <row r="27" spans="1:13" x14ac:dyDescent="0.2">
      <c r="A27" s="6" t="s">
        <v>8</v>
      </c>
      <c r="B27" s="7" t="s">
        <v>9</v>
      </c>
      <c r="C27" s="7" t="s">
        <v>55</v>
      </c>
      <c r="D27" s="8">
        <v>-1.9056583</v>
      </c>
      <c r="E27" s="8">
        <v>-6.9685812</v>
      </c>
      <c r="F27" s="9" t="str">
        <f t="shared" si="0"/>
        <v>Direct</v>
      </c>
      <c r="G27" s="7" t="s">
        <v>56</v>
      </c>
      <c r="L27" s="18"/>
      <c r="M27" s="18"/>
    </row>
    <row r="28" spans="1:13" x14ac:dyDescent="0.2">
      <c r="A28" s="6" t="s">
        <v>8</v>
      </c>
      <c r="B28" s="7" t="s">
        <v>9</v>
      </c>
      <c r="C28" s="7" t="s">
        <v>57</v>
      </c>
      <c r="D28" s="8">
        <v>1.4188925400000001</v>
      </c>
      <c r="E28" s="8">
        <v>5.6471522299999997</v>
      </c>
      <c r="F28" s="9" t="str">
        <f t="shared" si="0"/>
        <v>Direct</v>
      </c>
      <c r="G28" s="7" t="s">
        <v>58</v>
      </c>
    </row>
    <row r="29" spans="1:13" x14ac:dyDescent="0.2">
      <c r="A29" s="6" t="s">
        <v>8</v>
      </c>
      <c r="B29" s="7" t="s">
        <v>9</v>
      </c>
      <c r="C29" s="7" t="s">
        <v>59</v>
      </c>
      <c r="D29" s="8">
        <v>1.2941144099999999</v>
      </c>
      <c r="E29" s="8">
        <v>1.34434626</v>
      </c>
      <c r="F29" s="9" t="str">
        <f t="shared" si="0"/>
        <v>Direct</v>
      </c>
      <c r="G29" s="7" t="s">
        <v>60</v>
      </c>
    </row>
    <row r="30" spans="1:13" x14ac:dyDescent="0.2">
      <c r="A30" s="6" t="s">
        <v>8</v>
      </c>
      <c r="B30" s="7" t="s">
        <v>9</v>
      </c>
      <c r="C30" s="7" t="s">
        <v>61</v>
      </c>
      <c r="D30" s="8">
        <v>-1.2514943000000001</v>
      </c>
      <c r="E30" s="8">
        <v>-4.3489966000000004</v>
      </c>
      <c r="F30" s="9" t="str">
        <f t="shared" si="0"/>
        <v>Direct</v>
      </c>
      <c r="G30" s="7" t="s">
        <v>62</v>
      </c>
      <c r="K30" s="7"/>
      <c r="L30" s="7"/>
    </row>
    <row r="31" spans="1:13" x14ac:dyDescent="0.2">
      <c r="A31" s="6" t="s">
        <v>8</v>
      </c>
      <c r="B31" s="7" t="s">
        <v>9</v>
      </c>
      <c r="C31" s="7" t="s">
        <v>63</v>
      </c>
      <c r="D31" s="8">
        <v>-1.4401134</v>
      </c>
      <c r="E31" s="8">
        <v>-3.9045866999999999</v>
      </c>
      <c r="F31" s="9" t="str">
        <f t="shared" si="0"/>
        <v>Direct</v>
      </c>
      <c r="G31" s="7" t="s">
        <v>11</v>
      </c>
      <c r="K31" s="7"/>
      <c r="L31" s="7"/>
    </row>
    <row r="32" spans="1:13" x14ac:dyDescent="0.2">
      <c r="A32" s="6" t="s">
        <v>8</v>
      </c>
      <c r="B32" s="7" t="s">
        <v>9</v>
      </c>
      <c r="C32" s="7" t="s">
        <v>64</v>
      </c>
      <c r="D32" s="8">
        <v>-2.7934899</v>
      </c>
      <c r="E32" s="8">
        <v>-2.4438347999999999</v>
      </c>
      <c r="F32" s="9" t="str">
        <f t="shared" si="0"/>
        <v>Direct</v>
      </c>
      <c r="G32" s="7" t="s">
        <v>65</v>
      </c>
    </row>
    <row r="33" spans="1:7" x14ac:dyDescent="0.2">
      <c r="A33" s="6" t="s">
        <v>8</v>
      </c>
      <c r="B33" s="7" t="s">
        <v>9</v>
      </c>
      <c r="C33" s="7" t="s">
        <v>66</v>
      </c>
      <c r="D33" s="8">
        <v>-1.4011328999999999</v>
      </c>
      <c r="E33" s="8">
        <v>-2.6755637999999999</v>
      </c>
      <c r="F33" s="9" t="str">
        <f t="shared" si="0"/>
        <v>Direct</v>
      </c>
      <c r="G33" s="7" t="s">
        <v>67</v>
      </c>
    </row>
    <row r="34" spans="1:7" x14ac:dyDescent="0.2">
      <c r="A34" s="6" t="s">
        <v>8</v>
      </c>
      <c r="B34" s="7" t="s">
        <v>9</v>
      </c>
      <c r="C34" s="7" t="s">
        <v>68</v>
      </c>
      <c r="D34" s="8">
        <v>1.22636094</v>
      </c>
      <c r="E34" s="8">
        <v>2.2625965300000002</v>
      </c>
      <c r="F34" s="9" t="str">
        <f t="shared" si="0"/>
        <v>Direct</v>
      </c>
      <c r="G34" s="7" t="s">
        <v>69</v>
      </c>
    </row>
    <row r="35" spans="1:7" x14ac:dyDescent="0.2">
      <c r="A35" s="6" t="s">
        <v>8</v>
      </c>
      <c r="B35" s="7" t="s">
        <v>9</v>
      </c>
      <c r="C35" s="7" t="s">
        <v>70</v>
      </c>
      <c r="D35" s="8">
        <v>1.3870265100000001</v>
      </c>
      <c r="E35" s="8">
        <v>3.7765607299999999</v>
      </c>
      <c r="F35" s="9" t="str">
        <f t="shared" si="0"/>
        <v>Direct</v>
      </c>
      <c r="G35" s="7" t="s">
        <v>11</v>
      </c>
    </row>
    <row r="36" spans="1:7" x14ac:dyDescent="0.2">
      <c r="A36" s="6" t="s">
        <v>8</v>
      </c>
      <c r="B36" s="7" t="s">
        <v>9</v>
      </c>
      <c r="C36" s="7" t="s">
        <v>71</v>
      </c>
      <c r="D36" s="8">
        <v>-1.477346</v>
      </c>
      <c r="E36" s="8">
        <v>-3.3453284000000001</v>
      </c>
      <c r="F36" s="9" t="str">
        <f t="shared" si="0"/>
        <v>Direct</v>
      </c>
      <c r="G36" s="7" t="s">
        <v>72</v>
      </c>
    </row>
    <row r="37" spans="1:7" x14ac:dyDescent="0.2">
      <c r="A37" s="6" t="s">
        <v>8</v>
      </c>
      <c r="B37" s="7" t="s">
        <v>9</v>
      </c>
      <c r="C37" s="7" t="s">
        <v>73</v>
      </c>
      <c r="D37" s="8">
        <v>1.8869709100000001</v>
      </c>
      <c r="E37" s="8">
        <v>2.3139914300000002</v>
      </c>
      <c r="F37" s="9" t="str">
        <f t="shared" si="0"/>
        <v>Direct</v>
      </c>
      <c r="G37" s="7" t="s">
        <v>74</v>
      </c>
    </row>
    <row r="38" spans="1:7" x14ac:dyDescent="0.2">
      <c r="A38" s="6" t="s">
        <v>8</v>
      </c>
      <c r="B38" s="7" t="s">
        <v>9</v>
      </c>
      <c r="C38" s="7" t="s">
        <v>75</v>
      </c>
      <c r="D38" s="8">
        <v>2.9320787899999998</v>
      </c>
      <c r="E38" s="8">
        <v>4.2054940800000002</v>
      </c>
      <c r="F38" s="9" t="str">
        <f t="shared" si="0"/>
        <v>Direct</v>
      </c>
      <c r="G38" s="7" t="s">
        <v>76</v>
      </c>
    </row>
    <row r="39" spans="1:7" x14ac:dyDescent="0.2">
      <c r="A39" s="6" t="s">
        <v>8</v>
      </c>
      <c r="B39" s="7" t="s">
        <v>9</v>
      </c>
      <c r="C39" s="7" t="s">
        <v>77</v>
      </c>
      <c r="D39" s="8">
        <v>2.4902937700000001</v>
      </c>
      <c r="E39" s="8">
        <v>1.8271912699999999</v>
      </c>
      <c r="F39" s="9" t="str">
        <f t="shared" si="0"/>
        <v>Direct</v>
      </c>
      <c r="G39" s="7" t="s">
        <v>78</v>
      </c>
    </row>
    <row r="40" spans="1:7" x14ac:dyDescent="0.2">
      <c r="A40" s="6" t="s">
        <v>8</v>
      </c>
      <c r="B40" s="7" t="s">
        <v>9</v>
      </c>
      <c r="C40" s="7" t="s">
        <v>79</v>
      </c>
      <c r="D40" s="8">
        <v>1.24983555</v>
      </c>
      <c r="E40" s="8">
        <v>1.7274721</v>
      </c>
      <c r="F40" s="9" t="str">
        <f t="shared" si="0"/>
        <v>Direct</v>
      </c>
      <c r="G40" s="7" t="s">
        <v>80</v>
      </c>
    </row>
    <row r="41" spans="1:7" x14ac:dyDescent="0.2">
      <c r="A41" s="6" t="s">
        <v>8</v>
      </c>
      <c r="B41" s="7" t="s">
        <v>9</v>
      </c>
      <c r="C41" s="7" t="s">
        <v>81</v>
      </c>
      <c r="D41" s="8">
        <v>-4.1788827</v>
      </c>
      <c r="E41" s="8">
        <v>-1.0208914</v>
      </c>
      <c r="F41" s="9" t="str">
        <f t="shared" si="0"/>
        <v>Direct</v>
      </c>
      <c r="G41" s="7" t="s">
        <v>11</v>
      </c>
    </row>
    <row r="42" spans="1:7" x14ac:dyDescent="0.2">
      <c r="A42" s="6" t="s">
        <v>8</v>
      </c>
      <c r="B42" s="7" t="s">
        <v>9</v>
      </c>
      <c r="C42" s="7" t="s">
        <v>82</v>
      </c>
      <c r="D42" s="8">
        <v>-1.6970862</v>
      </c>
      <c r="E42" s="8">
        <v>-7.1916966999999996</v>
      </c>
      <c r="F42" s="9" t="str">
        <f t="shared" si="0"/>
        <v>Direct</v>
      </c>
      <c r="G42" s="7" t="s">
        <v>83</v>
      </c>
    </row>
    <row r="43" spans="1:7" x14ac:dyDescent="0.2">
      <c r="A43" s="6" t="s">
        <v>8</v>
      </c>
      <c r="B43" s="7" t="s">
        <v>9</v>
      </c>
      <c r="C43" s="7" t="s">
        <v>84</v>
      </c>
      <c r="D43" s="8">
        <v>-1.2728495</v>
      </c>
      <c r="E43" s="8">
        <v>-1.6722973000000001</v>
      </c>
      <c r="F43" s="9" t="str">
        <f t="shared" si="0"/>
        <v>Direct</v>
      </c>
      <c r="G43" s="7" t="s">
        <v>11</v>
      </c>
    </row>
    <row r="44" spans="1:7" x14ac:dyDescent="0.2">
      <c r="A44" s="6" t="s">
        <v>8</v>
      </c>
      <c r="B44" s="7" t="s">
        <v>9</v>
      </c>
      <c r="C44" s="7" t="s">
        <v>85</v>
      </c>
      <c r="D44" s="8">
        <v>-2.0141987000000001</v>
      </c>
      <c r="E44" s="8">
        <v>-1.8910285</v>
      </c>
      <c r="F44" s="9" t="str">
        <f t="shared" si="0"/>
        <v>Direct</v>
      </c>
      <c r="G44" s="7" t="s">
        <v>11</v>
      </c>
    </row>
    <row r="45" spans="1:7" x14ac:dyDescent="0.2">
      <c r="A45" s="6" t="s">
        <v>8</v>
      </c>
      <c r="B45" s="7" t="s">
        <v>9</v>
      </c>
      <c r="C45" s="7" t="s">
        <v>86</v>
      </c>
      <c r="D45" s="8">
        <v>-1.1737892000000001</v>
      </c>
      <c r="E45" s="8">
        <v>-5.2380931999999998</v>
      </c>
      <c r="F45" s="9" t="str">
        <f t="shared" si="0"/>
        <v>Direct</v>
      </c>
      <c r="G45" s="7" t="s">
        <v>11</v>
      </c>
    </row>
    <row r="46" spans="1:7" x14ac:dyDescent="0.2">
      <c r="A46" s="6" t="s">
        <v>8</v>
      </c>
      <c r="B46" s="7" t="s">
        <v>9</v>
      </c>
      <c r="C46" s="7" t="s">
        <v>87</v>
      </c>
      <c r="D46" s="8">
        <v>-1.9968551000000001</v>
      </c>
      <c r="E46" s="8">
        <v>-2.1400215999999999</v>
      </c>
      <c r="F46" s="9" t="str">
        <f t="shared" si="0"/>
        <v>Direct</v>
      </c>
      <c r="G46" s="7" t="s">
        <v>11</v>
      </c>
    </row>
    <row r="47" spans="1:7" x14ac:dyDescent="0.2">
      <c r="A47" s="6" t="s">
        <v>8</v>
      </c>
      <c r="B47" s="7" t="s">
        <v>9</v>
      </c>
      <c r="C47" s="7" t="s">
        <v>88</v>
      </c>
      <c r="D47" s="8">
        <v>-2.5078505999999998</v>
      </c>
      <c r="E47" s="8">
        <v>-3.9818956000000001</v>
      </c>
      <c r="F47" s="9" t="str">
        <f t="shared" si="0"/>
        <v>Direct</v>
      </c>
      <c r="G47" s="7" t="s">
        <v>11</v>
      </c>
    </row>
    <row r="48" spans="1:7" x14ac:dyDescent="0.2">
      <c r="A48" s="6" t="s">
        <v>8</v>
      </c>
      <c r="B48" s="7" t="s">
        <v>9</v>
      </c>
      <c r="C48" s="7" t="s">
        <v>89</v>
      </c>
      <c r="D48" s="8">
        <v>-2.2444853999999999</v>
      </c>
      <c r="E48" s="8">
        <v>-1.763838</v>
      </c>
      <c r="F48" s="9" t="str">
        <f t="shared" si="0"/>
        <v>Direct</v>
      </c>
      <c r="G48" s="7" t="s">
        <v>11</v>
      </c>
    </row>
    <row r="49" spans="1:7" x14ac:dyDescent="0.2">
      <c r="A49" s="6" t="s">
        <v>8</v>
      </c>
      <c r="B49" s="7" t="s">
        <v>9</v>
      </c>
      <c r="C49" s="7" t="s">
        <v>90</v>
      </c>
      <c r="D49" s="8">
        <v>-1.574465</v>
      </c>
      <c r="E49" s="8">
        <v>-5.8617714999999997</v>
      </c>
      <c r="F49" s="9" t="str">
        <f t="shared" si="0"/>
        <v>Direct</v>
      </c>
      <c r="G49" s="7" t="s">
        <v>11</v>
      </c>
    </row>
    <row r="50" spans="1:7" x14ac:dyDescent="0.2">
      <c r="A50" s="6" t="s">
        <v>8</v>
      </c>
      <c r="B50" s="7" t="s">
        <v>9</v>
      </c>
      <c r="C50" s="7" t="s">
        <v>91</v>
      </c>
      <c r="D50" s="8">
        <v>1.5278222100000001</v>
      </c>
      <c r="E50" s="8">
        <v>2.0098088000000001</v>
      </c>
      <c r="F50" s="9" t="str">
        <f t="shared" si="0"/>
        <v>Direct</v>
      </c>
      <c r="G50" s="7" t="s">
        <v>92</v>
      </c>
    </row>
    <row r="51" spans="1:7" x14ac:dyDescent="0.2">
      <c r="A51" s="6" t="s">
        <v>8</v>
      </c>
      <c r="B51" s="7" t="s">
        <v>9</v>
      </c>
      <c r="C51" s="7" t="s">
        <v>93</v>
      </c>
      <c r="D51" s="8">
        <v>-1.4173091</v>
      </c>
      <c r="E51" s="8">
        <v>-1.1987223</v>
      </c>
      <c r="F51" s="9" t="str">
        <f t="shared" si="0"/>
        <v>Direct</v>
      </c>
      <c r="G51" s="7" t="s">
        <v>94</v>
      </c>
    </row>
    <row r="52" spans="1:7" x14ac:dyDescent="0.2">
      <c r="A52" s="6" t="s">
        <v>8</v>
      </c>
      <c r="B52" s="7" t="s">
        <v>9</v>
      </c>
      <c r="C52" s="7" t="s">
        <v>95</v>
      </c>
      <c r="D52" s="8">
        <v>-3.3860168000000002</v>
      </c>
      <c r="E52" s="8">
        <v>-3.6229499000000001</v>
      </c>
      <c r="F52" s="9" t="str">
        <f t="shared" si="0"/>
        <v>Direct</v>
      </c>
      <c r="G52" s="7" t="s">
        <v>35</v>
      </c>
    </row>
    <row r="53" spans="1:7" x14ac:dyDescent="0.2">
      <c r="A53" s="6" t="s">
        <v>8</v>
      </c>
      <c r="B53" s="7" t="s">
        <v>9</v>
      </c>
      <c r="C53" s="7" t="s">
        <v>96</v>
      </c>
      <c r="D53" s="8">
        <v>1.99490878</v>
      </c>
      <c r="E53" s="8">
        <v>1.08471513</v>
      </c>
      <c r="F53" s="9" t="str">
        <f t="shared" si="0"/>
        <v>Direct</v>
      </c>
      <c r="G53" s="7" t="s">
        <v>97</v>
      </c>
    </row>
    <row r="54" spans="1:7" x14ac:dyDescent="0.2">
      <c r="A54" s="6" t="s">
        <v>8</v>
      </c>
      <c r="B54" s="7" t="s">
        <v>9</v>
      </c>
      <c r="C54" s="7" t="s">
        <v>98</v>
      </c>
      <c r="D54" s="8">
        <v>-4.3782551999999999</v>
      </c>
      <c r="E54" s="8">
        <v>-5.4951249000000004</v>
      </c>
      <c r="F54" s="9" t="str">
        <f t="shared" si="0"/>
        <v>Direct</v>
      </c>
      <c r="G54" s="7" t="s">
        <v>11</v>
      </c>
    </row>
    <row r="55" spans="1:7" x14ac:dyDescent="0.2">
      <c r="A55" s="6" t="s">
        <v>8</v>
      </c>
      <c r="B55" s="7" t="s">
        <v>9</v>
      </c>
      <c r="C55" s="7" t="s">
        <v>99</v>
      </c>
      <c r="D55" s="8">
        <v>-1.4999106</v>
      </c>
      <c r="E55" s="8">
        <v>-1.0904885</v>
      </c>
      <c r="F55" s="9" t="str">
        <f t="shared" si="0"/>
        <v>Direct</v>
      </c>
      <c r="G55" s="7" t="s">
        <v>100</v>
      </c>
    </row>
    <row r="56" spans="1:7" x14ac:dyDescent="0.2">
      <c r="A56" s="6" t="s">
        <v>8</v>
      </c>
      <c r="B56" s="7" t="s">
        <v>9</v>
      </c>
      <c r="C56" s="7" t="s">
        <v>101</v>
      </c>
      <c r="D56" s="8">
        <v>1.5613072100000001</v>
      </c>
      <c r="E56" s="8">
        <v>4.2135334799999997</v>
      </c>
      <c r="F56" s="9" t="str">
        <f t="shared" si="0"/>
        <v>Direct</v>
      </c>
      <c r="G56" s="7" t="s">
        <v>102</v>
      </c>
    </row>
    <row r="57" spans="1:7" x14ac:dyDescent="0.2">
      <c r="A57" s="6" t="s">
        <v>8</v>
      </c>
      <c r="B57" s="7" t="s">
        <v>9</v>
      </c>
      <c r="C57" s="7" t="s">
        <v>103</v>
      </c>
      <c r="D57" s="8">
        <v>-1.4153232</v>
      </c>
      <c r="E57" s="8">
        <v>-4.0781466999999996</v>
      </c>
      <c r="F57" s="9" t="str">
        <f t="shared" si="0"/>
        <v>Direct</v>
      </c>
      <c r="G57" s="7" t="s">
        <v>11</v>
      </c>
    </row>
    <row r="58" spans="1:7" x14ac:dyDescent="0.2">
      <c r="A58" s="6" t="s">
        <v>8</v>
      </c>
      <c r="B58" s="7" t="s">
        <v>9</v>
      </c>
      <c r="C58" s="7" t="s">
        <v>104</v>
      </c>
      <c r="D58" s="8">
        <v>-2.7827847000000001</v>
      </c>
      <c r="E58" s="8">
        <v>-2.8084357</v>
      </c>
      <c r="F58" s="9" t="str">
        <f t="shared" si="0"/>
        <v>Direct</v>
      </c>
      <c r="G58" s="7" t="s">
        <v>11</v>
      </c>
    </row>
    <row r="59" spans="1:7" x14ac:dyDescent="0.2">
      <c r="A59" s="6" t="s">
        <v>8</v>
      </c>
      <c r="B59" s="7" t="s">
        <v>9</v>
      </c>
      <c r="C59" s="7" t="s">
        <v>105</v>
      </c>
      <c r="D59" s="8">
        <v>-1.4421849</v>
      </c>
      <c r="E59" s="8">
        <v>-2.1468254999999998</v>
      </c>
      <c r="F59" s="9" t="str">
        <f t="shared" si="0"/>
        <v>Direct</v>
      </c>
      <c r="G59" s="7" t="s">
        <v>106</v>
      </c>
    </row>
    <row r="60" spans="1:7" x14ac:dyDescent="0.2">
      <c r="A60" s="6" t="s">
        <v>8</v>
      </c>
      <c r="B60" s="7" t="s">
        <v>9</v>
      </c>
      <c r="C60" s="7" t="s">
        <v>107</v>
      </c>
      <c r="D60" s="8">
        <v>-6.0709660999999997</v>
      </c>
      <c r="E60" s="8">
        <v>-5.5595474999999999</v>
      </c>
      <c r="F60" s="9" t="str">
        <f t="shared" si="0"/>
        <v>Direct</v>
      </c>
      <c r="G60" s="7" t="s">
        <v>11</v>
      </c>
    </row>
    <row r="61" spans="1:7" x14ac:dyDescent="0.2">
      <c r="A61" s="6" t="s">
        <v>8</v>
      </c>
      <c r="B61" s="7" t="s">
        <v>9</v>
      </c>
      <c r="C61" s="7" t="s">
        <v>108</v>
      </c>
      <c r="D61" s="8">
        <v>-2.9998326999999998</v>
      </c>
      <c r="E61" s="8">
        <v>-3.4433313000000001</v>
      </c>
      <c r="F61" s="9" t="str">
        <f t="shared" si="0"/>
        <v>Direct</v>
      </c>
      <c r="G61" s="7" t="s">
        <v>11</v>
      </c>
    </row>
    <row r="62" spans="1:7" x14ac:dyDescent="0.2">
      <c r="A62" s="6" t="s">
        <v>8</v>
      </c>
      <c r="B62" s="7" t="s">
        <v>9</v>
      </c>
      <c r="C62" s="7" t="s">
        <v>109</v>
      </c>
      <c r="D62" s="8">
        <v>-1.824748</v>
      </c>
      <c r="E62" s="8">
        <v>-4.5394199000000004</v>
      </c>
      <c r="F62" s="9" t="str">
        <f t="shared" si="0"/>
        <v>Direct</v>
      </c>
      <c r="G62" s="7" t="s">
        <v>11</v>
      </c>
    </row>
    <row r="63" spans="1:7" x14ac:dyDescent="0.2">
      <c r="A63" s="6" t="s">
        <v>8</v>
      </c>
      <c r="B63" s="7" t="s">
        <v>9</v>
      </c>
      <c r="C63" s="7" t="s">
        <v>110</v>
      </c>
      <c r="D63" s="8">
        <v>-1.8218015999999999</v>
      </c>
      <c r="E63" s="8">
        <v>-3.8615835000000001</v>
      </c>
      <c r="F63" s="9" t="str">
        <f t="shared" si="0"/>
        <v>Direct</v>
      </c>
      <c r="G63" s="7" t="s">
        <v>111</v>
      </c>
    </row>
    <row r="64" spans="1:7" x14ac:dyDescent="0.2">
      <c r="A64" s="6" t="s">
        <v>8</v>
      </c>
      <c r="B64" s="7" t="s">
        <v>9</v>
      </c>
      <c r="C64" s="7" t="s">
        <v>112</v>
      </c>
      <c r="D64" s="8">
        <v>2.3006106399999999</v>
      </c>
      <c r="E64" s="8">
        <v>3.1735640599999999</v>
      </c>
      <c r="F64" s="9" t="str">
        <f t="shared" si="0"/>
        <v>Direct</v>
      </c>
      <c r="G64" s="7" t="s">
        <v>113</v>
      </c>
    </row>
    <row r="65" spans="1:7" x14ac:dyDescent="0.2">
      <c r="A65" s="6" t="s">
        <v>8</v>
      </c>
      <c r="B65" s="7" t="s">
        <v>9</v>
      </c>
      <c r="C65" s="7" t="s">
        <v>114</v>
      </c>
      <c r="D65" s="8">
        <v>1.4881129500000001</v>
      </c>
      <c r="E65" s="8">
        <v>1.1160238099999999</v>
      </c>
      <c r="F65" s="9" t="str">
        <f t="shared" si="0"/>
        <v>Direct</v>
      </c>
      <c r="G65" s="7" t="s">
        <v>11</v>
      </c>
    </row>
    <row r="66" spans="1:7" x14ac:dyDescent="0.2">
      <c r="A66" s="6" t="s">
        <v>8</v>
      </c>
      <c r="B66" s="7" t="s">
        <v>9</v>
      </c>
      <c r="C66" s="7" t="s">
        <v>115</v>
      </c>
      <c r="D66" s="8">
        <v>-3.9139800999999999</v>
      </c>
      <c r="E66" s="8">
        <v>-6.3943164000000001</v>
      </c>
      <c r="F66" s="9" t="str">
        <f t="shared" si="0"/>
        <v>Direct</v>
      </c>
      <c r="G66" s="7" t="s">
        <v>11</v>
      </c>
    </row>
    <row r="67" spans="1:7" x14ac:dyDescent="0.2">
      <c r="A67" s="6" t="s">
        <v>8</v>
      </c>
      <c r="B67" s="7" t="s">
        <v>9</v>
      </c>
      <c r="C67" s="7" t="s">
        <v>116</v>
      </c>
      <c r="D67" s="8">
        <v>1.3651442300000001</v>
      </c>
      <c r="E67" s="8">
        <v>4.4682941500000002</v>
      </c>
      <c r="F67" s="9" t="str">
        <f t="shared" si="0"/>
        <v>Direct</v>
      </c>
      <c r="G67" s="7" t="s">
        <v>11</v>
      </c>
    </row>
    <row r="68" spans="1:7" x14ac:dyDescent="0.2">
      <c r="A68" s="6" t="s">
        <v>8</v>
      </c>
      <c r="B68" s="7" t="s">
        <v>9</v>
      </c>
      <c r="C68" s="7" t="s">
        <v>117</v>
      </c>
      <c r="D68" s="8">
        <v>-2.6454312999999998</v>
      </c>
      <c r="E68" s="8">
        <v>-1.2864196999999999</v>
      </c>
      <c r="F68" s="9" t="str">
        <f t="shared" si="0"/>
        <v>Direct</v>
      </c>
      <c r="G68" s="7" t="s">
        <v>118</v>
      </c>
    </row>
    <row r="69" spans="1:7" x14ac:dyDescent="0.2">
      <c r="A69" s="6" t="s">
        <v>8</v>
      </c>
      <c r="B69" s="7" t="s">
        <v>9</v>
      </c>
      <c r="C69" s="7" t="s">
        <v>119</v>
      </c>
      <c r="D69" s="8">
        <v>-1.1890845999999999</v>
      </c>
      <c r="E69" s="8">
        <v>-9.6549399000000005</v>
      </c>
      <c r="F69" s="9" t="str">
        <f t="shared" si="0"/>
        <v>Direct</v>
      </c>
      <c r="G69" s="7" t="s">
        <v>11</v>
      </c>
    </row>
    <row r="70" spans="1:7" x14ac:dyDescent="0.2">
      <c r="A70" s="6" t="s">
        <v>8</v>
      </c>
      <c r="B70" s="7" t="s">
        <v>9</v>
      </c>
      <c r="C70" s="7" t="s">
        <v>120</v>
      </c>
      <c r="D70" s="8">
        <v>1.3494366200000001</v>
      </c>
      <c r="E70" s="8">
        <v>1.2497211100000001</v>
      </c>
      <c r="F70" s="9" t="str">
        <f t="shared" si="0"/>
        <v>Direct</v>
      </c>
      <c r="G70" s="7" t="s">
        <v>121</v>
      </c>
    </row>
    <row r="71" spans="1:7" x14ac:dyDescent="0.2">
      <c r="A71" s="6" t="s">
        <v>8</v>
      </c>
      <c r="B71" s="7" t="s">
        <v>9</v>
      </c>
      <c r="C71" s="7" t="s">
        <v>122</v>
      </c>
      <c r="D71" s="8">
        <v>-1.3848503000000001</v>
      </c>
      <c r="E71" s="8">
        <v>-1.3983460999999999</v>
      </c>
      <c r="F71" s="9" t="str">
        <f t="shared" si="0"/>
        <v>Direct</v>
      </c>
      <c r="G71" s="7" t="s">
        <v>11</v>
      </c>
    </row>
    <row r="72" spans="1:7" x14ac:dyDescent="0.2">
      <c r="A72" s="6" t="s">
        <v>8</v>
      </c>
      <c r="B72" s="7" t="s">
        <v>9</v>
      </c>
      <c r="C72" s="7" t="s">
        <v>123</v>
      </c>
      <c r="D72" s="8">
        <v>4.46041357</v>
      </c>
      <c r="E72" s="8">
        <v>7.4509773499999996</v>
      </c>
      <c r="F72" s="9" t="str">
        <f t="shared" si="0"/>
        <v>Direct</v>
      </c>
      <c r="G72" s="7" t="s">
        <v>11</v>
      </c>
    </row>
    <row r="73" spans="1:7" x14ac:dyDescent="0.2">
      <c r="A73" s="6" t="s">
        <v>8</v>
      </c>
      <c r="B73" s="7" t="s">
        <v>9</v>
      </c>
      <c r="C73" s="7" t="s">
        <v>124</v>
      </c>
      <c r="D73" s="8">
        <v>-1.6486928000000001</v>
      </c>
      <c r="E73" s="8">
        <v>-4.7315477000000001</v>
      </c>
      <c r="F73" s="9" t="str">
        <f t="shared" si="0"/>
        <v>Direct</v>
      </c>
      <c r="G73" s="7" t="s">
        <v>125</v>
      </c>
    </row>
    <row r="74" spans="1:7" x14ac:dyDescent="0.2">
      <c r="A74" s="6" t="s">
        <v>8</v>
      </c>
      <c r="B74" s="7" t="s">
        <v>9</v>
      </c>
      <c r="C74" s="7" t="s">
        <v>126</v>
      </c>
      <c r="D74" s="8">
        <v>1.70550263</v>
      </c>
      <c r="E74" s="8">
        <v>3.7441521299999998</v>
      </c>
      <c r="F74" s="9" t="str">
        <f t="shared" si="0"/>
        <v>Direct</v>
      </c>
      <c r="G74" s="7" t="s">
        <v>127</v>
      </c>
    </row>
    <row r="75" spans="1:7" x14ac:dyDescent="0.2">
      <c r="A75" s="6" t="s">
        <v>8</v>
      </c>
      <c r="B75" s="7" t="s">
        <v>9</v>
      </c>
      <c r="C75" s="7" t="s">
        <v>128</v>
      </c>
      <c r="D75" s="8">
        <v>1.3234512199999999</v>
      </c>
      <c r="E75" s="8">
        <v>8.7115959699999994</v>
      </c>
      <c r="F75" s="9" t="str">
        <f t="shared" si="0"/>
        <v>Direct</v>
      </c>
      <c r="G75" s="7" t="s">
        <v>11</v>
      </c>
    </row>
    <row r="76" spans="1:7" x14ac:dyDescent="0.2">
      <c r="A76" s="6" t="s">
        <v>8</v>
      </c>
      <c r="B76" s="7" t="s">
        <v>9</v>
      </c>
      <c r="C76" s="7" t="s">
        <v>129</v>
      </c>
      <c r="D76" s="8">
        <v>1.0188392100000001</v>
      </c>
      <c r="E76" s="8">
        <v>2.0187128200000002</v>
      </c>
      <c r="F76" s="9" t="str">
        <f t="shared" si="0"/>
        <v>Direct</v>
      </c>
      <c r="G76" s="7" t="s">
        <v>11</v>
      </c>
    </row>
    <row r="77" spans="1:7" x14ac:dyDescent="0.2">
      <c r="A77" s="6" t="s">
        <v>8</v>
      </c>
      <c r="B77" s="7" t="s">
        <v>9</v>
      </c>
      <c r="C77" s="7" t="s">
        <v>130</v>
      </c>
      <c r="D77" s="8">
        <v>-1.8205191999999999</v>
      </c>
      <c r="E77" s="8">
        <v>-3.3992111999999999</v>
      </c>
      <c r="F77" s="9" t="str">
        <f t="shared" si="0"/>
        <v>Direct</v>
      </c>
      <c r="G77" s="7" t="s">
        <v>11</v>
      </c>
    </row>
    <row r="78" spans="1:7" x14ac:dyDescent="0.2">
      <c r="A78" s="6" t="s">
        <v>8</v>
      </c>
      <c r="B78" s="7" t="s">
        <v>9</v>
      </c>
      <c r="C78" s="7" t="s">
        <v>131</v>
      </c>
      <c r="D78" s="8">
        <v>2.4857655300000001</v>
      </c>
      <c r="E78" s="8">
        <v>15.5750782</v>
      </c>
      <c r="F78" s="9" t="str">
        <f t="shared" si="0"/>
        <v>Direct</v>
      </c>
      <c r="G78" s="7" t="s">
        <v>11</v>
      </c>
    </row>
    <row r="79" spans="1:7" x14ac:dyDescent="0.2">
      <c r="A79" s="6" t="s">
        <v>8</v>
      </c>
      <c r="B79" s="7" t="s">
        <v>9</v>
      </c>
      <c r="C79" s="7" t="s">
        <v>132</v>
      </c>
      <c r="D79" s="8">
        <v>1.0884174</v>
      </c>
      <c r="E79" s="8">
        <v>5.5538309100000003</v>
      </c>
      <c r="F79" s="9" t="str">
        <f t="shared" si="0"/>
        <v>Direct</v>
      </c>
      <c r="G79" s="7" t="s">
        <v>133</v>
      </c>
    </row>
    <row r="80" spans="1:7" x14ac:dyDescent="0.2">
      <c r="A80" s="6" t="s">
        <v>8</v>
      </c>
      <c r="B80" s="7" t="s">
        <v>9</v>
      </c>
      <c r="C80" s="7" t="s">
        <v>134</v>
      </c>
      <c r="D80" s="8">
        <v>1.3848503299999999</v>
      </c>
      <c r="E80" s="8">
        <v>5.0481776199999997</v>
      </c>
      <c r="F80" s="9" t="str">
        <f t="shared" si="0"/>
        <v>Direct</v>
      </c>
      <c r="G80" s="7" t="s">
        <v>135</v>
      </c>
    </row>
    <row r="81" spans="1:7" x14ac:dyDescent="0.2">
      <c r="A81" s="6" t="s">
        <v>8</v>
      </c>
      <c r="B81" s="7" t="s">
        <v>9</v>
      </c>
      <c r="C81" s="7" t="s">
        <v>136</v>
      </c>
      <c r="D81" s="8">
        <v>1.0779872399999999</v>
      </c>
      <c r="E81" s="8">
        <v>7.3936959199999999</v>
      </c>
      <c r="F81" s="9" t="str">
        <f t="shared" si="0"/>
        <v>Direct</v>
      </c>
      <c r="G81" s="7" t="s">
        <v>137</v>
      </c>
    </row>
    <row r="82" spans="1:7" x14ac:dyDescent="0.2">
      <c r="A82" s="6" t="s">
        <v>8</v>
      </c>
      <c r="B82" s="7" t="s">
        <v>9</v>
      </c>
      <c r="C82" s="7" t="s">
        <v>138</v>
      </c>
      <c r="D82" s="8">
        <v>-1.1463525000000001</v>
      </c>
      <c r="E82" s="8">
        <v>-1.7538528</v>
      </c>
      <c r="F82" s="9" t="str">
        <f t="shared" si="0"/>
        <v>Direct</v>
      </c>
      <c r="G82" s="7" t="s">
        <v>139</v>
      </c>
    </row>
    <row r="83" spans="1:7" x14ac:dyDescent="0.2">
      <c r="A83" s="6" t="s">
        <v>8</v>
      </c>
      <c r="B83" s="7" t="s">
        <v>9</v>
      </c>
      <c r="C83" s="7" t="s">
        <v>140</v>
      </c>
      <c r="D83" s="8">
        <v>-1.9172347000000001</v>
      </c>
      <c r="E83" s="8">
        <v>-6.0703345999999998</v>
      </c>
      <c r="F83" s="9" t="str">
        <f t="shared" si="0"/>
        <v>Direct</v>
      </c>
      <c r="G83" s="7" t="s">
        <v>11</v>
      </c>
    </row>
    <row r="84" spans="1:7" x14ac:dyDescent="0.2">
      <c r="A84" s="6" t="s">
        <v>8</v>
      </c>
      <c r="B84" s="7" t="s">
        <v>9</v>
      </c>
      <c r="C84" s="7" t="s">
        <v>141</v>
      </c>
      <c r="D84" s="8">
        <v>1.6979859900000001</v>
      </c>
      <c r="E84" s="8">
        <v>1.3149286499999999</v>
      </c>
      <c r="F84" s="9" t="str">
        <f t="shared" si="0"/>
        <v>Direct</v>
      </c>
      <c r="G84" s="7" t="s">
        <v>11</v>
      </c>
    </row>
    <row r="85" spans="1:7" x14ac:dyDescent="0.2">
      <c r="A85" s="6" t="s">
        <v>8</v>
      </c>
      <c r="B85" s="7" t="s">
        <v>9</v>
      </c>
      <c r="C85" s="7" t="s">
        <v>142</v>
      </c>
      <c r="D85" s="8">
        <v>1.0876580199999999</v>
      </c>
      <c r="E85" s="8">
        <v>1.6794775</v>
      </c>
      <c r="F85" s="9" t="str">
        <f t="shared" si="0"/>
        <v>Direct</v>
      </c>
      <c r="G85" s="7" t="s">
        <v>11</v>
      </c>
    </row>
    <row r="86" spans="1:7" x14ac:dyDescent="0.2">
      <c r="A86" s="6" t="s">
        <v>8</v>
      </c>
      <c r="B86" s="7" t="s">
        <v>9</v>
      </c>
      <c r="C86" s="7" t="s">
        <v>143</v>
      </c>
      <c r="D86" s="8">
        <v>-2.6892005000000001</v>
      </c>
      <c r="E86" s="8">
        <v>-3.2756685999999999</v>
      </c>
      <c r="F86" s="9" t="str">
        <f t="shared" si="0"/>
        <v>Direct</v>
      </c>
      <c r="G86" s="7" t="s">
        <v>144</v>
      </c>
    </row>
    <row r="87" spans="1:7" x14ac:dyDescent="0.2">
      <c r="A87" s="6" t="s">
        <v>8</v>
      </c>
      <c r="B87" s="7" t="s">
        <v>9</v>
      </c>
      <c r="C87" s="7" t="s">
        <v>145</v>
      </c>
      <c r="D87" s="8">
        <v>-1.0369778999999999</v>
      </c>
      <c r="E87" s="8">
        <v>-2.3561158999999998</v>
      </c>
      <c r="F87" s="9" t="str">
        <f t="shared" si="0"/>
        <v>Direct</v>
      </c>
      <c r="G87" s="7" t="s">
        <v>146</v>
      </c>
    </row>
    <row r="88" spans="1:7" x14ac:dyDescent="0.2">
      <c r="A88" s="6" t="s">
        <v>8</v>
      </c>
      <c r="B88" s="7" t="s">
        <v>9</v>
      </c>
      <c r="C88" s="7" t="s">
        <v>147</v>
      </c>
      <c r="D88" s="8">
        <v>1.12855397</v>
      </c>
      <c r="E88" s="8">
        <v>3.55042217</v>
      </c>
      <c r="F88" s="9" t="str">
        <f t="shared" si="0"/>
        <v>Direct</v>
      </c>
      <c r="G88" s="7" t="s">
        <v>11</v>
      </c>
    </row>
    <row r="89" spans="1:7" x14ac:dyDescent="0.2">
      <c r="A89" s="6" t="s">
        <v>8</v>
      </c>
      <c r="B89" s="7" t="s">
        <v>9</v>
      </c>
      <c r="C89" s="7" t="s">
        <v>148</v>
      </c>
      <c r="D89" s="8">
        <v>-1.1895492999999999</v>
      </c>
      <c r="E89" s="8">
        <v>-1.7475825</v>
      </c>
      <c r="F89" s="9" t="str">
        <f t="shared" si="0"/>
        <v>Direct</v>
      </c>
      <c r="G89" s="7" t="s">
        <v>149</v>
      </c>
    </row>
    <row r="90" spans="1:7" x14ac:dyDescent="0.2">
      <c r="A90" s="6" t="s">
        <v>8</v>
      </c>
      <c r="B90" s="7" t="s">
        <v>9</v>
      </c>
      <c r="C90" s="7" t="s">
        <v>150</v>
      </c>
      <c r="D90" s="8">
        <v>-1.5056252999999999</v>
      </c>
      <c r="E90" s="8">
        <v>-3.3290478000000001</v>
      </c>
      <c r="F90" s="9" t="str">
        <f t="shared" si="0"/>
        <v>Direct</v>
      </c>
      <c r="G90" s="7" t="s">
        <v>151</v>
      </c>
    </row>
    <row r="91" spans="1:7" x14ac:dyDescent="0.2">
      <c r="A91" s="6" t="s">
        <v>8</v>
      </c>
      <c r="B91" s="7" t="s">
        <v>9</v>
      </c>
      <c r="C91" s="7" t="s">
        <v>152</v>
      </c>
      <c r="D91" s="8">
        <v>-1.8228294</v>
      </c>
      <c r="E91" s="8">
        <v>-4.5902652000000002</v>
      </c>
      <c r="F91" s="9" t="str">
        <f t="shared" si="0"/>
        <v>Direct</v>
      </c>
      <c r="G91" s="7" t="s">
        <v>11</v>
      </c>
    </row>
    <row r="92" spans="1:7" x14ac:dyDescent="0.2">
      <c r="A92" s="6" t="s">
        <v>8</v>
      </c>
      <c r="B92" s="7" t="s">
        <v>9</v>
      </c>
      <c r="C92" s="7" t="s">
        <v>153</v>
      </c>
      <c r="D92" s="8">
        <v>-1.2972374</v>
      </c>
      <c r="E92" s="8">
        <v>-1.7796763</v>
      </c>
      <c r="F92" s="9" t="str">
        <f t="shared" si="0"/>
        <v>Direct</v>
      </c>
      <c r="G92" s="7" t="s">
        <v>154</v>
      </c>
    </row>
    <row r="93" spans="1:7" x14ac:dyDescent="0.2">
      <c r="A93" s="6" t="s">
        <v>8</v>
      </c>
      <c r="B93" s="7" t="s">
        <v>9</v>
      </c>
      <c r="C93" s="7" t="s">
        <v>155</v>
      </c>
      <c r="D93" s="8">
        <v>-1.3494366</v>
      </c>
      <c r="E93" s="8">
        <v>-1.5886823000000001</v>
      </c>
      <c r="F93" s="9" t="str">
        <f t="shared" si="0"/>
        <v>Direct</v>
      </c>
      <c r="G93" s="7" t="s">
        <v>156</v>
      </c>
    </row>
    <row r="94" spans="1:7" x14ac:dyDescent="0.2">
      <c r="A94" s="6" t="s">
        <v>8</v>
      </c>
      <c r="B94" s="7" t="s">
        <v>9</v>
      </c>
      <c r="C94" s="7" t="s">
        <v>157</v>
      </c>
      <c r="D94" s="8">
        <v>-3.0414812000000002</v>
      </c>
      <c r="E94" s="8">
        <v>-3.4931779999999999</v>
      </c>
      <c r="F94" s="9" t="str">
        <f t="shared" si="0"/>
        <v>Direct</v>
      </c>
      <c r="G94" s="7" t="s">
        <v>158</v>
      </c>
    </row>
    <row r="95" spans="1:7" x14ac:dyDescent="0.2">
      <c r="A95" s="6" t="s">
        <v>8</v>
      </c>
      <c r="B95" s="7" t="s">
        <v>9</v>
      </c>
      <c r="C95" s="7" t="s">
        <v>159</v>
      </c>
      <c r="D95" s="8">
        <v>-1.2942838000000001</v>
      </c>
      <c r="E95" s="8">
        <v>-4.4064987000000002</v>
      </c>
      <c r="F95" s="9" t="str">
        <f t="shared" si="0"/>
        <v>Direct</v>
      </c>
      <c r="G95" s="7" t="s">
        <v>11</v>
      </c>
    </row>
    <row r="96" spans="1:7" x14ac:dyDescent="0.2">
      <c r="A96" s="6" t="s">
        <v>8</v>
      </c>
      <c r="B96" s="7" t="s">
        <v>9</v>
      </c>
      <c r="C96" s="7" t="s">
        <v>160</v>
      </c>
      <c r="D96" s="8">
        <v>-2.5624459000000002</v>
      </c>
      <c r="E96" s="8">
        <v>-7.0929244000000002</v>
      </c>
      <c r="F96" s="9" t="str">
        <f t="shared" si="0"/>
        <v>Direct</v>
      </c>
      <c r="G96" s="7" t="s">
        <v>11</v>
      </c>
    </row>
    <row r="97" spans="1:7" x14ac:dyDescent="0.2">
      <c r="A97" s="6" t="s">
        <v>8</v>
      </c>
      <c r="B97" s="7" t="s">
        <v>9</v>
      </c>
      <c r="C97" s="7" t="s">
        <v>161</v>
      </c>
      <c r="D97" s="8">
        <v>-1.3353626999999999</v>
      </c>
      <c r="E97" s="8">
        <v>-5.2092228</v>
      </c>
      <c r="F97" s="9" t="str">
        <f t="shared" si="0"/>
        <v>Direct</v>
      </c>
      <c r="G97" s="7" t="s">
        <v>11</v>
      </c>
    </row>
    <row r="98" spans="1:7" x14ac:dyDescent="0.2">
      <c r="A98" s="6" t="s">
        <v>8</v>
      </c>
      <c r="B98" s="7" t="s">
        <v>9</v>
      </c>
      <c r="C98" s="7" t="s">
        <v>162</v>
      </c>
      <c r="D98" s="8">
        <v>-2.3729827000000001</v>
      </c>
      <c r="E98" s="8">
        <v>-1.8679342999999999</v>
      </c>
      <c r="F98" s="9" t="str">
        <f t="shared" si="0"/>
        <v>Direct</v>
      </c>
      <c r="G98" s="7" t="s">
        <v>163</v>
      </c>
    </row>
    <row r="99" spans="1:7" x14ac:dyDescent="0.2">
      <c r="A99" s="6" t="s">
        <v>8</v>
      </c>
      <c r="B99" s="7" t="s">
        <v>9</v>
      </c>
      <c r="C99" s="7" t="s">
        <v>164</v>
      </c>
      <c r="D99" s="8">
        <v>1.4055139299999999</v>
      </c>
      <c r="E99" s="8">
        <v>3.85881009</v>
      </c>
      <c r="F99" s="9" t="str">
        <f t="shared" si="0"/>
        <v>Direct</v>
      </c>
      <c r="G99" s="7" t="s">
        <v>11</v>
      </c>
    </row>
    <row r="100" spans="1:7" x14ac:dyDescent="0.2">
      <c r="A100" s="6" t="s">
        <v>8</v>
      </c>
      <c r="B100" s="7" t="s">
        <v>9</v>
      </c>
      <c r="C100" s="7" t="s">
        <v>165</v>
      </c>
      <c r="D100" s="8">
        <v>1.1064981300000001</v>
      </c>
      <c r="E100" s="8">
        <v>1.12272824</v>
      </c>
      <c r="F100" s="9" t="str">
        <f t="shared" si="0"/>
        <v>Direct</v>
      </c>
      <c r="G100" s="7" t="s">
        <v>11</v>
      </c>
    </row>
    <row r="101" spans="1:7" x14ac:dyDescent="0.2">
      <c r="A101" s="6" t="s">
        <v>8</v>
      </c>
      <c r="B101" s="7" t="s">
        <v>9</v>
      </c>
      <c r="C101" s="7" t="s">
        <v>166</v>
      </c>
      <c r="D101" s="8">
        <v>-1.9825865</v>
      </c>
      <c r="E101" s="8">
        <v>-1.4411301000000001</v>
      </c>
      <c r="F101" s="9" t="str">
        <f t="shared" si="0"/>
        <v>Direct</v>
      </c>
      <c r="G101" s="7" t="s">
        <v>167</v>
      </c>
    </row>
    <row r="102" spans="1:7" x14ac:dyDescent="0.2">
      <c r="A102" s="6" t="s">
        <v>8</v>
      </c>
      <c r="B102" s="7" t="s">
        <v>9</v>
      </c>
      <c r="C102" s="7" t="s">
        <v>168</v>
      </c>
      <c r="D102" s="8">
        <v>-5.8834194999999996</v>
      </c>
      <c r="E102" s="8">
        <v>-3.4639541</v>
      </c>
      <c r="F102" s="9" t="str">
        <f t="shared" si="0"/>
        <v>Direct</v>
      </c>
      <c r="G102" s="7" t="s">
        <v>11</v>
      </c>
    </row>
    <row r="103" spans="1:7" x14ac:dyDescent="0.2">
      <c r="A103" s="6" t="s">
        <v>8</v>
      </c>
      <c r="B103" s="7" t="s">
        <v>9</v>
      </c>
      <c r="C103" s="7" t="s">
        <v>169</v>
      </c>
      <c r="D103" s="8">
        <v>-1.3459383</v>
      </c>
      <c r="E103" s="8">
        <v>-1.3285947</v>
      </c>
      <c r="F103" s="9" t="str">
        <f t="shared" si="0"/>
        <v>Direct</v>
      </c>
      <c r="G103" s="7" t="s">
        <v>11</v>
      </c>
    </row>
    <row r="104" spans="1:7" x14ac:dyDescent="0.2">
      <c r="A104" s="6" t="s">
        <v>8</v>
      </c>
      <c r="B104" s="7" t="s">
        <v>9</v>
      </c>
      <c r="C104" s="7" t="s">
        <v>170</v>
      </c>
      <c r="D104" s="8">
        <v>1.3459382799999999</v>
      </c>
      <c r="E104" s="8">
        <v>-3.0143650000000002</v>
      </c>
      <c r="F104" s="9" t="str">
        <f t="shared" si="0"/>
        <v>Inverse</v>
      </c>
      <c r="G104" s="7" t="s">
        <v>11</v>
      </c>
    </row>
    <row r="105" spans="1:7" x14ac:dyDescent="0.2">
      <c r="A105" s="6" t="s">
        <v>8</v>
      </c>
      <c r="B105" s="7" t="s">
        <v>9</v>
      </c>
      <c r="C105" s="7" t="s">
        <v>171</v>
      </c>
      <c r="D105" s="8">
        <v>-1.3066062000000001</v>
      </c>
      <c r="E105" s="8">
        <v>-6.0995077000000002</v>
      </c>
      <c r="F105" s="9" t="str">
        <f t="shared" si="0"/>
        <v>Direct</v>
      </c>
      <c r="G105" s="7" t="s">
        <v>11</v>
      </c>
    </row>
    <row r="106" spans="1:7" x14ac:dyDescent="0.2">
      <c r="A106" s="6" t="s">
        <v>8</v>
      </c>
      <c r="B106" s="7" t="s">
        <v>9</v>
      </c>
      <c r="C106" s="7" t="s">
        <v>172</v>
      </c>
      <c r="D106" s="8">
        <v>-1.5311011000000001</v>
      </c>
      <c r="E106" s="8">
        <v>-5.0079181000000004</v>
      </c>
      <c r="F106" s="9" t="str">
        <f t="shared" si="0"/>
        <v>Direct</v>
      </c>
      <c r="G106" s="7" t="s">
        <v>11</v>
      </c>
    </row>
    <row r="107" spans="1:7" x14ac:dyDescent="0.2">
      <c r="A107" s="6" t="s">
        <v>8</v>
      </c>
      <c r="B107" s="7" t="s">
        <v>9</v>
      </c>
      <c r="C107" s="7" t="s">
        <v>173</v>
      </c>
      <c r="D107" s="8">
        <v>2.7827847299999999</v>
      </c>
      <c r="E107" s="8">
        <v>1.88308046</v>
      </c>
      <c r="F107" s="9" t="str">
        <f t="shared" si="0"/>
        <v>Direct</v>
      </c>
      <c r="G107" s="7" t="s">
        <v>11</v>
      </c>
    </row>
    <row r="108" spans="1:7" x14ac:dyDescent="0.2">
      <c r="A108" s="6" t="s">
        <v>8</v>
      </c>
      <c r="B108" s="7" t="s">
        <v>9</v>
      </c>
      <c r="C108" s="7" t="s">
        <v>174</v>
      </c>
      <c r="D108" s="8">
        <v>-2.59945</v>
      </c>
      <c r="E108" s="8">
        <v>-4.4485004999999997</v>
      </c>
      <c r="F108" s="9" t="str">
        <f t="shared" si="0"/>
        <v>Direct</v>
      </c>
      <c r="G108" s="7" t="s">
        <v>11</v>
      </c>
    </row>
    <row r="109" spans="1:7" x14ac:dyDescent="0.2">
      <c r="A109" s="6" t="s">
        <v>8</v>
      </c>
      <c r="B109" s="7" t="s">
        <v>9</v>
      </c>
      <c r="C109" s="7" t="s">
        <v>175</v>
      </c>
      <c r="D109" s="8">
        <v>-1.9511797</v>
      </c>
      <c r="E109" s="8">
        <v>-2.7920617000000001</v>
      </c>
      <c r="F109" s="9" t="str">
        <f t="shared" si="0"/>
        <v>Direct</v>
      </c>
      <c r="G109" s="7" t="s">
        <v>11</v>
      </c>
    </row>
    <row r="110" spans="1:7" x14ac:dyDescent="0.2">
      <c r="A110" s="6" t="s">
        <v>8</v>
      </c>
      <c r="B110" s="7" t="s">
        <v>9</v>
      </c>
      <c r="C110" s="7" t="s">
        <v>176</v>
      </c>
      <c r="D110" s="8">
        <v>2.1477373100000001</v>
      </c>
      <c r="E110" s="8">
        <v>7.9377910299999996</v>
      </c>
      <c r="F110" s="9" t="str">
        <f t="shared" si="0"/>
        <v>Direct</v>
      </c>
      <c r="G110" s="7" t="s">
        <v>177</v>
      </c>
    </row>
    <row r="111" spans="1:7" x14ac:dyDescent="0.2">
      <c r="A111" s="6" t="s">
        <v>8</v>
      </c>
      <c r="B111" s="7" t="s">
        <v>9</v>
      </c>
      <c r="C111" s="7" t="s">
        <v>178</v>
      </c>
      <c r="D111" s="8">
        <v>2.4765486499999998</v>
      </c>
      <c r="E111" s="8">
        <v>3.6941266100000001</v>
      </c>
      <c r="F111" s="9" t="str">
        <f t="shared" si="0"/>
        <v>Direct</v>
      </c>
      <c r="G111" s="7" t="s">
        <v>11</v>
      </c>
    </row>
    <row r="112" spans="1:7" x14ac:dyDescent="0.2">
      <c r="A112" s="6" t="s">
        <v>8</v>
      </c>
      <c r="B112" s="7" t="s">
        <v>9</v>
      </c>
      <c r="C112" s="7" t="s">
        <v>179</v>
      </c>
      <c r="D112" s="8">
        <v>-3.3026412000000001</v>
      </c>
      <c r="E112" s="8">
        <v>-5.6294529000000004</v>
      </c>
      <c r="F112" s="9" t="str">
        <f t="shared" si="0"/>
        <v>Direct</v>
      </c>
      <c r="G112" s="7" t="s">
        <v>180</v>
      </c>
    </row>
    <row r="113" spans="1:7" x14ac:dyDescent="0.2">
      <c r="A113" s="6" t="s">
        <v>8</v>
      </c>
      <c r="B113" s="7" t="s">
        <v>9</v>
      </c>
      <c r="C113" s="7" t="s">
        <v>181</v>
      </c>
      <c r="D113" s="8">
        <v>-11.094051</v>
      </c>
      <c r="E113" s="8">
        <v>-7.6691824999999998</v>
      </c>
      <c r="F113" s="9" t="str">
        <f t="shared" si="0"/>
        <v>Direct</v>
      </c>
      <c r="G113" s="7" t="s">
        <v>182</v>
      </c>
    </row>
    <row r="114" spans="1:7" x14ac:dyDescent="0.2">
      <c r="A114" s="6" t="s">
        <v>8</v>
      </c>
      <c r="B114" s="7" t="s">
        <v>9</v>
      </c>
      <c r="C114" s="7" t="s">
        <v>183</v>
      </c>
      <c r="D114" s="8">
        <v>-1.0989834999999999</v>
      </c>
      <c r="E114" s="8">
        <v>-2.3692484999999999</v>
      </c>
      <c r="F114" s="9" t="str">
        <f t="shared" si="0"/>
        <v>Direct</v>
      </c>
      <c r="G114" s="7" t="s">
        <v>184</v>
      </c>
    </row>
    <row r="115" spans="1:7" x14ac:dyDescent="0.2">
      <c r="A115" s="6" t="s">
        <v>8</v>
      </c>
      <c r="B115" s="7" t="s">
        <v>9</v>
      </c>
      <c r="C115" s="7" t="s">
        <v>185</v>
      </c>
      <c r="D115" s="8">
        <v>1.43690684</v>
      </c>
      <c r="E115" s="8">
        <v>2.0610180599999999</v>
      </c>
      <c r="F115" s="9" t="str">
        <f t="shared" si="0"/>
        <v>Direct</v>
      </c>
      <c r="G115" s="7" t="s">
        <v>186</v>
      </c>
    </row>
    <row r="116" spans="1:7" x14ac:dyDescent="0.2">
      <c r="A116" s="6" t="s">
        <v>8</v>
      </c>
      <c r="B116" s="7" t="s">
        <v>9</v>
      </c>
      <c r="C116" s="7" t="s">
        <v>187</v>
      </c>
      <c r="D116" s="8">
        <v>-1.0319</v>
      </c>
      <c r="E116" s="8">
        <v>-7.1168106</v>
      </c>
      <c r="F116" s="9" t="str">
        <f t="shared" si="0"/>
        <v>Direct</v>
      </c>
      <c r="G116" s="7" t="s">
        <v>188</v>
      </c>
    </row>
    <row r="117" spans="1:7" x14ac:dyDescent="0.2">
      <c r="A117" s="6" t="s">
        <v>8</v>
      </c>
      <c r="B117" s="7" t="s">
        <v>9</v>
      </c>
      <c r="C117" s="7" t="s">
        <v>189</v>
      </c>
      <c r="D117" s="8">
        <v>1.48354053</v>
      </c>
      <c r="E117" s="8">
        <v>1.4100961400000001</v>
      </c>
      <c r="F117" s="9" t="str">
        <f t="shared" si="0"/>
        <v>Direct</v>
      </c>
      <c r="G117" s="7" t="s">
        <v>11</v>
      </c>
    </row>
    <row r="118" spans="1:7" x14ac:dyDescent="0.2">
      <c r="A118" s="6" t="s">
        <v>8</v>
      </c>
      <c r="B118" s="7" t="s">
        <v>9</v>
      </c>
      <c r="C118" s="7" t="s">
        <v>190</v>
      </c>
      <c r="D118" s="8">
        <v>2.8885203100000001</v>
      </c>
      <c r="E118" s="8">
        <v>6.0424470499999998</v>
      </c>
      <c r="F118" s="9" t="str">
        <f t="shared" si="0"/>
        <v>Direct</v>
      </c>
      <c r="G118" s="7" t="s">
        <v>191</v>
      </c>
    </row>
    <row r="119" spans="1:7" x14ac:dyDescent="0.2">
      <c r="A119" s="6" t="s">
        <v>8</v>
      </c>
      <c r="B119" s="7" t="s">
        <v>9</v>
      </c>
      <c r="C119" s="7" t="s">
        <v>192</v>
      </c>
      <c r="D119" s="8">
        <v>1.16247696</v>
      </c>
      <c r="E119" s="8">
        <v>1.85358957</v>
      </c>
      <c r="F119" s="9" t="str">
        <f t="shared" si="0"/>
        <v>Direct</v>
      </c>
      <c r="G119" s="7" t="s">
        <v>11</v>
      </c>
    </row>
    <row r="120" spans="1:7" x14ac:dyDescent="0.2">
      <c r="A120" s="6" t="s">
        <v>8</v>
      </c>
      <c r="B120" s="7" t="s">
        <v>9</v>
      </c>
      <c r="C120" s="7" t="s">
        <v>193</v>
      </c>
      <c r="D120" s="8">
        <v>-1.2422662</v>
      </c>
      <c r="E120" s="8">
        <v>-6.3450261000000001</v>
      </c>
      <c r="F120" s="9" t="str">
        <f t="shared" si="0"/>
        <v>Direct</v>
      </c>
      <c r="G120" s="7" t="s">
        <v>194</v>
      </c>
    </row>
    <row r="121" spans="1:7" x14ac:dyDescent="0.2">
      <c r="A121" s="6" t="s">
        <v>8</v>
      </c>
      <c r="B121" s="7" t="s">
        <v>9</v>
      </c>
      <c r="C121" s="7" t="s">
        <v>195</v>
      </c>
      <c r="D121" s="8">
        <v>-3.0573901999999999</v>
      </c>
      <c r="E121" s="8">
        <v>-4.3348773999999999</v>
      </c>
      <c r="F121" s="9" t="str">
        <f t="shared" si="0"/>
        <v>Direct</v>
      </c>
      <c r="G121" s="7" t="s">
        <v>196</v>
      </c>
    </row>
    <row r="122" spans="1:7" x14ac:dyDescent="0.2">
      <c r="A122" s="6" t="s">
        <v>8</v>
      </c>
      <c r="B122" s="7" t="s">
        <v>9</v>
      </c>
      <c r="C122" s="7" t="s">
        <v>197</v>
      </c>
      <c r="D122" s="8">
        <v>1.7990142099999999</v>
      </c>
      <c r="E122" s="8">
        <v>3.6541566400000001</v>
      </c>
      <c r="F122" s="9" t="str">
        <f t="shared" si="0"/>
        <v>Direct</v>
      </c>
      <c r="G122" s="7" t="s">
        <v>198</v>
      </c>
    </row>
    <row r="123" spans="1:7" x14ac:dyDescent="0.2">
      <c r="A123" s="6" t="s">
        <v>8</v>
      </c>
      <c r="B123" s="7" t="s">
        <v>9</v>
      </c>
      <c r="C123" s="7" t="s">
        <v>199</v>
      </c>
      <c r="D123" s="8">
        <v>-1.5080260999999999</v>
      </c>
      <c r="E123" s="8">
        <v>-1.9502666</v>
      </c>
      <c r="F123" s="9" t="str">
        <f t="shared" si="0"/>
        <v>Direct</v>
      </c>
      <c r="G123" s="7" t="s">
        <v>200</v>
      </c>
    </row>
    <row r="124" spans="1:7" x14ac:dyDescent="0.2">
      <c r="A124" s="6" t="s">
        <v>8</v>
      </c>
      <c r="B124" s="7" t="s">
        <v>9</v>
      </c>
      <c r="C124" s="7" t="s">
        <v>201</v>
      </c>
      <c r="D124" s="8">
        <v>2.1812181599999998</v>
      </c>
      <c r="E124" s="8">
        <v>1.78217369</v>
      </c>
      <c r="F124" s="9" t="str">
        <f t="shared" si="0"/>
        <v>Direct</v>
      </c>
      <c r="G124" s="7" t="s">
        <v>202</v>
      </c>
    </row>
    <row r="125" spans="1:7" x14ac:dyDescent="0.2">
      <c r="A125" s="6" t="s">
        <v>8</v>
      </c>
      <c r="B125" s="7" t="s">
        <v>9</v>
      </c>
      <c r="C125" s="7" t="s">
        <v>203</v>
      </c>
      <c r="D125" s="8">
        <v>2.52081819</v>
      </c>
      <c r="E125" s="8">
        <v>3.8693981499999999</v>
      </c>
      <c r="F125" s="9" t="str">
        <f t="shared" si="0"/>
        <v>Direct</v>
      </c>
      <c r="G125" s="7" t="s">
        <v>11</v>
      </c>
    </row>
    <row r="126" spans="1:7" x14ac:dyDescent="0.2">
      <c r="A126" s="6" t="s">
        <v>8</v>
      </c>
      <c r="B126" s="7" t="s">
        <v>9</v>
      </c>
      <c r="C126" s="7" t="s">
        <v>204</v>
      </c>
      <c r="D126" s="8">
        <v>-5.8834194999999996</v>
      </c>
      <c r="E126" s="8">
        <v>-5.0926562999999998</v>
      </c>
      <c r="F126" s="9" t="str">
        <f t="shared" si="0"/>
        <v>Direct</v>
      </c>
      <c r="G126" s="7" t="s">
        <v>205</v>
      </c>
    </row>
    <row r="127" spans="1:7" x14ac:dyDescent="0.2">
      <c r="A127" s="6" t="s">
        <v>8</v>
      </c>
      <c r="B127" s="7" t="s">
        <v>9</v>
      </c>
      <c r="C127" s="7" t="s">
        <v>206</v>
      </c>
      <c r="D127" s="8">
        <v>1.19586697</v>
      </c>
      <c r="E127" s="8">
        <v>1.13384314</v>
      </c>
      <c r="F127" s="9" t="str">
        <f t="shared" si="0"/>
        <v>Direct</v>
      </c>
      <c r="G127" s="7" t="s">
        <v>207</v>
      </c>
    </row>
    <row r="128" spans="1:7" x14ac:dyDescent="0.2">
      <c r="A128" s="6" t="s">
        <v>8</v>
      </c>
      <c r="B128" s="7" t="s">
        <v>9</v>
      </c>
      <c r="C128" s="7" t="s">
        <v>208</v>
      </c>
      <c r="D128" s="8">
        <v>-1.0967304</v>
      </c>
      <c r="E128" s="8">
        <v>-3.4911623999999999</v>
      </c>
      <c r="F128" s="9" t="str">
        <f t="shared" si="0"/>
        <v>Direct</v>
      </c>
      <c r="G128" s="7" t="s">
        <v>11</v>
      </c>
    </row>
    <row r="129" spans="1:7" x14ac:dyDescent="0.2">
      <c r="A129" s="6" t="s">
        <v>8</v>
      </c>
      <c r="B129" s="7" t="s">
        <v>9</v>
      </c>
      <c r="C129" s="7" t="s">
        <v>209</v>
      </c>
      <c r="D129" s="8">
        <v>-1.3066062000000001</v>
      </c>
      <c r="E129" s="8">
        <v>-1.1949327000000001</v>
      </c>
      <c r="F129" s="9" t="str">
        <f t="shared" si="0"/>
        <v>Direct</v>
      </c>
      <c r="G129" s="7" t="s">
        <v>210</v>
      </c>
    </row>
    <row r="130" spans="1:7" x14ac:dyDescent="0.2">
      <c r="A130" s="6" t="s">
        <v>8</v>
      </c>
      <c r="B130" s="7" t="s">
        <v>9</v>
      </c>
      <c r="C130" s="7" t="s">
        <v>211</v>
      </c>
      <c r="D130" s="8">
        <v>1.22416276</v>
      </c>
      <c r="E130" s="8">
        <v>-1.6145206999999999</v>
      </c>
      <c r="F130" s="9" t="str">
        <f t="shared" si="0"/>
        <v>Inverse</v>
      </c>
      <c r="G130" s="7" t="s">
        <v>11</v>
      </c>
    </row>
    <row r="131" spans="1:7" x14ac:dyDescent="0.2">
      <c r="A131" s="6" t="s">
        <v>8</v>
      </c>
      <c r="B131" s="7" t="s">
        <v>9</v>
      </c>
      <c r="C131" s="7" t="s">
        <v>212</v>
      </c>
      <c r="D131" s="8">
        <v>-1.6091599000000001</v>
      </c>
      <c r="E131" s="8">
        <v>-3.7396436</v>
      </c>
      <c r="F131" s="9" t="str">
        <f t="shared" si="0"/>
        <v>Direct</v>
      </c>
      <c r="G131" s="7" t="s">
        <v>11</v>
      </c>
    </row>
    <row r="132" spans="1:7" x14ac:dyDescent="0.2">
      <c r="A132" s="6" t="s">
        <v>8</v>
      </c>
      <c r="B132" s="7" t="s">
        <v>9</v>
      </c>
      <c r="C132" s="7" t="s">
        <v>213</v>
      </c>
      <c r="D132" s="8">
        <v>1.3870265100000001</v>
      </c>
      <c r="E132" s="8">
        <v>8.1009506600000005</v>
      </c>
      <c r="F132" s="9" t="str">
        <f t="shared" si="0"/>
        <v>Direct</v>
      </c>
      <c r="G132" s="7" t="s">
        <v>11</v>
      </c>
    </row>
    <row r="133" spans="1:7" x14ac:dyDescent="0.2">
      <c r="A133" s="6" t="s">
        <v>8</v>
      </c>
      <c r="B133" s="7" t="s">
        <v>9</v>
      </c>
      <c r="C133" s="7" t="s">
        <v>214</v>
      </c>
      <c r="D133" s="8">
        <v>2.5961663499999998</v>
      </c>
      <c r="E133" s="8">
        <v>6.5856905599999997</v>
      </c>
      <c r="F133" s="9" t="str">
        <f t="shared" si="0"/>
        <v>Direct</v>
      </c>
      <c r="G133" s="7" t="s">
        <v>11</v>
      </c>
    </row>
    <row r="134" spans="1:7" x14ac:dyDescent="0.2">
      <c r="A134" s="6" t="s">
        <v>8</v>
      </c>
      <c r="B134" s="7" t="s">
        <v>9</v>
      </c>
      <c r="C134" s="7" t="s">
        <v>215</v>
      </c>
      <c r="D134" s="8">
        <v>-4.5551382</v>
      </c>
      <c r="E134" s="8">
        <v>-3.5306905</v>
      </c>
      <c r="F134" s="9" t="str">
        <f t="shared" si="0"/>
        <v>Direct</v>
      </c>
      <c r="G134" s="7" t="s">
        <v>11</v>
      </c>
    </row>
    <row r="135" spans="1:7" x14ac:dyDescent="0.2">
      <c r="A135" s="6" t="s">
        <v>8</v>
      </c>
      <c r="B135" s="7" t="s">
        <v>9</v>
      </c>
      <c r="C135" s="7" t="s">
        <v>216</v>
      </c>
      <c r="D135" s="8">
        <v>1.7977526699999999</v>
      </c>
      <c r="E135" s="8">
        <v>8.1202271800000005</v>
      </c>
      <c r="F135" s="9" t="str">
        <f t="shared" si="0"/>
        <v>Direct</v>
      </c>
      <c r="G135" s="7" t="s">
        <v>217</v>
      </c>
    </row>
    <row r="136" spans="1:7" x14ac:dyDescent="0.2">
      <c r="A136" s="6" t="s">
        <v>8</v>
      </c>
      <c r="B136" s="7" t="s">
        <v>9</v>
      </c>
      <c r="C136" s="7" t="s">
        <v>218</v>
      </c>
      <c r="D136" s="8">
        <v>-1.5299948000000001</v>
      </c>
      <c r="E136" s="8">
        <v>-1.7170154</v>
      </c>
      <c r="F136" s="9" t="str">
        <f t="shared" si="0"/>
        <v>Direct</v>
      </c>
      <c r="G136" s="7" t="s">
        <v>11</v>
      </c>
    </row>
    <row r="137" spans="1:7" x14ac:dyDescent="0.2">
      <c r="A137" s="6" t="s">
        <v>8</v>
      </c>
      <c r="B137" s="7" t="s">
        <v>9</v>
      </c>
      <c r="C137" s="7" t="s">
        <v>219</v>
      </c>
      <c r="D137" s="8">
        <v>1.8179299799999999</v>
      </c>
      <c r="E137" s="8">
        <v>7.0013766500000001</v>
      </c>
      <c r="F137" s="9" t="str">
        <f t="shared" si="0"/>
        <v>Direct</v>
      </c>
      <c r="G137" s="7" t="s">
        <v>11</v>
      </c>
    </row>
    <row r="138" spans="1:7" x14ac:dyDescent="0.2">
      <c r="A138" s="6" t="s">
        <v>8</v>
      </c>
      <c r="B138" s="7" t="s">
        <v>9</v>
      </c>
      <c r="C138" s="7" t="s">
        <v>220</v>
      </c>
      <c r="D138" s="8">
        <v>-6.2102950000000003</v>
      </c>
      <c r="E138" s="8">
        <v>-6.6841748000000001</v>
      </c>
      <c r="F138" s="9" t="str">
        <f t="shared" si="0"/>
        <v>Direct</v>
      </c>
      <c r="G138" s="7" t="s">
        <v>11</v>
      </c>
    </row>
    <row r="139" spans="1:7" x14ac:dyDescent="0.2">
      <c r="A139" s="6" t="s">
        <v>8</v>
      </c>
      <c r="B139" s="7" t="s">
        <v>9</v>
      </c>
      <c r="C139" s="7" t="s">
        <v>221</v>
      </c>
      <c r="D139" s="8">
        <v>-2.1074978999999998</v>
      </c>
      <c r="E139" s="8">
        <v>-1.2753591</v>
      </c>
      <c r="F139" s="9" t="str">
        <f t="shared" si="0"/>
        <v>Direct</v>
      </c>
      <c r="G139" s="7" t="s">
        <v>11</v>
      </c>
    </row>
    <row r="140" spans="1:7" x14ac:dyDescent="0.2">
      <c r="A140" s="6" t="s">
        <v>8</v>
      </c>
      <c r="B140" s="7" t="s">
        <v>9</v>
      </c>
      <c r="C140" s="7" t="s">
        <v>222</v>
      </c>
      <c r="D140" s="8">
        <v>-1.7429808</v>
      </c>
      <c r="E140" s="8">
        <v>-2.4524447</v>
      </c>
      <c r="F140" s="9" t="str">
        <f t="shared" si="0"/>
        <v>Direct</v>
      </c>
      <c r="G140" s="7" t="s">
        <v>223</v>
      </c>
    </row>
    <row r="141" spans="1:7" x14ac:dyDescent="0.2">
      <c r="A141" s="6" t="s">
        <v>8</v>
      </c>
      <c r="B141" s="7" t="s">
        <v>9</v>
      </c>
      <c r="C141" s="7" t="s">
        <v>224</v>
      </c>
      <c r="D141" s="8">
        <v>-1.1820614</v>
      </c>
      <c r="E141" s="8">
        <v>-1.4707743</v>
      </c>
      <c r="F141" s="9" t="str">
        <f t="shared" si="0"/>
        <v>Direct</v>
      </c>
      <c r="G141" s="7" t="s">
        <v>11</v>
      </c>
    </row>
    <row r="142" spans="1:7" x14ac:dyDescent="0.2">
      <c r="A142" s="6" t="s">
        <v>8</v>
      </c>
      <c r="B142" s="7" t="s">
        <v>9</v>
      </c>
      <c r="C142" s="7" t="s">
        <v>225</v>
      </c>
      <c r="D142" s="8">
        <v>-1.2799897</v>
      </c>
      <c r="E142" s="8">
        <v>-13.206531999999999</v>
      </c>
      <c r="F142" s="9" t="str">
        <f t="shared" si="0"/>
        <v>Direct</v>
      </c>
      <c r="G142" s="7" t="s">
        <v>11</v>
      </c>
    </row>
    <row r="143" spans="1:7" x14ac:dyDescent="0.2">
      <c r="A143" s="6" t="s">
        <v>8</v>
      </c>
      <c r="B143" s="7" t="s">
        <v>9</v>
      </c>
      <c r="C143" s="7" t="s">
        <v>226</v>
      </c>
      <c r="D143" s="8">
        <v>1.1895492700000001</v>
      </c>
      <c r="E143" s="8">
        <v>2.38995559</v>
      </c>
      <c r="F143" s="9" t="str">
        <f t="shared" si="0"/>
        <v>Direct</v>
      </c>
      <c r="G143" s="7" t="s">
        <v>11</v>
      </c>
    </row>
    <row r="144" spans="1:7" x14ac:dyDescent="0.2">
      <c r="A144" s="6" t="s">
        <v>8</v>
      </c>
      <c r="B144" s="7" t="s">
        <v>9</v>
      </c>
      <c r="C144" s="7" t="s">
        <v>227</v>
      </c>
      <c r="D144" s="8">
        <v>1.67981384</v>
      </c>
      <c r="E144" s="8">
        <v>1.71278537</v>
      </c>
      <c r="F144" s="9" t="str">
        <f t="shared" si="0"/>
        <v>Direct</v>
      </c>
      <c r="G144" s="7" t="s">
        <v>11</v>
      </c>
    </row>
    <row r="145" spans="1:7" x14ac:dyDescent="0.2">
      <c r="A145" s="6" t="s">
        <v>8</v>
      </c>
      <c r="B145" s="7" t="s">
        <v>9</v>
      </c>
      <c r="C145" s="7" t="s">
        <v>228</v>
      </c>
      <c r="D145" s="8">
        <v>-1.0080566</v>
      </c>
      <c r="E145" s="8">
        <v>-2.9109189</v>
      </c>
      <c r="F145" s="9" t="str">
        <f t="shared" si="0"/>
        <v>Direct</v>
      </c>
      <c r="G145" s="7" t="s">
        <v>11</v>
      </c>
    </row>
    <row r="146" spans="1:7" x14ac:dyDescent="0.2">
      <c r="A146" s="6" t="s">
        <v>8</v>
      </c>
      <c r="B146" s="7" t="s">
        <v>9</v>
      </c>
      <c r="C146" s="7" t="s">
        <v>229</v>
      </c>
      <c r="D146" s="8">
        <v>-1.172159</v>
      </c>
      <c r="E146" s="8">
        <v>-2.5619550000000002</v>
      </c>
      <c r="F146" s="9" t="str">
        <f t="shared" si="0"/>
        <v>Direct</v>
      </c>
      <c r="G146" s="7" t="s">
        <v>230</v>
      </c>
    </row>
    <row r="147" spans="1:7" x14ac:dyDescent="0.2">
      <c r="A147" s="6" t="s">
        <v>8</v>
      </c>
      <c r="B147" s="7" t="s">
        <v>9</v>
      </c>
      <c r="C147" s="7" t="s">
        <v>231</v>
      </c>
      <c r="D147" s="8">
        <v>1.6305035000000001</v>
      </c>
      <c r="E147" s="8">
        <v>-1.0889234999999999</v>
      </c>
      <c r="F147" s="9" t="str">
        <f t="shared" si="0"/>
        <v>Inverse</v>
      </c>
      <c r="G147" s="7" t="s">
        <v>232</v>
      </c>
    </row>
    <row r="148" spans="1:7" x14ac:dyDescent="0.2">
      <c r="A148" s="6" t="s">
        <v>8</v>
      </c>
      <c r="B148" s="7" t="s">
        <v>9</v>
      </c>
      <c r="C148" s="7" t="s">
        <v>233</v>
      </c>
      <c r="D148" s="8">
        <v>-1.1025543</v>
      </c>
      <c r="E148" s="8">
        <v>-1.9398067999999999</v>
      </c>
      <c r="F148" s="9" t="str">
        <f t="shared" si="0"/>
        <v>Direct</v>
      </c>
      <c r="G148" s="7" t="s">
        <v>11</v>
      </c>
    </row>
    <row r="149" spans="1:7" x14ac:dyDescent="0.2">
      <c r="A149" s="6" t="s">
        <v>8</v>
      </c>
      <c r="B149" s="7" t="s">
        <v>9</v>
      </c>
      <c r="C149" s="7" t="s">
        <v>234</v>
      </c>
      <c r="D149" s="8">
        <v>1.0211802299999999</v>
      </c>
      <c r="E149" s="8">
        <v>5.6991065299999999</v>
      </c>
      <c r="F149" s="9" t="str">
        <f t="shared" si="0"/>
        <v>Direct</v>
      </c>
      <c r="G149" s="7" t="s">
        <v>11</v>
      </c>
    </row>
    <row r="150" spans="1:7" x14ac:dyDescent="0.2">
      <c r="A150" s="6" t="s">
        <v>8</v>
      </c>
      <c r="B150" s="7" t="s">
        <v>9</v>
      </c>
      <c r="C150" s="7" t="s">
        <v>235</v>
      </c>
      <c r="D150" s="8">
        <v>-2.4981711</v>
      </c>
      <c r="E150" s="8">
        <v>-8.5834997000000008</v>
      </c>
      <c r="F150" s="9" t="str">
        <f t="shared" si="0"/>
        <v>Direct</v>
      </c>
      <c r="G150" s="7" t="s">
        <v>11</v>
      </c>
    </row>
    <row r="151" spans="1:7" x14ac:dyDescent="0.2">
      <c r="A151" s="6" t="s">
        <v>8</v>
      </c>
      <c r="B151" s="7" t="s">
        <v>9</v>
      </c>
      <c r="C151" s="7" t="s">
        <v>236</v>
      </c>
      <c r="D151" s="8">
        <v>-1.3750004</v>
      </c>
      <c r="E151" s="8">
        <v>-5.5592667999999996</v>
      </c>
      <c r="F151" s="9" t="str">
        <f t="shared" si="0"/>
        <v>Direct</v>
      </c>
      <c r="G151" s="7" t="s">
        <v>237</v>
      </c>
    </row>
    <row r="152" spans="1:7" x14ac:dyDescent="0.2">
      <c r="A152" s="6" t="s">
        <v>8</v>
      </c>
      <c r="B152" s="7" t="s">
        <v>9</v>
      </c>
      <c r="C152" s="7" t="s">
        <v>238</v>
      </c>
      <c r="D152" s="8">
        <v>-2.5542945000000001</v>
      </c>
      <c r="E152" s="8">
        <v>-2.0620400999999999</v>
      </c>
      <c r="F152" s="9" t="str">
        <f t="shared" si="0"/>
        <v>Direct</v>
      </c>
      <c r="G152" s="7" t="s">
        <v>239</v>
      </c>
    </row>
    <row r="153" spans="1:7" x14ac:dyDescent="0.2">
      <c r="A153" s="6" t="s">
        <v>8</v>
      </c>
      <c r="B153" s="7" t="s">
        <v>9</v>
      </c>
      <c r="C153" s="7" t="s">
        <v>240</v>
      </c>
      <c r="D153" s="8">
        <v>1.4867733700000001</v>
      </c>
      <c r="E153" s="8">
        <v>1.0872814</v>
      </c>
      <c r="F153" s="9" t="str">
        <f t="shared" si="0"/>
        <v>Direct</v>
      </c>
      <c r="G153" s="7" t="s">
        <v>241</v>
      </c>
    </row>
    <row r="154" spans="1:7" x14ac:dyDescent="0.2">
      <c r="A154" s="6" t="s">
        <v>8</v>
      </c>
      <c r="B154" s="7" t="s">
        <v>9</v>
      </c>
      <c r="C154" s="7" t="s">
        <v>242</v>
      </c>
      <c r="D154" s="8">
        <v>4.2132947100000004</v>
      </c>
      <c r="E154" s="8">
        <v>4.4453234500000001</v>
      </c>
      <c r="F154" s="9" t="str">
        <f t="shared" si="0"/>
        <v>Direct</v>
      </c>
      <c r="G154" s="7" t="s">
        <v>243</v>
      </c>
    </row>
    <row r="155" spans="1:7" x14ac:dyDescent="0.2">
      <c r="A155" s="6" t="s">
        <v>8</v>
      </c>
      <c r="B155" s="7" t="s">
        <v>9</v>
      </c>
      <c r="C155" s="7" t="s">
        <v>244</v>
      </c>
      <c r="D155" s="8">
        <v>1.77388298</v>
      </c>
      <c r="E155" s="8">
        <v>5.2896767000000002</v>
      </c>
      <c r="F155" s="9" t="str">
        <f t="shared" si="0"/>
        <v>Direct</v>
      </c>
      <c r="G155" s="7" t="s">
        <v>245</v>
      </c>
    </row>
    <row r="156" spans="1:7" x14ac:dyDescent="0.2">
      <c r="A156" s="6" t="s">
        <v>8</v>
      </c>
      <c r="B156" s="7" t="s">
        <v>9</v>
      </c>
      <c r="C156" s="7" t="s">
        <v>246</v>
      </c>
      <c r="D156" s="8">
        <v>3.92667213</v>
      </c>
      <c r="E156" s="8">
        <v>6.5459741899999999</v>
      </c>
      <c r="F156" s="9" t="str">
        <f t="shared" si="0"/>
        <v>Direct</v>
      </c>
      <c r="G156" s="7" t="s">
        <v>11</v>
      </c>
    </row>
    <row r="157" spans="1:7" x14ac:dyDescent="0.2">
      <c r="A157" s="6" t="s">
        <v>8</v>
      </c>
      <c r="B157" s="7" t="s">
        <v>9</v>
      </c>
      <c r="C157" s="7" t="s">
        <v>247</v>
      </c>
      <c r="D157" s="8">
        <v>1.58381415</v>
      </c>
      <c r="E157" s="8">
        <v>8.9851816699999993</v>
      </c>
      <c r="F157" s="9" t="str">
        <f t="shared" si="0"/>
        <v>Direct</v>
      </c>
      <c r="G157" s="7" t="s">
        <v>248</v>
      </c>
    </row>
    <row r="158" spans="1:7" x14ac:dyDescent="0.2">
      <c r="A158" s="6" t="s">
        <v>8</v>
      </c>
      <c r="B158" s="7" t="s">
        <v>9</v>
      </c>
      <c r="C158" s="7" t="s">
        <v>249</v>
      </c>
      <c r="D158" s="8">
        <v>-2.2942170000000002</v>
      </c>
      <c r="E158" s="8">
        <v>-6.0971320999999996</v>
      </c>
      <c r="F158" s="9" t="str">
        <f t="shared" si="0"/>
        <v>Direct</v>
      </c>
      <c r="G158" s="7" t="s">
        <v>11</v>
      </c>
    </row>
    <row r="159" spans="1:7" x14ac:dyDescent="0.2">
      <c r="A159" s="6" t="s">
        <v>8</v>
      </c>
      <c r="B159" s="7" t="s">
        <v>9</v>
      </c>
      <c r="C159" s="7" t="s">
        <v>250</v>
      </c>
      <c r="D159" s="8">
        <v>-1.1491414</v>
      </c>
      <c r="E159" s="8">
        <v>-1.2497210999999999</v>
      </c>
      <c r="F159" s="9" t="str">
        <f t="shared" si="0"/>
        <v>Direct</v>
      </c>
      <c r="G159" s="7" t="s">
        <v>11</v>
      </c>
    </row>
    <row r="160" spans="1:7" x14ac:dyDescent="0.2">
      <c r="A160" s="6" t="s">
        <v>8</v>
      </c>
      <c r="B160" s="7" t="s">
        <v>9</v>
      </c>
      <c r="C160" s="7" t="s">
        <v>251</v>
      </c>
      <c r="D160" s="8">
        <v>-2.1478169999999999</v>
      </c>
      <c r="E160" s="8">
        <v>-1.1413758000000001</v>
      </c>
      <c r="F160" s="9" t="str">
        <f t="shared" si="0"/>
        <v>Direct</v>
      </c>
      <c r="G160" s="7" t="s">
        <v>252</v>
      </c>
    </row>
    <row r="161" spans="1:7" x14ac:dyDescent="0.2">
      <c r="A161" s="6" t="s">
        <v>8</v>
      </c>
      <c r="B161" s="7" t="s">
        <v>9</v>
      </c>
      <c r="C161" s="7" t="s">
        <v>253</v>
      </c>
      <c r="D161" s="8">
        <v>-1.3215907</v>
      </c>
      <c r="E161" s="8">
        <v>-2.3385794</v>
      </c>
      <c r="F161" s="9" t="str">
        <f t="shared" si="0"/>
        <v>Direct</v>
      </c>
      <c r="G161" s="7" t="s">
        <v>11</v>
      </c>
    </row>
    <row r="162" spans="1:7" x14ac:dyDescent="0.2">
      <c r="A162" s="6" t="s">
        <v>8</v>
      </c>
      <c r="B162" s="7" t="s">
        <v>9</v>
      </c>
      <c r="C162" s="7" t="s">
        <v>254</v>
      </c>
      <c r="D162" s="8">
        <v>5.8022330100000001</v>
      </c>
      <c r="E162" s="8">
        <v>10.6095322</v>
      </c>
      <c r="F162" s="9" t="str">
        <f t="shared" si="0"/>
        <v>Direct</v>
      </c>
      <c r="G162" s="7" t="s">
        <v>255</v>
      </c>
    </row>
    <row r="163" spans="1:7" x14ac:dyDescent="0.2">
      <c r="A163" s="6" t="s">
        <v>8</v>
      </c>
      <c r="B163" s="7" t="s">
        <v>9</v>
      </c>
      <c r="C163" s="7" t="s">
        <v>256</v>
      </c>
      <c r="D163" s="8">
        <v>-1.4069474</v>
      </c>
      <c r="E163" s="8">
        <v>-2.9445502000000001</v>
      </c>
      <c r="F163" s="9" t="str">
        <f t="shared" si="0"/>
        <v>Direct</v>
      </c>
      <c r="G163" s="7" t="s">
        <v>257</v>
      </c>
    </row>
    <row r="164" spans="1:7" x14ac:dyDescent="0.2">
      <c r="A164" s="6" t="s">
        <v>8</v>
      </c>
      <c r="B164" s="7" t="s">
        <v>9</v>
      </c>
      <c r="C164" s="7" t="s">
        <v>258</v>
      </c>
      <c r="D164" s="8">
        <v>1.02575113</v>
      </c>
      <c r="E164" s="8">
        <v>1.9766785099999999</v>
      </c>
      <c r="F164" s="9" t="str">
        <f t="shared" si="0"/>
        <v>Direct</v>
      </c>
      <c r="G164" s="7" t="s">
        <v>259</v>
      </c>
    </row>
    <row r="165" spans="1:7" x14ac:dyDescent="0.2">
      <c r="A165" s="6" t="s">
        <v>8</v>
      </c>
      <c r="B165" s="7" t="s">
        <v>9</v>
      </c>
      <c r="C165" s="7" t="s">
        <v>260</v>
      </c>
      <c r="D165" s="8">
        <v>1.3511190399999999</v>
      </c>
      <c r="E165" s="8">
        <v>5.4980153100000004</v>
      </c>
      <c r="F165" s="9" t="str">
        <f t="shared" si="0"/>
        <v>Direct</v>
      </c>
      <c r="G165" s="7" t="s">
        <v>261</v>
      </c>
    </row>
    <row r="166" spans="1:7" x14ac:dyDescent="0.2">
      <c r="A166" s="6" t="s">
        <v>8</v>
      </c>
      <c r="B166" s="7" t="s">
        <v>9</v>
      </c>
      <c r="C166" s="7" t="s">
        <v>262</v>
      </c>
      <c r="D166" s="8">
        <v>1.4625209100000001</v>
      </c>
      <c r="E166" s="8">
        <v>4.3949748399999997</v>
      </c>
      <c r="F166" s="9" t="str">
        <f t="shared" si="0"/>
        <v>Direct</v>
      </c>
      <c r="G166" s="7" t="s">
        <v>263</v>
      </c>
    </row>
    <row r="167" spans="1:7" x14ac:dyDescent="0.2">
      <c r="A167" s="6" t="s">
        <v>8</v>
      </c>
      <c r="B167" s="7" t="s">
        <v>9</v>
      </c>
      <c r="C167" s="7" t="s">
        <v>264</v>
      </c>
      <c r="D167" s="8">
        <v>3.2083629</v>
      </c>
      <c r="E167" s="8">
        <v>6.3883310900000003</v>
      </c>
      <c r="F167" s="9" t="str">
        <f t="shared" si="0"/>
        <v>Direct</v>
      </c>
      <c r="G167" s="7" t="s">
        <v>11</v>
      </c>
    </row>
    <row r="168" spans="1:7" x14ac:dyDescent="0.2">
      <c r="A168" s="6" t="s">
        <v>8</v>
      </c>
      <c r="B168" s="7" t="s">
        <v>9</v>
      </c>
      <c r="C168" s="7" t="s">
        <v>265</v>
      </c>
      <c r="D168" s="8">
        <v>5.8834194799999997</v>
      </c>
      <c r="E168" s="8">
        <v>3.7522265400000001</v>
      </c>
      <c r="F168" s="9" t="str">
        <f t="shared" si="0"/>
        <v>Direct</v>
      </c>
      <c r="G168" s="7" t="s">
        <v>11</v>
      </c>
    </row>
    <row r="169" spans="1:7" x14ac:dyDescent="0.2">
      <c r="A169" s="6" t="s">
        <v>8</v>
      </c>
      <c r="B169" s="7" t="s">
        <v>9</v>
      </c>
      <c r="C169" s="7" t="s">
        <v>266</v>
      </c>
      <c r="D169" s="8">
        <v>2.6641517000000001</v>
      </c>
      <c r="E169" s="8">
        <v>4.6913777999999997</v>
      </c>
      <c r="F169" s="9" t="str">
        <f t="shared" si="0"/>
        <v>Direct</v>
      </c>
      <c r="G169" s="7" t="s">
        <v>267</v>
      </c>
    </row>
    <row r="170" spans="1:7" x14ac:dyDescent="0.2">
      <c r="A170" s="6" t="s">
        <v>8</v>
      </c>
      <c r="B170" s="7" t="s">
        <v>9</v>
      </c>
      <c r="C170" s="7" t="s">
        <v>268</v>
      </c>
      <c r="D170" s="8">
        <v>-2.5555411000000001</v>
      </c>
      <c r="E170" s="8">
        <v>-1.9097881000000001</v>
      </c>
      <c r="F170" s="9" t="str">
        <f t="shared" si="0"/>
        <v>Direct</v>
      </c>
      <c r="G170" s="7" t="s">
        <v>269</v>
      </c>
    </row>
    <row r="171" spans="1:7" x14ac:dyDescent="0.2">
      <c r="A171" s="6" t="s">
        <v>8</v>
      </c>
      <c r="B171" s="7" t="s">
        <v>9</v>
      </c>
      <c r="C171" s="7" t="s">
        <v>270</v>
      </c>
      <c r="D171" s="8">
        <v>2.7272905299999999</v>
      </c>
      <c r="E171" s="8">
        <v>3.2157735700000001</v>
      </c>
      <c r="F171" s="9" t="str">
        <f t="shared" si="0"/>
        <v>Direct</v>
      </c>
      <c r="G171" s="7" t="s">
        <v>271</v>
      </c>
    </row>
    <row r="172" spans="1:7" x14ac:dyDescent="0.2">
      <c r="A172" s="6" t="s">
        <v>8</v>
      </c>
      <c r="B172" s="7" t="s">
        <v>9</v>
      </c>
      <c r="C172" s="7" t="s">
        <v>272</v>
      </c>
      <c r="D172" s="8">
        <v>1.4180192700000001</v>
      </c>
      <c r="E172" s="8">
        <v>2.3335569999999999</v>
      </c>
      <c r="F172" s="9" t="str">
        <f t="shared" si="0"/>
        <v>Direct</v>
      </c>
      <c r="G172" s="7" t="s">
        <v>273</v>
      </c>
    </row>
    <row r="173" spans="1:7" x14ac:dyDescent="0.2">
      <c r="A173" s="6" t="s">
        <v>8</v>
      </c>
      <c r="B173" s="7" t="s">
        <v>9</v>
      </c>
      <c r="C173" s="7" t="s">
        <v>274</v>
      </c>
      <c r="D173" s="8">
        <v>1.1895492700000001</v>
      </c>
      <c r="E173" s="8">
        <v>3.9126482899999999</v>
      </c>
      <c r="F173" s="9" t="str">
        <f t="shared" si="0"/>
        <v>Direct</v>
      </c>
      <c r="G173" s="7" t="s">
        <v>11</v>
      </c>
    </row>
    <row r="174" spans="1:7" x14ac:dyDescent="0.2">
      <c r="A174" s="6" t="s">
        <v>8</v>
      </c>
      <c r="B174" s="7" t="s">
        <v>9</v>
      </c>
      <c r="C174" s="7" t="s">
        <v>275</v>
      </c>
      <c r="D174" s="8">
        <v>6.1059367</v>
      </c>
      <c r="E174" s="8">
        <v>11.9045291</v>
      </c>
      <c r="F174" s="9" t="str">
        <f t="shared" si="0"/>
        <v>Direct</v>
      </c>
      <c r="G174" s="7" t="s">
        <v>276</v>
      </c>
    </row>
    <row r="175" spans="1:7" x14ac:dyDescent="0.2">
      <c r="A175" s="6" t="s">
        <v>8</v>
      </c>
      <c r="B175" s="7" t="s">
        <v>9</v>
      </c>
      <c r="C175" s="7" t="s">
        <v>277</v>
      </c>
      <c r="D175" s="8">
        <v>-1.6775665</v>
      </c>
      <c r="E175" s="8">
        <v>-1.0584484000000001</v>
      </c>
      <c r="F175" s="9" t="str">
        <f t="shared" si="0"/>
        <v>Direct</v>
      </c>
      <c r="G175" s="7" t="s">
        <v>278</v>
      </c>
    </row>
    <row r="176" spans="1:7" x14ac:dyDescent="0.2">
      <c r="A176" s="6" t="s">
        <v>8</v>
      </c>
      <c r="B176" s="7" t="s">
        <v>9</v>
      </c>
      <c r="C176" s="7" t="s">
        <v>279</v>
      </c>
      <c r="D176" s="8">
        <v>-2.1340127</v>
      </c>
      <c r="E176" s="8">
        <v>-3.8419118000000001</v>
      </c>
      <c r="F176" s="9" t="str">
        <f t="shared" si="0"/>
        <v>Direct</v>
      </c>
      <c r="G176" s="7" t="s">
        <v>11</v>
      </c>
    </row>
    <row r="177" spans="1:7" x14ac:dyDescent="0.2">
      <c r="A177" s="6" t="s">
        <v>8</v>
      </c>
      <c r="B177" s="7" t="s">
        <v>9</v>
      </c>
      <c r="C177" s="7" t="s">
        <v>280</v>
      </c>
      <c r="D177" s="8">
        <v>-1.3852279999999999</v>
      </c>
      <c r="E177" s="8">
        <v>-12.584982</v>
      </c>
      <c r="F177" s="9" t="str">
        <f t="shared" si="0"/>
        <v>Direct</v>
      </c>
      <c r="G177" s="7" t="s">
        <v>281</v>
      </c>
    </row>
    <row r="178" spans="1:7" x14ac:dyDescent="0.2">
      <c r="A178" s="6" t="s">
        <v>8</v>
      </c>
      <c r="B178" s="7" t="s">
        <v>9</v>
      </c>
      <c r="C178" s="7" t="s">
        <v>282</v>
      </c>
      <c r="D178" s="8">
        <v>3.2260716999999999</v>
      </c>
      <c r="E178" s="8">
        <v>1.53189946</v>
      </c>
      <c r="F178" s="9" t="str">
        <f t="shared" si="0"/>
        <v>Direct</v>
      </c>
      <c r="G178" s="7" t="s">
        <v>283</v>
      </c>
    </row>
    <row r="179" spans="1:7" x14ac:dyDescent="0.2">
      <c r="A179" s="6" t="s">
        <v>8</v>
      </c>
      <c r="B179" s="7" t="s">
        <v>9</v>
      </c>
      <c r="C179" s="7" t="s">
        <v>284</v>
      </c>
      <c r="D179" s="8">
        <v>4.0587574599999998</v>
      </c>
      <c r="E179" s="8">
        <v>1.5893334699999999</v>
      </c>
      <c r="F179" s="9" t="str">
        <f t="shared" si="0"/>
        <v>Direct</v>
      </c>
      <c r="G179" s="7" t="s">
        <v>285</v>
      </c>
    </row>
    <row r="180" spans="1:7" x14ac:dyDescent="0.2">
      <c r="A180" s="6" t="s">
        <v>8</v>
      </c>
      <c r="B180" s="7" t="s">
        <v>9</v>
      </c>
      <c r="C180" s="7" t="s">
        <v>286</v>
      </c>
      <c r="D180" s="8">
        <v>1.22337089</v>
      </c>
      <c r="E180" s="8">
        <v>1.3590943799999999</v>
      </c>
      <c r="F180" s="9" t="str">
        <f t="shared" si="0"/>
        <v>Direct</v>
      </c>
      <c r="G180" s="7" t="s">
        <v>11</v>
      </c>
    </row>
    <row r="181" spans="1:7" x14ac:dyDescent="0.2">
      <c r="A181" s="6" t="s">
        <v>8</v>
      </c>
      <c r="B181" s="7" t="s">
        <v>9</v>
      </c>
      <c r="C181" s="7" t="s">
        <v>287</v>
      </c>
      <c r="D181" s="8">
        <v>1.48410669</v>
      </c>
      <c r="E181" s="8">
        <v>-4.182944</v>
      </c>
      <c r="F181" s="9" t="str">
        <f t="shared" si="0"/>
        <v>Inverse</v>
      </c>
      <c r="G181" s="7" t="s">
        <v>11</v>
      </c>
    </row>
    <row r="182" spans="1:7" x14ac:dyDescent="0.2">
      <c r="A182" s="6" t="s">
        <v>8</v>
      </c>
      <c r="B182" s="7" t="s">
        <v>9</v>
      </c>
      <c r="C182" s="7" t="s">
        <v>288</v>
      </c>
      <c r="D182" s="8">
        <v>-2.1812182</v>
      </c>
      <c r="E182" s="8">
        <v>-1.0718496</v>
      </c>
      <c r="F182" s="9" t="str">
        <f t="shared" si="0"/>
        <v>Direct</v>
      </c>
      <c r="G182" s="7" t="s">
        <v>11</v>
      </c>
    </row>
    <row r="183" spans="1:7" x14ac:dyDescent="0.2">
      <c r="A183" s="6" t="s">
        <v>8</v>
      </c>
      <c r="B183" s="7" t="s">
        <v>9</v>
      </c>
      <c r="C183" s="7" t="s">
        <v>289</v>
      </c>
      <c r="D183" s="8">
        <v>1.0693553200000001</v>
      </c>
      <c r="E183" s="8">
        <v>1.4276255600000001</v>
      </c>
      <c r="F183" s="9" t="str">
        <f t="shared" si="0"/>
        <v>Direct</v>
      </c>
      <c r="G183" s="7" t="s">
        <v>11</v>
      </c>
    </row>
    <row r="184" spans="1:7" x14ac:dyDescent="0.2">
      <c r="A184" s="6" t="s">
        <v>8</v>
      </c>
      <c r="B184" s="7" t="s">
        <v>9</v>
      </c>
      <c r="C184" s="7" t="s">
        <v>290</v>
      </c>
      <c r="D184" s="8">
        <v>1.01600413</v>
      </c>
      <c r="E184" s="8">
        <v>1.23655475</v>
      </c>
      <c r="F184" s="9" t="str">
        <f t="shared" si="0"/>
        <v>Direct</v>
      </c>
      <c r="G184" s="7" t="s">
        <v>11</v>
      </c>
    </row>
    <row r="185" spans="1:7" x14ac:dyDescent="0.2">
      <c r="A185" s="6" t="s">
        <v>8</v>
      </c>
      <c r="B185" s="7" t="s">
        <v>9</v>
      </c>
      <c r="C185" s="7" t="s">
        <v>291</v>
      </c>
      <c r="D185" s="8">
        <v>-1.2291553</v>
      </c>
      <c r="E185" s="8">
        <v>-1.4304098000000001</v>
      </c>
      <c r="F185" s="9" t="str">
        <f t="shared" si="0"/>
        <v>Direct</v>
      </c>
      <c r="G185" s="7" t="s">
        <v>292</v>
      </c>
    </row>
    <row r="186" spans="1:7" x14ac:dyDescent="0.2">
      <c r="A186" s="6" t="s">
        <v>8</v>
      </c>
      <c r="B186" s="7" t="s">
        <v>9</v>
      </c>
      <c r="C186" s="7" t="s">
        <v>293</v>
      </c>
      <c r="D186" s="8">
        <v>-1.9675901</v>
      </c>
      <c r="E186" s="8">
        <v>-2.5150044</v>
      </c>
      <c r="F186" s="9" t="str">
        <f t="shared" si="0"/>
        <v>Direct</v>
      </c>
      <c r="G186" s="7" t="s">
        <v>11</v>
      </c>
    </row>
    <row r="187" spans="1:7" x14ac:dyDescent="0.2">
      <c r="A187" s="6" t="s">
        <v>8</v>
      </c>
      <c r="B187" s="7" t="s">
        <v>9</v>
      </c>
      <c r="C187" s="7" t="s">
        <v>294</v>
      </c>
      <c r="D187" s="8">
        <v>1.0211802299999999</v>
      </c>
      <c r="E187" s="8">
        <v>1.95597463</v>
      </c>
      <c r="F187" s="9" t="str">
        <f t="shared" si="0"/>
        <v>Direct</v>
      </c>
      <c r="G187" s="7" t="s">
        <v>11</v>
      </c>
    </row>
    <row r="188" spans="1:7" x14ac:dyDescent="0.2">
      <c r="A188" s="6" t="s">
        <v>8</v>
      </c>
      <c r="B188" s="7" t="s">
        <v>9</v>
      </c>
      <c r="C188" s="7" t="s">
        <v>295</v>
      </c>
      <c r="D188" s="8">
        <v>8.6664355099999995</v>
      </c>
      <c r="E188" s="8">
        <v>6.7506576999999997</v>
      </c>
      <c r="F188" s="9" t="str">
        <f t="shared" si="0"/>
        <v>Direct</v>
      </c>
      <c r="G188" s="7" t="s">
        <v>11</v>
      </c>
    </row>
    <row r="189" spans="1:7" x14ac:dyDescent="0.2">
      <c r="A189" s="6" t="s">
        <v>8</v>
      </c>
      <c r="B189" s="7" t="s">
        <v>9</v>
      </c>
      <c r="C189" s="7" t="s">
        <v>296</v>
      </c>
      <c r="D189" s="8">
        <v>1.10448642</v>
      </c>
      <c r="E189" s="8">
        <v>2.3084889899999999</v>
      </c>
      <c r="F189" s="9" t="str">
        <f t="shared" si="0"/>
        <v>Direct</v>
      </c>
      <c r="G189" s="7" t="s">
        <v>11</v>
      </c>
    </row>
    <row r="190" spans="1:7" x14ac:dyDescent="0.2">
      <c r="A190" s="6" t="s">
        <v>8</v>
      </c>
      <c r="B190" s="7" t="s">
        <v>9</v>
      </c>
      <c r="C190" s="7" t="s">
        <v>297</v>
      </c>
      <c r="D190" s="8">
        <v>-2.2167091000000001</v>
      </c>
      <c r="E190" s="8">
        <v>-1.5129918</v>
      </c>
      <c r="F190" s="9" t="str">
        <f t="shared" si="0"/>
        <v>Direct</v>
      </c>
      <c r="G190" s="7" t="s">
        <v>11</v>
      </c>
    </row>
    <row r="191" spans="1:7" x14ac:dyDescent="0.2">
      <c r="A191" s="6" t="s">
        <v>8</v>
      </c>
      <c r="B191" s="7" t="s">
        <v>9</v>
      </c>
      <c r="C191" s="7" t="s">
        <v>298</v>
      </c>
      <c r="D191" s="8">
        <v>-1.4820723</v>
      </c>
      <c r="E191" s="8">
        <v>-1.4265600000000001</v>
      </c>
      <c r="F191" s="9" t="str">
        <f t="shared" si="0"/>
        <v>Direct</v>
      </c>
      <c r="G191" s="7" t="s">
        <v>299</v>
      </c>
    </row>
    <row r="192" spans="1:7" x14ac:dyDescent="0.2">
      <c r="A192" s="6" t="s">
        <v>8</v>
      </c>
      <c r="B192" s="7" t="s">
        <v>9</v>
      </c>
      <c r="C192" s="7" t="s">
        <v>300</v>
      </c>
      <c r="D192" s="8">
        <v>-1.0899939000000001</v>
      </c>
      <c r="E192" s="8">
        <v>-1.4266992000000001</v>
      </c>
      <c r="F192" s="9" t="str">
        <f t="shared" si="0"/>
        <v>Direct</v>
      </c>
      <c r="G192" s="7" t="s">
        <v>11</v>
      </c>
    </row>
    <row r="193" spans="1:7" x14ac:dyDescent="0.2">
      <c r="A193" s="6" t="s">
        <v>8</v>
      </c>
      <c r="B193" s="7" t="s">
        <v>9</v>
      </c>
      <c r="C193" s="7" t="s">
        <v>301</v>
      </c>
      <c r="D193" s="8">
        <v>-1.6560325</v>
      </c>
      <c r="E193" s="8">
        <v>-1.8639443</v>
      </c>
      <c r="F193" s="9" t="str">
        <f t="shared" si="0"/>
        <v>Direct</v>
      </c>
      <c r="G193" s="7" t="s">
        <v>302</v>
      </c>
    </row>
    <row r="194" spans="1:7" x14ac:dyDescent="0.2">
      <c r="A194" s="6" t="s">
        <v>8</v>
      </c>
      <c r="B194" s="7" t="s">
        <v>9</v>
      </c>
      <c r="C194" s="7" t="s">
        <v>303</v>
      </c>
      <c r="D194" s="8">
        <v>1.5697892099999999</v>
      </c>
      <c r="E194" s="8">
        <v>1.21136149</v>
      </c>
      <c r="F194" s="9" t="str">
        <f t="shared" si="0"/>
        <v>Direct</v>
      </c>
      <c r="G194" s="7" t="s">
        <v>11</v>
      </c>
    </row>
    <row r="195" spans="1:7" x14ac:dyDescent="0.2">
      <c r="A195" s="6" t="s">
        <v>8</v>
      </c>
      <c r="B195" s="7" t="s">
        <v>9</v>
      </c>
      <c r="C195" s="7" t="s">
        <v>304</v>
      </c>
      <c r="D195" s="8">
        <v>1.07383389</v>
      </c>
      <c r="E195" s="8">
        <v>11.6081705</v>
      </c>
      <c r="F195" s="9" t="str">
        <f t="shared" si="0"/>
        <v>Direct</v>
      </c>
      <c r="G195" s="7" t="s">
        <v>305</v>
      </c>
    </row>
    <row r="196" spans="1:7" x14ac:dyDescent="0.2">
      <c r="A196" s="6" t="s">
        <v>8</v>
      </c>
      <c r="B196" s="7" t="s">
        <v>9</v>
      </c>
      <c r="C196" s="7" t="s">
        <v>306</v>
      </c>
      <c r="D196" s="8">
        <v>1.4673840300000001</v>
      </c>
      <c r="E196" s="8">
        <v>10.119721200000001</v>
      </c>
      <c r="F196" s="9" t="str">
        <f t="shared" si="0"/>
        <v>Direct</v>
      </c>
      <c r="G196" s="7" t="s">
        <v>307</v>
      </c>
    </row>
    <row r="197" spans="1:7" x14ac:dyDescent="0.2">
      <c r="A197" s="6" t="s">
        <v>8</v>
      </c>
      <c r="B197" s="7" t="s">
        <v>9</v>
      </c>
      <c r="C197" s="7" t="s">
        <v>308</v>
      </c>
      <c r="D197" s="8">
        <v>3.1779679700000001</v>
      </c>
      <c r="E197" s="8">
        <v>5.4359440499999998</v>
      </c>
      <c r="F197" s="9" t="str">
        <f t="shared" si="0"/>
        <v>Direct</v>
      </c>
      <c r="G197" s="7" t="s">
        <v>309</v>
      </c>
    </row>
    <row r="198" spans="1:7" x14ac:dyDescent="0.2">
      <c r="A198" s="6" t="s">
        <v>8</v>
      </c>
      <c r="B198" s="7" t="s">
        <v>9</v>
      </c>
      <c r="C198" s="7" t="s">
        <v>310</v>
      </c>
      <c r="D198" s="8">
        <v>-2.0088482000000001</v>
      </c>
      <c r="E198" s="8">
        <v>-1.6813984</v>
      </c>
      <c r="F198" s="9" t="str">
        <f t="shared" si="0"/>
        <v>Direct</v>
      </c>
      <c r="G198" s="7" t="s">
        <v>11</v>
      </c>
    </row>
    <row r="199" spans="1:7" x14ac:dyDescent="0.2">
      <c r="A199" s="6" t="s">
        <v>8</v>
      </c>
      <c r="B199" s="7" t="s">
        <v>9</v>
      </c>
      <c r="C199" s="7" t="s">
        <v>311</v>
      </c>
      <c r="D199" s="8">
        <v>-1.0891356999999999</v>
      </c>
      <c r="E199" s="8">
        <v>-1.2182956</v>
      </c>
      <c r="F199" s="9" t="str">
        <f t="shared" si="0"/>
        <v>Direct</v>
      </c>
      <c r="G199" s="7" t="s">
        <v>11</v>
      </c>
    </row>
    <row r="200" spans="1:7" x14ac:dyDescent="0.2">
      <c r="A200" s="6" t="s">
        <v>8</v>
      </c>
      <c r="B200" s="7" t="s">
        <v>9</v>
      </c>
      <c r="C200" s="7" t="s">
        <v>312</v>
      </c>
      <c r="D200" s="8">
        <v>1.8525631199999999</v>
      </c>
      <c r="E200" s="8">
        <v>12.8179236</v>
      </c>
      <c r="F200" s="9" t="str">
        <f t="shared" si="0"/>
        <v>Direct</v>
      </c>
      <c r="G200" s="7" t="s">
        <v>11</v>
      </c>
    </row>
    <row r="201" spans="1:7" x14ac:dyDescent="0.2">
      <c r="A201" s="6" t="s">
        <v>8</v>
      </c>
      <c r="B201" s="7" t="s">
        <v>9</v>
      </c>
      <c r="C201" s="7" t="s">
        <v>313</v>
      </c>
      <c r="D201" s="8">
        <v>1.67981384</v>
      </c>
      <c r="E201" s="8">
        <v>2.41344768</v>
      </c>
      <c r="F201" s="9" t="str">
        <f t="shared" si="0"/>
        <v>Direct</v>
      </c>
      <c r="G201" s="7" t="s">
        <v>314</v>
      </c>
    </row>
    <row r="202" spans="1:7" x14ac:dyDescent="0.2">
      <c r="A202" s="6" t="s">
        <v>8</v>
      </c>
      <c r="B202" s="7" t="s">
        <v>9</v>
      </c>
      <c r="C202" s="7" t="s">
        <v>315</v>
      </c>
      <c r="D202" s="8">
        <v>1.1800766</v>
      </c>
      <c r="E202" s="8">
        <v>4.1770471699999998</v>
      </c>
      <c r="F202" s="9" t="str">
        <f t="shared" si="0"/>
        <v>Direct</v>
      </c>
      <c r="G202" s="7" t="s">
        <v>316</v>
      </c>
    </row>
    <row r="203" spans="1:7" x14ac:dyDescent="0.2">
      <c r="A203" s="6" t="s">
        <v>8</v>
      </c>
      <c r="B203" s="7" t="s">
        <v>9</v>
      </c>
      <c r="C203" s="7" t="s">
        <v>317</v>
      </c>
      <c r="D203" s="8">
        <v>1.1364848599999999</v>
      </c>
      <c r="E203" s="8">
        <v>1.0319018099999999</v>
      </c>
      <c r="F203" s="9" t="str">
        <f t="shared" si="0"/>
        <v>Direct</v>
      </c>
      <c r="G203" s="7" t="s">
        <v>318</v>
      </c>
    </row>
    <row r="204" spans="1:7" x14ac:dyDescent="0.2">
      <c r="A204" s="6" t="s">
        <v>8</v>
      </c>
      <c r="B204" s="7" t="s">
        <v>9</v>
      </c>
      <c r="C204" s="7" t="s">
        <v>319</v>
      </c>
      <c r="D204" s="8">
        <v>-2.3880035999999998</v>
      </c>
      <c r="E204" s="8">
        <v>-5.8833694000000003</v>
      </c>
      <c r="F204" s="9" t="str">
        <f t="shared" si="0"/>
        <v>Direct</v>
      </c>
      <c r="G204" s="7" t="s">
        <v>11</v>
      </c>
    </row>
    <row r="205" spans="1:7" x14ac:dyDescent="0.2">
      <c r="A205" s="6" t="s">
        <v>8</v>
      </c>
      <c r="B205" s="7" t="s">
        <v>9</v>
      </c>
      <c r="C205" s="7" t="s">
        <v>320</v>
      </c>
      <c r="D205" s="8">
        <v>2.2380121399999999</v>
      </c>
      <c r="E205" s="8">
        <v>-1.5218488999999999</v>
      </c>
      <c r="F205" s="9" t="str">
        <f t="shared" si="0"/>
        <v>Inverse</v>
      </c>
      <c r="G205" s="7" t="s">
        <v>321</v>
      </c>
    </row>
    <row r="206" spans="1:7" x14ac:dyDescent="0.2">
      <c r="A206" s="6" t="s">
        <v>8</v>
      </c>
      <c r="B206" s="7" t="s">
        <v>9</v>
      </c>
      <c r="C206" s="7" t="s">
        <v>322</v>
      </c>
      <c r="D206" s="8">
        <v>-1.3998415</v>
      </c>
      <c r="E206" s="8">
        <v>-12.73874</v>
      </c>
      <c r="F206" s="9" t="str">
        <f t="shared" si="0"/>
        <v>Direct</v>
      </c>
      <c r="G206" s="7" t="s">
        <v>323</v>
      </c>
    </row>
    <row r="207" spans="1:7" x14ac:dyDescent="0.2">
      <c r="A207" s="6" t="s">
        <v>8</v>
      </c>
      <c r="B207" s="7" t="s">
        <v>9</v>
      </c>
      <c r="C207" s="7" t="s">
        <v>324</v>
      </c>
      <c r="D207" s="8">
        <v>1.3995664999999999</v>
      </c>
      <c r="E207" s="8">
        <v>4.7923529499999997</v>
      </c>
      <c r="F207" s="9" t="str">
        <f t="shared" si="0"/>
        <v>Direct</v>
      </c>
      <c r="G207" s="7" t="s">
        <v>325</v>
      </c>
    </row>
    <row r="208" spans="1:7" x14ac:dyDescent="0.2">
      <c r="A208" s="6" t="s">
        <v>8</v>
      </c>
      <c r="B208" s="7" t="s">
        <v>9</v>
      </c>
      <c r="C208" s="7" t="s">
        <v>326</v>
      </c>
      <c r="D208" s="8">
        <v>1.1957464799999999</v>
      </c>
      <c r="E208" s="8">
        <v>1.78319261</v>
      </c>
      <c r="F208" s="9" t="str">
        <f t="shared" si="0"/>
        <v>Direct</v>
      </c>
      <c r="G208" s="7" t="s">
        <v>327</v>
      </c>
    </row>
    <row r="209" spans="1:7" x14ac:dyDescent="0.2">
      <c r="A209" s="6" t="s">
        <v>8</v>
      </c>
      <c r="B209" s="7" t="s">
        <v>9</v>
      </c>
      <c r="C209" s="7" t="s">
        <v>328</v>
      </c>
      <c r="D209" s="8">
        <v>1.9716568000000001</v>
      </c>
      <c r="E209" s="8">
        <v>4.0589744100000003</v>
      </c>
      <c r="F209" s="9" t="str">
        <f t="shared" si="0"/>
        <v>Direct</v>
      </c>
      <c r="G209" s="7" t="s">
        <v>11</v>
      </c>
    </row>
    <row r="210" spans="1:7" x14ac:dyDescent="0.2">
      <c r="A210" s="6" t="s">
        <v>8</v>
      </c>
      <c r="B210" s="7" t="s">
        <v>9</v>
      </c>
      <c r="C210" s="7" t="s">
        <v>329</v>
      </c>
      <c r="D210" s="8">
        <v>-3.9077199999999999</v>
      </c>
      <c r="E210" s="8">
        <v>-2.1688333000000002</v>
      </c>
      <c r="F210" s="9" t="str">
        <f t="shared" si="0"/>
        <v>Direct</v>
      </c>
      <c r="G210" s="7" t="s">
        <v>11</v>
      </c>
    </row>
    <row r="211" spans="1:7" x14ac:dyDescent="0.2">
      <c r="A211" s="6" t="s">
        <v>8</v>
      </c>
      <c r="B211" s="7" t="s">
        <v>9</v>
      </c>
      <c r="C211" s="7" t="s">
        <v>330</v>
      </c>
      <c r="D211" s="8">
        <v>1.4153232</v>
      </c>
      <c r="E211" s="8">
        <v>8.4160681400000001</v>
      </c>
      <c r="F211" s="9" t="str">
        <f t="shared" si="0"/>
        <v>Direct</v>
      </c>
      <c r="G211" s="7" t="s">
        <v>331</v>
      </c>
    </row>
    <row r="212" spans="1:7" x14ac:dyDescent="0.2">
      <c r="A212" s="6" t="s">
        <v>8</v>
      </c>
      <c r="B212" s="7" t="s">
        <v>9</v>
      </c>
      <c r="C212" s="7" t="s">
        <v>332</v>
      </c>
      <c r="D212" s="8">
        <v>-1.1330981</v>
      </c>
      <c r="E212" s="8">
        <v>-4.2358228999999996</v>
      </c>
      <c r="F212" s="9" t="str">
        <f t="shared" si="0"/>
        <v>Direct</v>
      </c>
      <c r="G212" s="7" t="s">
        <v>11</v>
      </c>
    </row>
    <row r="213" spans="1:7" x14ac:dyDescent="0.2">
      <c r="A213" s="6" t="s">
        <v>8</v>
      </c>
      <c r="B213" s="7" t="s">
        <v>9</v>
      </c>
      <c r="C213" s="7" t="s">
        <v>333</v>
      </c>
      <c r="D213" s="8">
        <v>1.8924459300000001</v>
      </c>
      <c r="E213" s="8">
        <v>2.3507995400000001</v>
      </c>
      <c r="F213" s="9" t="str">
        <f t="shared" si="0"/>
        <v>Direct</v>
      </c>
      <c r="G213" s="7" t="s">
        <v>334</v>
      </c>
    </row>
    <row r="214" spans="1:7" x14ac:dyDescent="0.2">
      <c r="A214" s="6" t="s">
        <v>8</v>
      </c>
      <c r="B214" s="7" t="s">
        <v>9</v>
      </c>
      <c r="C214" s="7" t="s">
        <v>335</v>
      </c>
      <c r="D214" s="8">
        <v>1.2022635399999999</v>
      </c>
      <c r="E214" s="8">
        <v>1.03443193</v>
      </c>
      <c r="F214" s="9" t="str">
        <f t="shared" si="0"/>
        <v>Direct</v>
      </c>
      <c r="G214" s="7" t="s">
        <v>336</v>
      </c>
    </row>
    <row r="215" spans="1:7" x14ac:dyDescent="0.2">
      <c r="A215" s="6" t="s">
        <v>8</v>
      </c>
      <c r="B215" s="7" t="s">
        <v>9</v>
      </c>
      <c r="C215" s="7" t="s">
        <v>337</v>
      </c>
      <c r="D215" s="8">
        <v>3.0212460600000002</v>
      </c>
      <c r="E215" s="8">
        <v>3.2198362899999999</v>
      </c>
      <c r="F215" s="9" t="str">
        <f t="shared" si="0"/>
        <v>Direct</v>
      </c>
      <c r="G215" s="7" t="s">
        <v>11</v>
      </c>
    </row>
    <row r="216" spans="1:7" x14ac:dyDescent="0.2">
      <c r="A216" s="6" t="s">
        <v>8</v>
      </c>
      <c r="B216" s="7" t="s">
        <v>9</v>
      </c>
      <c r="C216" s="7" t="s">
        <v>338</v>
      </c>
      <c r="D216" s="8">
        <v>4.46233609</v>
      </c>
      <c r="E216" s="8">
        <v>7.80037088</v>
      </c>
      <c r="F216" s="9" t="str">
        <f t="shared" si="0"/>
        <v>Direct</v>
      </c>
      <c r="G216" s="7" t="s">
        <v>11</v>
      </c>
    </row>
    <row r="217" spans="1:7" x14ac:dyDescent="0.2">
      <c r="A217" s="6" t="s">
        <v>8</v>
      </c>
      <c r="B217" s="7" t="s">
        <v>9</v>
      </c>
      <c r="C217" s="7" t="s">
        <v>339</v>
      </c>
      <c r="D217" s="8">
        <v>-1.4369068</v>
      </c>
      <c r="E217" s="8">
        <v>-2.3531414000000002</v>
      </c>
      <c r="F217" s="9" t="str">
        <f t="shared" si="0"/>
        <v>Direct</v>
      </c>
      <c r="G217" s="7" t="s">
        <v>11</v>
      </c>
    </row>
    <row r="218" spans="1:7" x14ac:dyDescent="0.2">
      <c r="A218" s="6" t="s">
        <v>8</v>
      </c>
      <c r="B218" s="7" t="s">
        <v>9</v>
      </c>
      <c r="C218" s="7" t="s">
        <v>340</v>
      </c>
      <c r="D218" s="8">
        <v>2.6422900399999998</v>
      </c>
      <c r="E218" s="8">
        <v>2.15087312</v>
      </c>
      <c r="F218" s="9" t="str">
        <f t="shared" si="0"/>
        <v>Direct</v>
      </c>
      <c r="G218" s="7" t="s">
        <v>341</v>
      </c>
    </row>
    <row r="219" spans="1:7" x14ac:dyDescent="0.2">
      <c r="A219" s="6" t="s">
        <v>8</v>
      </c>
      <c r="B219" s="7" t="s">
        <v>9</v>
      </c>
      <c r="C219" s="7" t="s">
        <v>342</v>
      </c>
      <c r="D219" s="8">
        <v>1.35124212</v>
      </c>
      <c r="E219" s="8">
        <v>4.9793984900000003</v>
      </c>
      <c r="F219" s="9" t="str">
        <f t="shared" si="0"/>
        <v>Direct</v>
      </c>
      <c r="G219" s="7" t="s">
        <v>343</v>
      </c>
    </row>
    <row r="220" spans="1:7" x14ac:dyDescent="0.2">
      <c r="A220" s="6" t="s">
        <v>8</v>
      </c>
      <c r="B220" s="7" t="s">
        <v>9</v>
      </c>
      <c r="C220" s="7" t="s">
        <v>344</v>
      </c>
      <c r="D220" s="8">
        <v>-2.9486555000000001</v>
      </c>
      <c r="E220" s="8">
        <v>-13.244130999999999</v>
      </c>
      <c r="F220" s="9" t="str">
        <f t="shared" si="0"/>
        <v>Direct</v>
      </c>
      <c r="G220" s="7" t="s">
        <v>11</v>
      </c>
    </row>
    <row r="221" spans="1:7" x14ac:dyDescent="0.2">
      <c r="A221" s="6" t="s">
        <v>8</v>
      </c>
      <c r="B221" s="7" t="s">
        <v>9</v>
      </c>
      <c r="C221" s="7" t="s">
        <v>345</v>
      </c>
      <c r="D221" s="8">
        <v>2.5354853799999999</v>
      </c>
      <c r="E221" s="8">
        <v>9.5730140600000002</v>
      </c>
      <c r="F221" s="9" t="str">
        <f t="shared" si="0"/>
        <v>Direct</v>
      </c>
      <c r="G221" s="7" t="s">
        <v>11</v>
      </c>
    </row>
    <row r="222" spans="1:7" x14ac:dyDescent="0.2">
      <c r="A222" s="6" t="s">
        <v>8</v>
      </c>
      <c r="B222" s="7" t="s">
        <v>9</v>
      </c>
      <c r="C222" s="7" t="s">
        <v>346</v>
      </c>
      <c r="D222" s="8">
        <v>-1.5697892</v>
      </c>
      <c r="E222" s="8">
        <v>-3.2896054000000001</v>
      </c>
      <c r="F222" s="9" t="str">
        <f t="shared" si="0"/>
        <v>Direct</v>
      </c>
      <c r="G222" s="7" t="s">
        <v>347</v>
      </c>
    </row>
    <row r="223" spans="1:7" x14ac:dyDescent="0.2">
      <c r="A223" s="6" t="s">
        <v>8</v>
      </c>
      <c r="B223" s="7" t="s">
        <v>9</v>
      </c>
      <c r="C223" s="7" t="s">
        <v>348</v>
      </c>
      <c r="D223" s="8">
        <v>-3.9989145000000001</v>
      </c>
      <c r="E223" s="8">
        <v>-5.8942598999999998</v>
      </c>
      <c r="F223" s="9" t="str">
        <f t="shared" si="0"/>
        <v>Direct</v>
      </c>
      <c r="G223" s="7" t="s">
        <v>11</v>
      </c>
    </row>
    <row r="224" spans="1:7" x14ac:dyDescent="0.2">
      <c r="A224" s="6" t="s">
        <v>8</v>
      </c>
      <c r="B224" s="7" t="s">
        <v>9</v>
      </c>
      <c r="C224" s="7" t="s">
        <v>349</v>
      </c>
      <c r="D224" s="8">
        <v>4.5852728200000001</v>
      </c>
      <c r="E224" s="8">
        <v>3.8419118499999998</v>
      </c>
      <c r="F224" s="9" t="str">
        <f t="shared" si="0"/>
        <v>Direct</v>
      </c>
      <c r="G224" s="7" t="s">
        <v>11</v>
      </c>
    </row>
    <row r="225" spans="1:7" x14ac:dyDescent="0.2">
      <c r="A225" s="6" t="s">
        <v>8</v>
      </c>
      <c r="B225" s="7" t="s">
        <v>9</v>
      </c>
      <c r="C225" s="7" t="s">
        <v>350</v>
      </c>
      <c r="D225" s="8">
        <v>-2.7934899</v>
      </c>
      <c r="E225" s="8">
        <v>-2.1065269999999998</v>
      </c>
      <c r="F225" s="9" t="str">
        <f t="shared" si="0"/>
        <v>Direct</v>
      </c>
      <c r="G225" s="7" t="s">
        <v>351</v>
      </c>
    </row>
    <row r="226" spans="1:7" x14ac:dyDescent="0.2">
      <c r="A226" s="6" t="s">
        <v>8</v>
      </c>
      <c r="B226" s="7" t="s">
        <v>9</v>
      </c>
      <c r="C226" s="7" t="s">
        <v>352</v>
      </c>
      <c r="D226" s="8">
        <v>1.8205191700000001</v>
      </c>
      <c r="E226" s="8">
        <v>2.0459141299999999</v>
      </c>
      <c r="F226" s="9" t="str">
        <f t="shared" si="0"/>
        <v>Direct</v>
      </c>
      <c r="G226" s="7" t="s">
        <v>11</v>
      </c>
    </row>
    <row r="227" spans="1:7" x14ac:dyDescent="0.2">
      <c r="A227" s="6" t="s">
        <v>8</v>
      </c>
      <c r="B227" s="7" t="s">
        <v>9</v>
      </c>
      <c r="C227" s="7" t="s">
        <v>353</v>
      </c>
      <c r="D227" s="8">
        <v>1.78703699</v>
      </c>
      <c r="E227" s="8">
        <v>4.0770369300000002</v>
      </c>
      <c r="F227" s="9" t="str">
        <f t="shared" si="0"/>
        <v>Direct</v>
      </c>
      <c r="G227" s="7" t="s">
        <v>11</v>
      </c>
    </row>
    <row r="228" spans="1:7" x14ac:dyDescent="0.2">
      <c r="A228" s="6" t="s">
        <v>8</v>
      </c>
      <c r="B228" s="7" t="s">
        <v>9</v>
      </c>
      <c r="C228" s="7" t="s">
        <v>354</v>
      </c>
      <c r="D228" s="8">
        <v>1.9573239899999999</v>
      </c>
      <c r="E228" s="8">
        <v>1.23547254</v>
      </c>
      <c r="F228" s="9" t="str">
        <f t="shared" si="0"/>
        <v>Direct</v>
      </c>
      <c r="G228" s="7" t="s">
        <v>11</v>
      </c>
    </row>
    <row r="229" spans="1:7" x14ac:dyDescent="0.2">
      <c r="A229" s="6" t="s">
        <v>8</v>
      </c>
      <c r="B229" s="7" t="s">
        <v>9</v>
      </c>
      <c r="C229" s="7" t="s">
        <v>355</v>
      </c>
      <c r="D229" s="8">
        <v>1.33672777</v>
      </c>
      <c r="E229" s="8">
        <v>1.3658348499999999</v>
      </c>
      <c r="F229" s="9" t="str">
        <f t="shared" si="0"/>
        <v>Direct</v>
      </c>
      <c r="G229" s="7" t="s">
        <v>356</v>
      </c>
    </row>
    <row r="230" spans="1:7" x14ac:dyDescent="0.2">
      <c r="A230" s="6" t="s">
        <v>8</v>
      </c>
      <c r="B230" s="7" t="s">
        <v>9</v>
      </c>
      <c r="C230" s="7" t="s">
        <v>357</v>
      </c>
      <c r="D230" s="8">
        <v>-1.2422662</v>
      </c>
      <c r="E230" s="8">
        <v>-2.0453731999999998</v>
      </c>
      <c r="F230" s="9" t="str">
        <f t="shared" si="0"/>
        <v>Direct</v>
      </c>
      <c r="G230" s="7" t="s">
        <v>358</v>
      </c>
    </row>
    <row r="231" spans="1:7" x14ac:dyDescent="0.2">
      <c r="A231" s="6" t="s">
        <v>8</v>
      </c>
      <c r="B231" s="7" t="s">
        <v>9</v>
      </c>
      <c r="C231" s="7" t="s">
        <v>359</v>
      </c>
      <c r="D231" s="8">
        <v>-1.8242693999999999</v>
      </c>
      <c r="E231" s="8">
        <v>-14.044271</v>
      </c>
      <c r="F231" s="9" t="str">
        <f t="shared" si="0"/>
        <v>Direct</v>
      </c>
      <c r="G231" s="7" t="s">
        <v>360</v>
      </c>
    </row>
    <row r="232" spans="1:7" x14ac:dyDescent="0.2">
      <c r="A232" s="6" t="s">
        <v>8</v>
      </c>
      <c r="B232" s="7" t="s">
        <v>9</v>
      </c>
      <c r="C232" s="7" t="s">
        <v>361</v>
      </c>
      <c r="D232" s="8">
        <v>3.7841004599999999</v>
      </c>
      <c r="E232" s="8">
        <v>5.73515979</v>
      </c>
      <c r="F232" s="9" t="str">
        <f t="shared" si="0"/>
        <v>Direct</v>
      </c>
      <c r="G232" s="7" t="s">
        <v>11</v>
      </c>
    </row>
    <row r="233" spans="1:7" x14ac:dyDescent="0.2">
      <c r="A233" s="6" t="s">
        <v>8</v>
      </c>
      <c r="B233" s="7" t="s">
        <v>9</v>
      </c>
      <c r="C233" s="7" t="s">
        <v>362</v>
      </c>
      <c r="D233" s="8">
        <v>1.0032612299999999</v>
      </c>
      <c r="E233" s="8">
        <v>2.8087290500000002</v>
      </c>
      <c r="F233" s="9" t="str">
        <f t="shared" si="0"/>
        <v>Direct</v>
      </c>
      <c r="G233" s="7" t="s">
        <v>11</v>
      </c>
    </row>
    <row r="234" spans="1:7" x14ac:dyDescent="0.2">
      <c r="A234" s="6" t="s">
        <v>8</v>
      </c>
      <c r="B234" s="7" t="s">
        <v>9</v>
      </c>
      <c r="C234" s="7" t="s">
        <v>363</v>
      </c>
      <c r="D234" s="8">
        <v>1.5894104499999999</v>
      </c>
      <c r="E234" s="8">
        <v>4.6710986300000004</v>
      </c>
      <c r="F234" s="9" t="str">
        <f t="shared" si="0"/>
        <v>Direct</v>
      </c>
      <c r="G234" s="7" t="s">
        <v>364</v>
      </c>
    </row>
    <row r="235" spans="1:7" x14ac:dyDescent="0.2">
      <c r="A235" s="6" t="s">
        <v>8</v>
      </c>
      <c r="B235" s="7" t="s">
        <v>9</v>
      </c>
      <c r="C235" s="7" t="s">
        <v>365</v>
      </c>
      <c r="D235" s="8">
        <v>1.0032632800000001</v>
      </c>
      <c r="E235" s="8">
        <v>1.0806741500000001</v>
      </c>
      <c r="F235" s="9" t="str">
        <f t="shared" si="0"/>
        <v>Direct</v>
      </c>
      <c r="G235" s="7" t="s">
        <v>11</v>
      </c>
    </row>
    <row r="236" spans="1:7" x14ac:dyDescent="0.2">
      <c r="A236" s="6" t="s">
        <v>8</v>
      </c>
      <c r="B236" s="7" t="s">
        <v>9</v>
      </c>
      <c r="C236" s="7" t="s">
        <v>366</v>
      </c>
      <c r="D236" s="8">
        <v>1.4188925400000001</v>
      </c>
      <c r="E236" s="8">
        <v>4.0919789199999999</v>
      </c>
      <c r="F236" s="9" t="str">
        <f t="shared" si="0"/>
        <v>Direct</v>
      </c>
      <c r="G236" s="7" t="s">
        <v>11</v>
      </c>
    </row>
    <row r="237" spans="1:7" x14ac:dyDescent="0.2">
      <c r="A237" s="6" t="s">
        <v>8</v>
      </c>
      <c r="B237" s="7" t="s">
        <v>9</v>
      </c>
      <c r="C237" s="7" t="s">
        <v>367</v>
      </c>
      <c r="D237" s="8">
        <v>1.5613072100000001</v>
      </c>
      <c r="E237" s="8">
        <v>1.4515678999999999</v>
      </c>
      <c r="F237" s="9" t="str">
        <f t="shared" si="0"/>
        <v>Direct</v>
      </c>
      <c r="G237" s="7" t="s">
        <v>11</v>
      </c>
    </row>
    <row r="238" spans="1:7" x14ac:dyDescent="0.2">
      <c r="A238" s="6" t="s">
        <v>8</v>
      </c>
      <c r="B238" s="7" t="s">
        <v>9</v>
      </c>
      <c r="C238" s="7" t="s">
        <v>368</v>
      </c>
      <c r="D238" s="8">
        <v>1.2663247099999999</v>
      </c>
      <c r="E238" s="8">
        <v>5.8094796100000003</v>
      </c>
      <c r="F238" s="9" t="str">
        <f t="shared" si="0"/>
        <v>Direct</v>
      </c>
      <c r="G238" s="7" t="s">
        <v>11</v>
      </c>
    </row>
    <row r="239" spans="1:7" x14ac:dyDescent="0.2">
      <c r="A239" s="6" t="s">
        <v>8</v>
      </c>
      <c r="B239" s="7" t="s">
        <v>9</v>
      </c>
      <c r="C239" s="7" t="s">
        <v>369</v>
      </c>
      <c r="D239" s="8">
        <v>-1.3750004</v>
      </c>
      <c r="E239" s="8">
        <v>-2.778578</v>
      </c>
      <c r="F239" s="9" t="str">
        <f t="shared" si="0"/>
        <v>Direct</v>
      </c>
      <c r="G239" s="7" t="s">
        <v>11</v>
      </c>
    </row>
    <row r="240" spans="1:7" x14ac:dyDescent="0.2">
      <c r="A240" s="6" t="s">
        <v>8</v>
      </c>
      <c r="B240" s="7" t="s">
        <v>9</v>
      </c>
      <c r="C240" s="7" t="s">
        <v>370</v>
      </c>
      <c r="D240" s="8">
        <v>-1.5696558</v>
      </c>
      <c r="E240" s="8">
        <v>-1.3240267999999999</v>
      </c>
      <c r="F240" s="9" t="str">
        <f t="shared" si="0"/>
        <v>Direct</v>
      </c>
      <c r="G240" s="7" t="s">
        <v>371</v>
      </c>
    </row>
    <row r="241" spans="1:7" x14ac:dyDescent="0.2">
      <c r="A241" s="6" t="s">
        <v>8</v>
      </c>
      <c r="B241" s="7" t="s">
        <v>9</v>
      </c>
      <c r="C241" s="7" t="s">
        <v>372</v>
      </c>
      <c r="D241" s="8">
        <v>1.6530229599999999</v>
      </c>
      <c r="E241" s="8">
        <v>2.38182369</v>
      </c>
      <c r="F241" s="9" t="str">
        <f t="shared" si="0"/>
        <v>Direct</v>
      </c>
      <c r="G241" s="7" t="s">
        <v>11</v>
      </c>
    </row>
    <row r="242" spans="1:7" x14ac:dyDescent="0.2">
      <c r="A242" s="6" t="s">
        <v>8</v>
      </c>
      <c r="B242" s="7" t="s">
        <v>9</v>
      </c>
      <c r="C242" s="7" t="s">
        <v>373</v>
      </c>
      <c r="D242" s="8">
        <v>1.0804114499999999</v>
      </c>
      <c r="E242" s="8">
        <v>7.3936959199999999</v>
      </c>
      <c r="F242" s="9" t="str">
        <f t="shared" si="0"/>
        <v>Direct</v>
      </c>
      <c r="G242" s="7" t="s">
        <v>374</v>
      </c>
    </row>
    <row r="243" spans="1:7" x14ac:dyDescent="0.2">
      <c r="A243" s="6" t="s">
        <v>8</v>
      </c>
      <c r="B243" s="7" t="s">
        <v>9</v>
      </c>
      <c r="C243" s="7" t="s">
        <v>375</v>
      </c>
      <c r="D243" s="8">
        <v>-1.3436303000000001</v>
      </c>
      <c r="E243" s="8">
        <v>-1.3407783</v>
      </c>
      <c r="F243" s="9" t="str">
        <f t="shared" si="0"/>
        <v>Direct</v>
      </c>
      <c r="G243" s="7" t="s">
        <v>11</v>
      </c>
    </row>
    <row r="244" spans="1:7" x14ac:dyDescent="0.2">
      <c r="A244" s="6" t="s">
        <v>8</v>
      </c>
      <c r="B244" s="7" t="s">
        <v>9</v>
      </c>
      <c r="C244" s="7" t="s">
        <v>376</v>
      </c>
      <c r="D244" s="8">
        <v>1.00889144</v>
      </c>
      <c r="E244" s="8">
        <v>3.39292952</v>
      </c>
      <c r="F244" s="9" t="str">
        <f t="shared" si="0"/>
        <v>Direct</v>
      </c>
      <c r="G244" s="7" t="s">
        <v>11</v>
      </c>
    </row>
    <row r="245" spans="1:7" x14ac:dyDescent="0.2">
      <c r="A245" s="6" t="s">
        <v>8</v>
      </c>
      <c r="B245" s="7" t="s">
        <v>9</v>
      </c>
      <c r="C245" s="7" t="s">
        <v>377</v>
      </c>
      <c r="D245" s="8">
        <v>1.2954907899999999</v>
      </c>
      <c r="E245" s="8">
        <v>2.35564354</v>
      </c>
      <c r="F245" s="9" t="str">
        <f t="shared" si="0"/>
        <v>Direct</v>
      </c>
      <c r="G245" s="7" t="s">
        <v>11</v>
      </c>
    </row>
    <row r="246" spans="1:7" x14ac:dyDescent="0.2">
      <c r="A246" s="6" t="s">
        <v>8</v>
      </c>
      <c r="B246" s="7" t="s">
        <v>9</v>
      </c>
      <c r="C246" s="7" t="s">
        <v>378</v>
      </c>
      <c r="D246" s="8">
        <v>1.00356563</v>
      </c>
      <c r="E246" s="8">
        <v>1.96231887</v>
      </c>
      <c r="F246" s="9" t="str">
        <f t="shared" si="0"/>
        <v>Direct</v>
      </c>
      <c r="G246" s="7" t="s">
        <v>11</v>
      </c>
    </row>
    <row r="247" spans="1:7" x14ac:dyDescent="0.2">
      <c r="A247" s="6" t="s">
        <v>8</v>
      </c>
      <c r="B247" s="7" t="s">
        <v>9</v>
      </c>
      <c r="C247" s="7" t="s">
        <v>379</v>
      </c>
      <c r="D247" s="8">
        <v>1.1841260899999999</v>
      </c>
      <c r="E247" s="8">
        <v>8.7115959699999994</v>
      </c>
      <c r="F247" s="9" t="str">
        <f t="shared" si="0"/>
        <v>Direct</v>
      </c>
      <c r="G247" s="7" t="s">
        <v>11</v>
      </c>
    </row>
    <row r="248" spans="1:7" x14ac:dyDescent="0.2">
      <c r="A248" s="6" t="s">
        <v>8</v>
      </c>
      <c r="B248" s="7" t="s">
        <v>9</v>
      </c>
      <c r="C248" s="7" t="s">
        <v>380</v>
      </c>
      <c r="D248" s="8">
        <v>1.1469393999999999</v>
      </c>
      <c r="E248" s="8">
        <v>2.35964916</v>
      </c>
      <c r="F248" s="9" t="str">
        <f t="shared" si="0"/>
        <v>Direct</v>
      </c>
      <c r="G248" s="7" t="s">
        <v>381</v>
      </c>
    </row>
    <row r="249" spans="1:7" x14ac:dyDescent="0.2">
      <c r="A249" s="6" t="s">
        <v>8</v>
      </c>
      <c r="B249" s="7" t="s">
        <v>9</v>
      </c>
      <c r="C249" s="7" t="s">
        <v>382</v>
      </c>
      <c r="D249" s="8">
        <v>-3.0512381</v>
      </c>
      <c r="E249" s="8">
        <v>-3.9316344999999999</v>
      </c>
      <c r="F249" s="9" t="str">
        <f t="shared" si="0"/>
        <v>Direct</v>
      </c>
      <c r="G249" s="7" t="s">
        <v>11</v>
      </c>
    </row>
    <row r="250" spans="1:7" x14ac:dyDescent="0.2">
      <c r="A250" s="6" t="s">
        <v>8</v>
      </c>
      <c r="B250" s="7" t="s">
        <v>9</v>
      </c>
      <c r="C250" s="7" t="s">
        <v>383</v>
      </c>
      <c r="D250" s="8">
        <v>-1.5445248</v>
      </c>
      <c r="E250" s="8">
        <v>-1.6563333</v>
      </c>
      <c r="F250" s="9" t="str">
        <f t="shared" si="0"/>
        <v>Direct</v>
      </c>
      <c r="G250" s="7" t="s">
        <v>384</v>
      </c>
    </row>
    <row r="251" spans="1:7" x14ac:dyDescent="0.2">
      <c r="A251" s="6" t="s">
        <v>8</v>
      </c>
      <c r="B251" s="7" t="s">
        <v>9</v>
      </c>
      <c r="C251" s="7" t="s">
        <v>385</v>
      </c>
      <c r="D251" s="8">
        <v>2.99983266</v>
      </c>
      <c r="E251" s="8">
        <v>5.4531673100000004</v>
      </c>
      <c r="F251" s="9" t="str">
        <f t="shared" si="0"/>
        <v>Direct</v>
      </c>
      <c r="G251" s="7" t="s">
        <v>11</v>
      </c>
    </row>
    <row r="252" spans="1:7" x14ac:dyDescent="0.2">
      <c r="A252" s="6" t="s">
        <v>8</v>
      </c>
      <c r="B252" s="7" t="s">
        <v>9</v>
      </c>
      <c r="C252" s="7" t="s">
        <v>386</v>
      </c>
      <c r="D252" s="8">
        <v>1.1513301199999999</v>
      </c>
      <c r="E252" s="8">
        <v>4.0225286499999999</v>
      </c>
      <c r="F252" s="9" t="str">
        <f t="shared" si="0"/>
        <v>Direct</v>
      </c>
      <c r="G252" s="7" t="s">
        <v>11</v>
      </c>
    </row>
    <row r="253" spans="1:7" x14ac:dyDescent="0.2">
      <c r="A253" s="6" t="s">
        <v>8</v>
      </c>
      <c r="B253" s="7" t="s">
        <v>9</v>
      </c>
      <c r="C253" s="7" t="s">
        <v>387</v>
      </c>
      <c r="D253" s="8">
        <v>-1.4550055</v>
      </c>
      <c r="E253" s="8">
        <v>-3.0163465</v>
      </c>
      <c r="F253" s="9" t="str">
        <f t="shared" si="0"/>
        <v>Direct</v>
      </c>
      <c r="G253" s="7" t="s">
        <v>11</v>
      </c>
    </row>
    <row r="254" spans="1:7" x14ac:dyDescent="0.2">
      <c r="A254" s="6" t="s">
        <v>8</v>
      </c>
      <c r="B254" s="7" t="s">
        <v>9</v>
      </c>
      <c r="C254" s="7" t="s">
        <v>388</v>
      </c>
      <c r="D254" s="8">
        <v>2.8178263800000001</v>
      </c>
      <c r="E254" s="8">
        <v>-1.2629253</v>
      </c>
      <c r="F254" s="9" t="str">
        <f t="shared" si="0"/>
        <v>Inverse</v>
      </c>
      <c r="G254" s="7" t="s">
        <v>11</v>
      </c>
    </row>
    <row r="255" spans="1:7" x14ac:dyDescent="0.2">
      <c r="A255" s="6" t="s">
        <v>8</v>
      </c>
      <c r="B255" s="7" t="s">
        <v>9</v>
      </c>
      <c r="C255" s="7" t="s">
        <v>389</v>
      </c>
      <c r="D255" s="8">
        <v>1.9023012699999999</v>
      </c>
      <c r="E255" s="8">
        <v>2.0048975499999999</v>
      </c>
      <c r="F255" s="9" t="str">
        <f t="shared" si="0"/>
        <v>Direct</v>
      </c>
      <c r="G255" s="7" t="s">
        <v>11</v>
      </c>
    </row>
    <row r="256" spans="1:7" x14ac:dyDescent="0.2">
      <c r="A256" s="6" t="s">
        <v>8</v>
      </c>
      <c r="B256" s="7" t="s">
        <v>9</v>
      </c>
      <c r="C256" s="7" t="s">
        <v>390</v>
      </c>
      <c r="D256" s="8">
        <v>-3.4576756999999998</v>
      </c>
      <c r="E256" s="8">
        <v>-7.6709432</v>
      </c>
      <c r="F256" s="9" t="str">
        <f t="shared" si="0"/>
        <v>Direct</v>
      </c>
      <c r="G256" s="7" t="s">
        <v>11</v>
      </c>
    </row>
    <row r="257" spans="1:7" x14ac:dyDescent="0.2">
      <c r="A257" s="6" t="s">
        <v>8</v>
      </c>
      <c r="B257" s="7" t="s">
        <v>9</v>
      </c>
      <c r="C257" s="7" t="s">
        <v>391</v>
      </c>
      <c r="D257" s="8">
        <v>-1.8217266999999999</v>
      </c>
      <c r="E257" s="8">
        <v>-1.7404662</v>
      </c>
      <c r="F257" s="9" t="str">
        <f t="shared" ref="F257:F511" si="3">IF(OR(AND(D257&gt;0,E257&gt;0),AND(D257&lt;0,E257&lt;0)),"Direct","Inverse")</f>
        <v>Direct</v>
      </c>
      <c r="G257" s="7" t="s">
        <v>106</v>
      </c>
    </row>
    <row r="258" spans="1:7" x14ac:dyDescent="0.2">
      <c r="A258" s="6" t="s">
        <v>8</v>
      </c>
      <c r="B258" s="7" t="s">
        <v>9</v>
      </c>
      <c r="C258" s="7" t="s">
        <v>392</v>
      </c>
      <c r="D258" s="8">
        <v>2.56987897</v>
      </c>
      <c r="E258" s="8">
        <v>1.1369405400000001</v>
      </c>
      <c r="F258" s="9" t="str">
        <f t="shared" si="3"/>
        <v>Direct</v>
      </c>
      <c r="G258" s="7" t="s">
        <v>11</v>
      </c>
    </row>
    <row r="259" spans="1:7" x14ac:dyDescent="0.2">
      <c r="A259" s="6" t="s">
        <v>8</v>
      </c>
      <c r="B259" s="7" t="s">
        <v>9</v>
      </c>
      <c r="C259" s="7" t="s">
        <v>393</v>
      </c>
      <c r="D259" s="8">
        <v>3.2637029800000001</v>
      </c>
      <c r="E259" s="8">
        <v>1.5152311700000001</v>
      </c>
      <c r="F259" s="9" t="str">
        <f t="shared" si="3"/>
        <v>Direct</v>
      </c>
      <c r="G259" s="7" t="s">
        <v>394</v>
      </c>
    </row>
    <row r="260" spans="1:7" x14ac:dyDescent="0.2">
      <c r="A260" s="6" t="s">
        <v>8</v>
      </c>
      <c r="B260" s="7" t="s">
        <v>9</v>
      </c>
      <c r="C260" s="7" t="s">
        <v>395</v>
      </c>
      <c r="D260" s="8">
        <v>-1.574465</v>
      </c>
      <c r="E260" s="8">
        <v>-6.2044663</v>
      </c>
      <c r="F260" s="9" t="str">
        <f t="shared" si="3"/>
        <v>Direct</v>
      </c>
      <c r="G260" s="7" t="s">
        <v>11</v>
      </c>
    </row>
    <row r="261" spans="1:7" x14ac:dyDescent="0.2">
      <c r="A261" s="6" t="s">
        <v>8</v>
      </c>
      <c r="B261" s="7" t="s">
        <v>9</v>
      </c>
      <c r="C261" s="7" t="s">
        <v>396</v>
      </c>
      <c r="D261" s="8">
        <v>-3.1468631</v>
      </c>
      <c r="E261" s="8">
        <v>-8.9173448000000004</v>
      </c>
      <c r="F261" s="9" t="str">
        <f t="shared" si="3"/>
        <v>Direct</v>
      </c>
      <c r="G261" s="7" t="s">
        <v>11</v>
      </c>
    </row>
    <row r="262" spans="1:7" x14ac:dyDescent="0.2">
      <c r="A262" s="6" t="s">
        <v>8</v>
      </c>
      <c r="B262" s="7" t="s">
        <v>9</v>
      </c>
      <c r="C262" s="7" t="s">
        <v>397</v>
      </c>
      <c r="D262" s="8">
        <v>2.1880100699999998</v>
      </c>
      <c r="E262" s="8">
        <v>3.2868841799999999</v>
      </c>
      <c r="F262" s="9" t="str">
        <f t="shared" si="3"/>
        <v>Direct</v>
      </c>
      <c r="G262" s="7" t="s">
        <v>11</v>
      </c>
    </row>
    <row r="263" spans="1:7" x14ac:dyDescent="0.2">
      <c r="A263" s="6" t="s">
        <v>8</v>
      </c>
      <c r="B263" s="7" t="s">
        <v>9</v>
      </c>
      <c r="C263" s="7" t="s">
        <v>398</v>
      </c>
      <c r="D263" s="8">
        <v>-1.4005158</v>
      </c>
      <c r="E263" s="8">
        <v>-15.901203000000001</v>
      </c>
      <c r="F263" s="9" t="str">
        <f t="shared" si="3"/>
        <v>Direct</v>
      </c>
      <c r="G263" s="7" t="s">
        <v>399</v>
      </c>
    </row>
    <row r="264" spans="1:7" x14ac:dyDescent="0.2">
      <c r="A264" s="6" t="s">
        <v>8</v>
      </c>
      <c r="B264" s="7" t="s">
        <v>9</v>
      </c>
      <c r="C264" s="7" t="s">
        <v>400</v>
      </c>
      <c r="D264" s="8">
        <v>-2.0714201999999999</v>
      </c>
      <c r="E264" s="8">
        <v>-6.0375084000000001</v>
      </c>
      <c r="F264" s="9" t="str">
        <f t="shared" si="3"/>
        <v>Direct</v>
      </c>
      <c r="G264" s="7" t="s">
        <v>401</v>
      </c>
    </row>
    <row r="265" spans="1:7" x14ac:dyDescent="0.2">
      <c r="A265" s="6" t="s">
        <v>8</v>
      </c>
      <c r="B265" s="7" t="s">
        <v>9</v>
      </c>
      <c r="C265" s="7" t="s">
        <v>402</v>
      </c>
      <c r="D265" s="8">
        <v>2.11377719</v>
      </c>
      <c r="E265" s="8">
        <v>3.78613643</v>
      </c>
      <c r="F265" s="9" t="str">
        <f t="shared" si="3"/>
        <v>Direct</v>
      </c>
      <c r="G265" s="7" t="s">
        <v>11</v>
      </c>
    </row>
    <row r="266" spans="1:7" x14ac:dyDescent="0.2">
      <c r="A266" s="6" t="s">
        <v>8</v>
      </c>
      <c r="B266" s="7" t="s">
        <v>9</v>
      </c>
      <c r="C266" s="7" t="s">
        <v>403</v>
      </c>
      <c r="D266" s="8">
        <v>1.5646716700000001</v>
      </c>
      <c r="E266" s="8">
        <v>7.14459088</v>
      </c>
      <c r="F266" s="9" t="str">
        <f t="shared" si="3"/>
        <v>Direct</v>
      </c>
      <c r="G266" s="7" t="s">
        <v>11</v>
      </c>
    </row>
    <row r="267" spans="1:7" x14ac:dyDescent="0.2">
      <c r="A267" s="6" t="s">
        <v>8</v>
      </c>
      <c r="B267" s="7" t="s">
        <v>9</v>
      </c>
      <c r="C267" s="7" t="s">
        <v>404</v>
      </c>
      <c r="D267" s="8">
        <v>2.7827847299999999</v>
      </c>
      <c r="E267" s="8">
        <v>2.1803750399999999</v>
      </c>
      <c r="F267" s="9" t="str">
        <f t="shared" si="3"/>
        <v>Direct</v>
      </c>
      <c r="G267" s="7" t="s">
        <v>405</v>
      </c>
    </row>
    <row r="268" spans="1:7" x14ac:dyDescent="0.2">
      <c r="A268" s="6" t="s">
        <v>8</v>
      </c>
      <c r="B268" s="7" t="s">
        <v>9</v>
      </c>
      <c r="C268" s="7" t="s">
        <v>406</v>
      </c>
      <c r="D268" s="8">
        <v>-1.0038516</v>
      </c>
      <c r="E268" s="8">
        <v>-1.5367105999999999</v>
      </c>
      <c r="F268" s="9" t="str">
        <f t="shared" si="3"/>
        <v>Direct</v>
      </c>
      <c r="G268" s="7" t="s">
        <v>11</v>
      </c>
    </row>
    <row r="269" spans="1:7" x14ac:dyDescent="0.2">
      <c r="A269" s="6" t="s">
        <v>8</v>
      </c>
      <c r="B269" s="7" t="s">
        <v>9</v>
      </c>
      <c r="C269" s="7" t="s">
        <v>407</v>
      </c>
      <c r="D269" s="8">
        <v>4.2500965600000002</v>
      </c>
      <c r="E269" s="8">
        <v>11.8514231</v>
      </c>
      <c r="F269" s="9" t="str">
        <f t="shared" si="3"/>
        <v>Direct</v>
      </c>
      <c r="G269" s="7" t="s">
        <v>408</v>
      </c>
    </row>
    <row r="270" spans="1:7" x14ac:dyDescent="0.2">
      <c r="A270" s="6" t="s">
        <v>8</v>
      </c>
      <c r="B270" s="7" t="s">
        <v>9</v>
      </c>
      <c r="C270" s="7" t="s">
        <v>409</v>
      </c>
      <c r="D270" s="8">
        <v>3.1779679700000001</v>
      </c>
      <c r="E270" s="8">
        <v>6.5191915800000002</v>
      </c>
      <c r="F270" s="9" t="str">
        <f t="shared" si="3"/>
        <v>Direct</v>
      </c>
      <c r="G270" s="7" t="s">
        <v>11</v>
      </c>
    </row>
    <row r="271" spans="1:7" x14ac:dyDescent="0.2">
      <c r="A271" s="6" t="s">
        <v>8</v>
      </c>
      <c r="B271" s="7" t="s">
        <v>9</v>
      </c>
      <c r="C271" s="7" t="s">
        <v>410</v>
      </c>
      <c r="D271" s="8">
        <v>1.40100077</v>
      </c>
      <c r="E271" s="8">
        <v>5.06737971</v>
      </c>
      <c r="F271" s="9" t="str">
        <f t="shared" si="3"/>
        <v>Direct</v>
      </c>
      <c r="G271" s="7" t="s">
        <v>411</v>
      </c>
    </row>
    <row r="272" spans="1:7" x14ac:dyDescent="0.2">
      <c r="A272" s="6" t="s">
        <v>8</v>
      </c>
      <c r="B272" s="7" t="s">
        <v>9</v>
      </c>
      <c r="C272" s="7" t="s">
        <v>412</v>
      </c>
      <c r="D272" s="8">
        <v>3.45073987</v>
      </c>
      <c r="E272" s="8">
        <v>7.7812281700000003</v>
      </c>
      <c r="F272" s="9" t="str">
        <f t="shared" si="3"/>
        <v>Direct</v>
      </c>
      <c r="G272" s="7" t="s">
        <v>413</v>
      </c>
    </row>
    <row r="273" spans="1:7" x14ac:dyDescent="0.2">
      <c r="A273" s="6" t="s">
        <v>8</v>
      </c>
      <c r="B273" s="7" t="s">
        <v>9</v>
      </c>
      <c r="C273" s="7" t="s">
        <v>414</v>
      </c>
      <c r="D273" s="8">
        <v>-1.1680721999999999</v>
      </c>
      <c r="E273" s="8">
        <v>-2.1991253999999998</v>
      </c>
      <c r="F273" s="9" t="str">
        <f t="shared" si="3"/>
        <v>Direct</v>
      </c>
      <c r="G273" s="7" t="s">
        <v>415</v>
      </c>
    </row>
    <row r="274" spans="1:7" x14ac:dyDescent="0.2">
      <c r="A274" s="6" t="s">
        <v>8</v>
      </c>
      <c r="B274" s="7" t="s">
        <v>9</v>
      </c>
      <c r="C274" s="7" t="s">
        <v>416</v>
      </c>
      <c r="D274" s="8">
        <v>-4.3046952000000003</v>
      </c>
      <c r="E274" s="8">
        <v>-1.1464327999999999</v>
      </c>
      <c r="F274" s="9" t="str">
        <f t="shared" si="3"/>
        <v>Direct</v>
      </c>
      <c r="G274" s="7" t="s">
        <v>11</v>
      </c>
    </row>
    <row r="275" spans="1:7" x14ac:dyDescent="0.2">
      <c r="A275" s="6" t="s">
        <v>8</v>
      </c>
      <c r="B275" s="7" t="s">
        <v>9</v>
      </c>
      <c r="C275" s="7" t="s">
        <v>417</v>
      </c>
      <c r="D275" s="8">
        <v>1.5744650099999999</v>
      </c>
      <c r="E275" s="8">
        <v>8.0320163299999994</v>
      </c>
      <c r="F275" s="9" t="str">
        <f t="shared" si="3"/>
        <v>Direct</v>
      </c>
      <c r="G275" s="7" t="s">
        <v>418</v>
      </c>
    </row>
    <row r="276" spans="1:7" x14ac:dyDescent="0.2">
      <c r="A276" s="6" t="s">
        <v>8</v>
      </c>
      <c r="B276" s="7" t="s">
        <v>9</v>
      </c>
      <c r="C276" s="7" t="s">
        <v>419</v>
      </c>
      <c r="D276" s="8">
        <v>1.6317358399999999</v>
      </c>
      <c r="E276" s="8">
        <v>5.1882449900000003</v>
      </c>
      <c r="F276" s="9" t="str">
        <f t="shared" si="3"/>
        <v>Direct</v>
      </c>
      <c r="G276" s="7" t="s">
        <v>11</v>
      </c>
    </row>
    <row r="277" spans="1:7" x14ac:dyDescent="0.2">
      <c r="A277" s="6" t="s">
        <v>8</v>
      </c>
      <c r="B277" s="7" t="s">
        <v>9</v>
      </c>
      <c r="C277" s="7" t="s">
        <v>420</v>
      </c>
      <c r="D277" s="8">
        <v>-2.2167091000000001</v>
      </c>
      <c r="E277" s="8">
        <v>-5.6283193999999996</v>
      </c>
      <c r="F277" s="9" t="str">
        <f t="shared" si="3"/>
        <v>Direct</v>
      </c>
      <c r="G277" s="7" t="s">
        <v>421</v>
      </c>
    </row>
    <row r="278" spans="1:7" x14ac:dyDescent="0.2">
      <c r="A278" s="6" t="s">
        <v>8</v>
      </c>
      <c r="B278" s="7" t="s">
        <v>9</v>
      </c>
      <c r="C278" s="7" t="s">
        <v>422</v>
      </c>
      <c r="D278" s="8">
        <v>1.55849952</v>
      </c>
      <c r="E278" s="8">
        <v>5.40635142</v>
      </c>
      <c r="F278" s="9" t="str">
        <f t="shared" si="3"/>
        <v>Direct</v>
      </c>
      <c r="G278" s="7" t="s">
        <v>423</v>
      </c>
    </row>
    <row r="279" spans="1:7" x14ac:dyDescent="0.2">
      <c r="A279" s="6" t="s">
        <v>8</v>
      </c>
      <c r="B279" s="7" t="s">
        <v>9</v>
      </c>
      <c r="C279" s="7" t="s">
        <v>424</v>
      </c>
      <c r="D279" s="8">
        <v>1.2206058399999999</v>
      </c>
      <c r="E279" s="8">
        <v>1.75895793</v>
      </c>
      <c r="F279" s="9" t="str">
        <f t="shared" si="3"/>
        <v>Direct</v>
      </c>
      <c r="G279" s="7" t="s">
        <v>11</v>
      </c>
    </row>
    <row r="280" spans="1:7" x14ac:dyDescent="0.2">
      <c r="A280" s="6" t="s">
        <v>8</v>
      </c>
      <c r="B280" s="7" t="s">
        <v>9</v>
      </c>
      <c r="C280" s="7" t="s">
        <v>425</v>
      </c>
      <c r="D280" s="8">
        <v>-1.9748458</v>
      </c>
      <c r="E280" s="8">
        <v>-3.3391600000000001</v>
      </c>
      <c r="F280" s="9" t="str">
        <f t="shared" si="3"/>
        <v>Direct</v>
      </c>
      <c r="G280" s="7" t="s">
        <v>426</v>
      </c>
    </row>
    <row r="281" spans="1:7" x14ac:dyDescent="0.2">
      <c r="A281" s="6" t="s">
        <v>8</v>
      </c>
      <c r="B281" s="7" t="s">
        <v>9</v>
      </c>
      <c r="C281" s="7" t="s">
        <v>427</v>
      </c>
      <c r="D281" s="8">
        <v>1.0804114499999999</v>
      </c>
      <c r="E281" s="8">
        <v>4.3521845099999998</v>
      </c>
      <c r="F281" s="9" t="str">
        <f t="shared" si="3"/>
        <v>Direct</v>
      </c>
      <c r="G281" s="7" t="s">
        <v>11</v>
      </c>
    </row>
    <row r="282" spans="1:7" x14ac:dyDescent="0.2">
      <c r="A282" s="6" t="s">
        <v>8</v>
      </c>
      <c r="B282" s="7" t="s">
        <v>9</v>
      </c>
      <c r="C282" s="7" t="s">
        <v>428</v>
      </c>
      <c r="D282" s="8">
        <v>1.6163358800000001</v>
      </c>
      <c r="E282" s="8">
        <v>11.4726499</v>
      </c>
      <c r="F282" s="9" t="str">
        <f t="shared" si="3"/>
        <v>Direct</v>
      </c>
      <c r="G282" s="7" t="s">
        <v>429</v>
      </c>
    </row>
    <row r="283" spans="1:7" x14ac:dyDescent="0.2">
      <c r="A283" s="6" t="s">
        <v>8</v>
      </c>
      <c r="B283" s="7" t="s">
        <v>9</v>
      </c>
      <c r="C283" s="7" t="s">
        <v>430</v>
      </c>
      <c r="D283" s="8">
        <v>-1.2728495</v>
      </c>
      <c r="E283" s="8">
        <v>-7.2842751999999997</v>
      </c>
      <c r="F283" s="9" t="str">
        <f t="shared" si="3"/>
        <v>Direct</v>
      </c>
      <c r="G283" s="7" t="s">
        <v>11</v>
      </c>
    </row>
    <row r="284" spans="1:7" x14ac:dyDescent="0.2">
      <c r="A284" s="6" t="s">
        <v>8</v>
      </c>
      <c r="B284" s="7" t="s">
        <v>9</v>
      </c>
      <c r="C284" s="7" t="s">
        <v>431</v>
      </c>
      <c r="D284" s="8">
        <v>-1.2982228</v>
      </c>
      <c r="E284" s="8">
        <v>-2.4264513999999999</v>
      </c>
      <c r="F284" s="9" t="str">
        <f t="shared" si="3"/>
        <v>Direct</v>
      </c>
      <c r="G284" s="7" t="s">
        <v>432</v>
      </c>
    </row>
    <row r="285" spans="1:7" x14ac:dyDescent="0.2">
      <c r="A285" s="6" t="s">
        <v>8</v>
      </c>
      <c r="B285" s="7" t="s">
        <v>9</v>
      </c>
      <c r="C285" s="7" t="s">
        <v>433</v>
      </c>
      <c r="D285" s="8">
        <v>-1.3651442</v>
      </c>
      <c r="E285" s="8">
        <v>-1.2446727</v>
      </c>
      <c r="F285" s="9" t="str">
        <f t="shared" si="3"/>
        <v>Direct</v>
      </c>
      <c r="G285" s="7" t="s">
        <v>11</v>
      </c>
    </row>
    <row r="286" spans="1:7" x14ac:dyDescent="0.2">
      <c r="A286" s="6" t="s">
        <v>8</v>
      </c>
      <c r="B286" s="7" t="s">
        <v>9</v>
      </c>
      <c r="C286" s="7" t="s">
        <v>434</v>
      </c>
      <c r="D286" s="8">
        <v>-6.9692314</v>
      </c>
      <c r="E286" s="8">
        <v>-5.8076129999999999</v>
      </c>
      <c r="F286" s="9" t="str">
        <f t="shared" si="3"/>
        <v>Direct</v>
      </c>
      <c r="G286" s="7" t="s">
        <v>11</v>
      </c>
    </row>
    <row r="287" spans="1:7" x14ac:dyDescent="0.2">
      <c r="A287" s="6" t="s">
        <v>8</v>
      </c>
      <c r="B287" s="7" t="s">
        <v>9</v>
      </c>
      <c r="C287" s="7" t="s">
        <v>435</v>
      </c>
      <c r="D287" s="8">
        <v>-1.8683083</v>
      </c>
      <c r="E287" s="8">
        <v>-1.5381773000000001</v>
      </c>
      <c r="F287" s="9" t="str">
        <f t="shared" si="3"/>
        <v>Direct</v>
      </c>
      <c r="G287" s="7" t="s">
        <v>11</v>
      </c>
    </row>
    <row r="288" spans="1:7" x14ac:dyDescent="0.2">
      <c r="A288" s="6" t="s">
        <v>8</v>
      </c>
      <c r="B288" s="7" t="s">
        <v>9</v>
      </c>
      <c r="C288" s="7" t="s">
        <v>436</v>
      </c>
      <c r="D288" s="8">
        <v>1.09611232</v>
      </c>
      <c r="E288" s="8">
        <v>1.03443193</v>
      </c>
      <c r="F288" s="9" t="str">
        <f t="shared" si="3"/>
        <v>Direct</v>
      </c>
      <c r="G288" s="7" t="s">
        <v>437</v>
      </c>
    </row>
    <row r="289" spans="1:7" x14ac:dyDescent="0.2">
      <c r="A289" s="6" t="s">
        <v>8</v>
      </c>
      <c r="B289" s="7" t="s">
        <v>9</v>
      </c>
      <c r="C289" s="7" t="s">
        <v>438</v>
      </c>
      <c r="D289" s="8">
        <v>2.8592979700000001</v>
      </c>
      <c r="E289" s="8">
        <v>2.15595165</v>
      </c>
      <c r="F289" s="9" t="str">
        <f t="shared" si="3"/>
        <v>Direct</v>
      </c>
      <c r="G289" s="7" t="s">
        <v>11</v>
      </c>
    </row>
    <row r="290" spans="1:7" x14ac:dyDescent="0.2">
      <c r="A290" s="6" t="s">
        <v>8</v>
      </c>
      <c r="B290" s="7" t="s">
        <v>9</v>
      </c>
      <c r="C290" s="7" t="s">
        <v>439</v>
      </c>
      <c r="D290" s="8">
        <v>-1.4885451000000001</v>
      </c>
      <c r="E290" s="8">
        <v>-3.2447808999999999</v>
      </c>
      <c r="F290" s="9" t="str">
        <f t="shared" si="3"/>
        <v>Direct</v>
      </c>
      <c r="G290" s="7" t="s">
        <v>11</v>
      </c>
    </row>
    <row r="291" spans="1:7" x14ac:dyDescent="0.2">
      <c r="A291" s="6" t="s">
        <v>8</v>
      </c>
      <c r="B291" s="7" t="s">
        <v>9</v>
      </c>
      <c r="C291" s="7" t="s">
        <v>440</v>
      </c>
      <c r="D291" s="8">
        <v>1.8927358299999999</v>
      </c>
      <c r="E291" s="8">
        <v>8.6092807699999998</v>
      </c>
      <c r="F291" s="9" t="str">
        <f t="shared" si="3"/>
        <v>Direct</v>
      </c>
      <c r="G291" s="7" t="s">
        <v>11</v>
      </c>
    </row>
    <row r="292" spans="1:7" x14ac:dyDescent="0.2">
      <c r="A292" s="6" t="s">
        <v>8</v>
      </c>
      <c r="B292" s="7" t="s">
        <v>9</v>
      </c>
      <c r="C292" s="7" t="s">
        <v>441</v>
      </c>
      <c r="D292" s="8">
        <v>-1.6855260999999999</v>
      </c>
      <c r="E292" s="8">
        <v>-3.8842734999999999</v>
      </c>
      <c r="F292" s="9" t="str">
        <f t="shared" si="3"/>
        <v>Direct</v>
      </c>
      <c r="G292" s="7" t="s">
        <v>442</v>
      </c>
    </row>
    <row r="293" spans="1:7" x14ac:dyDescent="0.2">
      <c r="A293" s="6" t="s">
        <v>8</v>
      </c>
      <c r="B293" s="7" t="s">
        <v>9</v>
      </c>
      <c r="C293" s="7" t="s">
        <v>443</v>
      </c>
      <c r="D293" s="8">
        <v>-1.4540404</v>
      </c>
      <c r="E293" s="8">
        <v>-4.5998994</v>
      </c>
      <c r="F293" s="9" t="str">
        <f t="shared" si="3"/>
        <v>Direct</v>
      </c>
      <c r="G293" s="7" t="s">
        <v>444</v>
      </c>
    </row>
    <row r="294" spans="1:7" x14ac:dyDescent="0.2">
      <c r="A294" s="6" t="s">
        <v>8</v>
      </c>
      <c r="B294" s="7" t="s">
        <v>9</v>
      </c>
      <c r="C294" s="7" t="s">
        <v>445</v>
      </c>
      <c r="D294" s="8">
        <v>1.49482918</v>
      </c>
      <c r="E294" s="8">
        <v>3.3293679900000002</v>
      </c>
      <c r="F294" s="9" t="str">
        <f t="shared" si="3"/>
        <v>Direct</v>
      </c>
      <c r="G294" s="7" t="s">
        <v>35</v>
      </c>
    </row>
    <row r="295" spans="1:7" x14ac:dyDescent="0.2">
      <c r="A295" s="6" t="s">
        <v>8</v>
      </c>
      <c r="B295" s="7" t="s">
        <v>9</v>
      </c>
      <c r="C295" s="7" t="s">
        <v>446</v>
      </c>
      <c r="D295" s="8">
        <v>-2.5315690000000002</v>
      </c>
      <c r="E295" s="8">
        <v>-3.0098383000000002</v>
      </c>
      <c r="F295" s="9" t="str">
        <f t="shared" si="3"/>
        <v>Direct</v>
      </c>
      <c r="G295" s="7" t="s">
        <v>11</v>
      </c>
    </row>
    <row r="296" spans="1:7" x14ac:dyDescent="0.2">
      <c r="A296" s="6" t="s">
        <v>8</v>
      </c>
      <c r="B296" s="7" t="s">
        <v>9</v>
      </c>
      <c r="C296" s="7" t="s">
        <v>447</v>
      </c>
      <c r="D296" s="8">
        <v>-1.4230738999999999</v>
      </c>
      <c r="E296" s="8">
        <v>-5.6010032000000001</v>
      </c>
      <c r="F296" s="9" t="str">
        <f t="shared" si="3"/>
        <v>Direct</v>
      </c>
      <c r="G296" s="7" t="s">
        <v>11</v>
      </c>
    </row>
    <row r="297" spans="1:7" x14ac:dyDescent="0.2">
      <c r="A297" s="6" t="s">
        <v>8</v>
      </c>
      <c r="B297" s="7" t="s">
        <v>9</v>
      </c>
      <c r="C297" s="7" t="s">
        <v>448</v>
      </c>
      <c r="D297" s="8">
        <v>1.2422661800000001</v>
      </c>
      <c r="E297" s="8">
        <v>1.34102524</v>
      </c>
      <c r="F297" s="9" t="str">
        <f t="shared" si="3"/>
        <v>Direct</v>
      </c>
      <c r="G297" s="7" t="s">
        <v>449</v>
      </c>
    </row>
    <row r="298" spans="1:7" x14ac:dyDescent="0.2">
      <c r="A298" s="6" t="s">
        <v>8</v>
      </c>
      <c r="B298" s="7" t="s">
        <v>9</v>
      </c>
      <c r="C298" s="7" t="s">
        <v>450</v>
      </c>
      <c r="D298" s="8">
        <v>4.7713969199999999</v>
      </c>
      <c r="E298" s="8">
        <v>6.4684597400000001</v>
      </c>
      <c r="F298" s="9" t="str">
        <f t="shared" si="3"/>
        <v>Direct</v>
      </c>
      <c r="G298" s="7" t="s">
        <v>451</v>
      </c>
    </row>
    <row r="299" spans="1:7" x14ac:dyDescent="0.2">
      <c r="A299" s="6" t="s">
        <v>8</v>
      </c>
      <c r="B299" s="7" t="s">
        <v>9</v>
      </c>
      <c r="C299" s="7" t="s">
        <v>452</v>
      </c>
      <c r="D299" s="8">
        <v>-1.7010457999999999</v>
      </c>
      <c r="E299" s="8">
        <v>-1.5189649000000001</v>
      </c>
      <c r="F299" s="9" t="str">
        <f t="shared" si="3"/>
        <v>Direct</v>
      </c>
      <c r="G299" s="7" t="s">
        <v>453</v>
      </c>
    </row>
    <row r="300" spans="1:7" x14ac:dyDescent="0.2">
      <c r="A300" s="6" t="s">
        <v>8</v>
      </c>
      <c r="B300" s="7" t="s">
        <v>9</v>
      </c>
      <c r="C300" s="7" t="s">
        <v>454</v>
      </c>
      <c r="D300" s="8">
        <v>1.8477085900000001</v>
      </c>
      <c r="E300" s="8">
        <v>1.4707743</v>
      </c>
      <c r="F300" s="9" t="str">
        <f t="shared" si="3"/>
        <v>Direct</v>
      </c>
      <c r="G300" s="7" t="s">
        <v>455</v>
      </c>
    </row>
    <row r="301" spans="1:7" x14ac:dyDescent="0.2">
      <c r="A301" s="6" t="s">
        <v>8</v>
      </c>
      <c r="B301" s="7" t="s">
        <v>9</v>
      </c>
      <c r="C301" s="7" t="s">
        <v>456</v>
      </c>
      <c r="D301" s="8">
        <v>-1.5310144000000001</v>
      </c>
      <c r="E301" s="8">
        <v>-2.5702408000000001</v>
      </c>
      <c r="F301" s="9" t="str">
        <f t="shared" si="3"/>
        <v>Direct</v>
      </c>
      <c r="G301" s="7" t="s">
        <v>457</v>
      </c>
    </row>
    <row r="302" spans="1:7" x14ac:dyDescent="0.2">
      <c r="A302" s="6" t="s">
        <v>8</v>
      </c>
      <c r="B302" s="7" t="s">
        <v>9</v>
      </c>
      <c r="C302" s="7" t="s">
        <v>458</v>
      </c>
      <c r="D302" s="8">
        <v>-1.0926811000000001</v>
      </c>
      <c r="E302" s="8">
        <v>-1.7414780000000001</v>
      </c>
      <c r="F302" s="9" t="str">
        <f t="shared" si="3"/>
        <v>Direct</v>
      </c>
      <c r="G302" s="7" t="s">
        <v>144</v>
      </c>
    </row>
    <row r="303" spans="1:7" x14ac:dyDescent="0.2">
      <c r="A303" s="6" t="s">
        <v>8</v>
      </c>
      <c r="B303" s="7" t="s">
        <v>9</v>
      </c>
      <c r="C303" s="7" t="s">
        <v>459</v>
      </c>
      <c r="D303" s="8">
        <v>-4.3064615000000002</v>
      </c>
      <c r="E303" s="8">
        <v>-2.5380820000000002</v>
      </c>
      <c r="F303" s="9" t="str">
        <f t="shared" si="3"/>
        <v>Direct</v>
      </c>
      <c r="G303" s="7" t="s">
        <v>11</v>
      </c>
    </row>
    <row r="304" spans="1:7" x14ac:dyDescent="0.2">
      <c r="A304" s="6" t="s">
        <v>8</v>
      </c>
      <c r="B304" s="7" t="s">
        <v>9</v>
      </c>
      <c r="C304" s="7" t="s">
        <v>460</v>
      </c>
      <c r="D304" s="8">
        <v>-1.0457240999999999</v>
      </c>
      <c r="E304" s="8">
        <v>-3.5619774999999998</v>
      </c>
      <c r="F304" s="9" t="str">
        <f t="shared" si="3"/>
        <v>Direct</v>
      </c>
      <c r="G304" s="7" t="s">
        <v>461</v>
      </c>
    </row>
    <row r="305" spans="1:7" x14ac:dyDescent="0.2">
      <c r="A305" s="6" t="s">
        <v>8</v>
      </c>
      <c r="B305" s="7" t="s">
        <v>9</v>
      </c>
      <c r="C305" s="7" t="s">
        <v>462</v>
      </c>
      <c r="D305" s="8">
        <v>-2.1076188999999999</v>
      </c>
      <c r="E305" s="8">
        <v>-8.2694471000000007</v>
      </c>
      <c r="F305" s="9" t="str">
        <f t="shared" si="3"/>
        <v>Direct</v>
      </c>
      <c r="G305" s="7" t="s">
        <v>461</v>
      </c>
    </row>
    <row r="306" spans="1:7" x14ac:dyDescent="0.2">
      <c r="A306" s="6" t="s">
        <v>8</v>
      </c>
      <c r="B306" s="7" t="s">
        <v>9</v>
      </c>
      <c r="C306" s="7" t="s">
        <v>463</v>
      </c>
      <c r="D306" s="8">
        <v>-1.3215907</v>
      </c>
      <c r="E306" s="8">
        <v>-1.5103712</v>
      </c>
      <c r="F306" s="9" t="str">
        <f t="shared" si="3"/>
        <v>Direct</v>
      </c>
      <c r="G306" s="7" t="s">
        <v>461</v>
      </c>
    </row>
    <row r="307" spans="1:7" x14ac:dyDescent="0.2">
      <c r="A307" s="6" t="s">
        <v>8</v>
      </c>
      <c r="B307" s="7" t="s">
        <v>9</v>
      </c>
      <c r="C307" s="7" t="s">
        <v>464</v>
      </c>
      <c r="D307" s="8">
        <v>-1.8421381999999999</v>
      </c>
      <c r="E307" s="8">
        <v>-1.6743428</v>
      </c>
      <c r="F307" s="9" t="str">
        <f t="shared" si="3"/>
        <v>Direct</v>
      </c>
      <c r="G307" s="7" t="s">
        <v>465</v>
      </c>
    </row>
    <row r="308" spans="1:7" x14ac:dyDescent="0.2">
      <c r="A308" s="6" t="s">
        <v>8</v>
      </c>
      <c r="B308" s="7" t="s">
        <v>9</v>
      </c>
      <c r="C308" s="7" t="s">
        <v>466</v>
      </c>
      <c r="D308" s="8">
        <v>-1.5187432000000001</v>
      </c>
      <c r="E308" s="8">
        <v>-2.8611086000000001</v>
      </c>
      <c r="F308" s="9" t="str">
        <f t="shared" si="3"/>
        <v>Direct</v>
      </c>
      <c r="G308" s="7" t="s">
        <v>467</v>
      </c>
    </row>
    <row r="309" spans="1:7" x14ac:dyDescent="0.2">
      <c r="A309" s="6" t="s">
        <v>8</v>
      </c>
      <c r="B309" s="7" t="s">
        <v>9</v>
      </c>
      <c r="C309" s="7" t="s">
        <v>468</v>
      </c>
      <c r="D309" s="8">
        <v>-2.7827847000000001</v>
      </c>
      <c r="E309" s="8">
        <v>-3.1623093999999998</v>
      </c>
      <c r="F309" s="9" t="str">
        <f t="shared" si="3"/>
        <v>Direct</v>
      </c>
      <c r="G309" s="7" t="s">
        <v>11</v>
      </c>
    </row>
    <row r="310" spans="1:7" x14ac:dyDescent="0.2">
      <c r="A310" s="6" t="s">
        <v>8</v>
      </c>
      <c r="B310" s="7" t="s">
        <v>9</v>
      </c>
      <c r="C310" s="7" t="s">
        <v>469</v>
      </c>
      <c r="D310" s="8">
        <v>-1.4625208999999999</v>
      </c>
      <c r="E310" s="8">
        <v>-4.0375372</v>
      </c>
      <c r="F310" s="9" t="str">
        <f t="shared" si="3"/>
        <v>Direct</v>
      </c>
      <c r="G310" s="7" t="s">
        <v>11</v>
      </c>
    </row>
    <row r="311" spans="1:7" x14ac:dyDescent="0.2">
      <c r="A311" s="6" t="s">
        <v>8</v>
      </c>
      <c r="B311" s="7" t="s">
        <v>9</v>
      </c>
      <c r="C311" s="7" t="s">
        <v>470</v>
      </c>
      <c r="D311" s="8">
        <v>1.1568874600000001</v>
      </c>
      <c r="E311" s="8">
        <v>1.8943589300000001</v>
      </c>
      <c r="F311" s="9" t="str">
        <f t="shared" si="3"/>
        <v>Direct</v>
      </c>
      <c r="G311" s="7" t="s">
        <v>11</v>
      </c>
    </row>
    <row r="312" spans="1:7" x14ac:dyDescent="0.2">
      <c r="A312" s="6" t="s">
        <v>8</v>
      </c>
      <c r="B312" s="7" t="s">
        <v>9</v>
      </c>
      <c r="C312" s="7" t="s">
        <v>471</v>
      </c>
      <c r="D312" s="8">
        <v>2.5533463599999999</v>
      </c>
      <c r="E312" s="8">
        <v>1.4641619800000001</v>
      </c>
      <c r="F312" s="9" t="str">
        <f t="shared" si="3"/>
        <v>Direct</v>
      </c>
      <c r="G312" s="7" t="s">
        <v>11</v>
      </c>
    </row>
    <row r="313" spans="1:7" x14ac:dyDescent="0.2">
      <c r="A313" s="6" t="s">
        <v>8</v>
      </c>
      <c r="B313" s="7" t="s">
        <v>9</v>
      </c>
      <c r="C313" s="7" t="s">
        <v>472</v>
      </c>
      <c r="D313" s="8">
        <v>1.2071453999999999</v>
      </c>
      <c r="E313" s="8">
        <v>1.5257765299999999</v>
      </c>
      <c r="F313" s="9" t="str">
        <f t="shared" si="3"/>
        <v>Direct</v>
      </c>
      <c r="G313" s="7" t="s">
        <v>11</v>
      </c>
    </row>
    <row r="314" spans="1:7" x14ac:dyDescent="0.2">
      <c r="A314" s="6" t="s">
        <v>8</v>
      </c>
      <c r="B314" s="7" t="s">
        <v>9</v>
      </c>
      <c r="C314" s="7" t="s">
        <v>473</v>
      </c>
      <c r="D314" s="8">
        <v>1.74847899</v>
      </c>
      <c r="E314" s="8">
        <v>2.6985456000000001</v>
      </c>
      <c r="F314" s="9" t="str">
        <f t="shared" si="3"/>
        <v>Direct</v>
      </c>
      <c r="G314" s="7" t="s">
        <v>474</v>
      </c>
    </row>
    <row r="315" spans="1:7" x14ac:dyDescent="0.2">
      <c r="A315" s="6" t="s">
        <v>8</v>
      </c>
      <c r="B315" s="7" t="s">
        <v>9</v>
      </c>
      <c r="C315" s="7" t="s">
        <v>475</v>
      </c>
      <c r="D315" s="8">
        <v>1.4452771900000001</v>
      </c>
      <c r="E315" s="8">
        <v>2.3227500600000002</v>
      </c>
      <c r="F315" s="9" t="str">
        <f t="shared" si="3"/>
        <v>Direct</v>
      </c>
      <c r="G315" s="7" t="s">
        <v>474</v>
      </c>
    </row>
    <row r="316" spans="1:7" x14ac:dyDescent="0.2">
      <c r="A316" s="6" t="s">
        <v>8</v>
      </c>
      <c r="B316" s="7" t="s">
        <v>9</v>
      </c>
      <c r="C316" s="7" t="s">
        <v>476</v>
      </c>
      <c r="D316" s="8">
        <v>3.20637704</v>
      </c>
      <c r="E316" s="8">
        <v>7.2437204099999999</v>
      </c>
      <c r="F316" s="9" t="str">
        <f t="shared" si="3"/>
        <v>Direct</v>
      </c>
      <c r="G316" s="7" t="s">
        <v>11</v>
      </c>
    </row>
    <row r="317" spans="1:7" x14ac:dyDescent="0.2">
      <c r="A317" s="6" t="s">
        <v>8</v>
      </c>
      <c r="B317" s="7" t="s">
        <v>9</v>
      </c>
      <c r="C317" s="7" t="s">
        <v>477</v>
      </c>
      <c r="D317" s="8">
        <v>-1.0332003999999999</v>
      </c>
      <c r="E317" s="8">
        <v>-3.9656826000000001</v>
      </c>
      <c r="F317" s="9" t="str">
        <f t="shared" si="3"/>
        <v>Direct</v>
      </c>
      <c r="G317" s="7" t="s">
        <v>478</v>
      </c>
    </row>
    <row r="318" spans="1:7" x14ac:dyDescent="0.2">
      <c r="A318" s="6" t="s">
        <v>8</v>
      </c>
      <c r="B318" s="7" t="s">
        <v>9</v>
      </c>
      <c r="C318" s="7" t="s">
        <v>479</v>
      </c>
      <c r="D318" s="8">
        <v>2.3729826599999999</v>
      </c>
      <c r="E318" s="8">
        <v>1.1243900099999999</v>
      </c>
      <c r="F318" s="9" t="str">
        <f t="shared" si="3"/>
        <v>Direct</v>
      </c>
      <c r="G318" s="7" t="s">
        <v>480</v>
      </c>
    </row>
    <row r="319" spans="1:7" x14ac:dyDescent="0.2">
      <c r="A319" s="6" t="s">
        <v>8</v>
      </c>
      <c r="B319" s="7" t="s">
        <v>9</v>
      </c>
      <c r="C319" s="7" t="s">
        <v>481</v>
      </c>
      <c r="D319" s="8">
        <v>-1.9748458</v>
      </c>
      <c r="E319" s="8">
        <v>-1.2331228000000001</v>
      </c>
      <c r="F319" s="9" t="str">
        <f t="shared" si="3"/>
        <v>Direct</v>
      </c>
      <c r="G319" s="7" t="s">
        <v>11</v>
      </c>
    </row>
    <row r="320" spans="1:7" x14ac:dyDescent="0.2">
      <c r="A320" s="6" t="s">
        <v>8</v>
      </c>
      <c r="B320" s="7" t="s">
        <v>9</v>
      </c>
      <c r="C320" s="7" t="s">
        <v>482</v>
      </c>
      <c r="D320" s="8">
        <v>-2.0499236999999999</v>
      </c>
      <c r="E320" s="8">
        <v>-2.1368722</v>
      </c>
      <c r="F320" s="9" t="str">
        <f t="shared" si="3"/>
        <v>Direct</v>
      </c>
      <c r="G320" s="7" t="s">
        <v>11</v>
      </c>
    </row>
    <row r="321" spans="1:7" x14ac:dyDescent="0.2">
      <c r="A321" s="6" t="s">
        <v>8</v>
      </c>
      <c r="B321" s="7" t="s">
        <v>9</v>
      </c>
      <c r="C321" s="7" t="s">
        <v>483</v>
      </c>
      <c r="D321" s="8">
        <v>-1.3778798000000001</v>
      </c>
      <c r="E321" s="8">
        <v>-2.5750248</v>
      </c>
      <c r="F321" s="9" t="str">
        <f t="shared" si="3"/>
        <v>Direct</v>
      </c>
      <c r="G321" s="7" t="s">
        <v>11</v>
      </c>
    </row>
    <row r="322" spans="1:7" x14ac:dyDescent="0.2">
      <c r="A322" s="6" t="s">
        <v>8</v>
      </c>
      <c r="B322" s="7" t="s">
        <v>9</v>
      </c>
      <c r="C322" s="7" t="s">
        <v>484</v>
      </c>
      <c r="D322" s="8">
        <v>-2.6800928000000002</v>
      </c>
      <c r="E322" s="8">
        <v>-3.8311012999999998</v>
      </c>
      <c r="F322" s="9" t="str">
        <f t="shared" si="3"/>
        <v>Direct</v>
      </c>
      <c r="G322" s="7" t="s">
        <v>485</v>
      </c>
    </row>
    <row r="323" spans="1:7" x14ac:dyDescent="0.2">
      <c r="A323" s="6" t="s">
        <v>8</v>
      </c>
      <c r="B323" s="7" t="s">
        <v>9</v>
      </c>
      <c r="C323" s="7" t="s">
        <v>486</v>
      </c>
      <c r="D323" s="8">
        <v>1.5707154000000001</v>
      </c>
      <c r="E323" s="8">
        <v>1.45699932</v>
      </c>
      <c r="F323" s="9" t="str">
        <f t="shared" si="3"/>
        <v>Direct</v>
      </c>
      <c r="G323" s="7" t="s">
        <v>487</v>
      </c>
    </row>
    <row r="324" spans="1:7" x14ac:dyDescent="0.2">
      <c r="A324" s="6" t="s">
        <v>8</v>
      </c>
      <c r="B324" s="7" t="s">
        <v>9</v>
      </c>
      <c r="C324" s="7" t="s">
        <v>488</v>
      </c>
      <c r="D324" s="8">
        <v>-1.9597547</v>
      </c>
      <c r="E324" s="8">
        <v>-5.7881451000000004</v>
      </c>
      <c r="F324" s="9" t="str">
        <f t="shared" si="3"/>
        <v>Direct</v>
      </c>
      <c r="G324" s="7" t="s">
        <v>489</v>
      </c>
    </row>
    <row r="325" spans="1:7" x14ac:dyDescent="0.2">
      <c r="A325" s="6" t="s">
        <v>8</v>
      </c>
      <c r="B325" s="7" t="s">
        <v>9</v>
      </c>
      <c r="C325" s="7" t="s">
        <v>490</v>
      </c>
      <c r="D325" s="8">
        <v>-2.5524203000000001</v>
      </c>
      <c r="E325" s="8">
        <v>-13.618753999999999</v>
      </c>
      <c r="F325" s="9" t="str">
        <f t="shared" si="3"/>
        <v>Direct</v>
      </c>
      <c r="G325" s="7" t="s">
        <v>491</v>
      </c>
    </row>
    <row r="326" spans="1:7" x14ac:dyDescent="0.2">
      <c r="A326" s="6" t="s">
        <v>8</v>
      </c>
      <c r="B326" s="7" t="s">
        <v>9</v>
      </c>
      <c r="C326" s="7" t="s">
        <v>492</v>
      </c>
      <c r="D326" s="8">
        <v>-2.8735455999999999</v>
      </c>
      <c r="E326" s="8">
        <v>-1.3588382999999999</v>
      </c>
      <c r="F326" s="9" t="str">
        <f t="shared" si="3"/>
        <v>Direct</v>
      </c>
      <c r="G326" s="7" t="s">
        <v>11</v>
      </c>
    </row>
    <row r="327" spans="1:7" x14ac:dyDescent="0.2">
      <c r="A327" s="6" t="s">
        <v>8</v>
      </c>
      <c r="B327" s="7" t="s">
        <v>9</v>
      </c>
      <c r="C327" s="7" t="s">
        <v>493</v>
      </c>
      <c r="D327" s="8">
        <v>-2.7400058999999999</v>
      </c>
      <c r="E327" s="8">
        <v>-4.5402829999999996</v>
      </c>
      <c r="F327" s="9" t="str">
        <f t="shared" si="3"/>
        <v>Direct</v>
      </c>
      <c r="G327" s="7" t="s">
        <v>11</v>
      </c>
    </row>
    <row r="328" spans="1:7" x14ac:dyDescent="0.2">
      <c r="A328" s="6" t="s">
        <v>8</v>
      </c>
      <c r="B328" s="7" t="s">
        <v>9</v>
      </c>
      <c r="C328" s="7" t="s">
        <v>494</v>
      </c>
      <c r="D328" s="8">
        <v>3.3140354599999999</v>
      </c>
      <c r="E328" s="8">
        <v>11.255945000000001</v>
      </c>
      <c r="F328" s="9" t="str">
        <f t="shared" si="3"/>
        <v>Direct</v>
      </c>
      <c r="G328" s="7" t="s">
        <v>106</v>
      </c>
    </row>
    <row r="329" spans="1:7" x14ac:dyDescent="0.2">
      <c r="A329" s="6" t="s">
        <v>8</v>
      </c>
      <c r="B329" s="7" t="s">
        <v>9</v>
      </c>
      <c r="C329" s="7" t="s">
        <v>495</v>
      </c>
      <c r="D329" s="8">
        <v>2.0068581499999998</v>
      </c>
      <c r="E329" s="8">
        <v>1.7635283799999999</v>
      </c>
      <c r="F329" s="9" t="str">
        <f t="shared" si="3"/>
        <v>Direct</v>
      </c>
      <c r="G329" s="7" t="s">
        <v>11</v>
      </c>
    </row>
    <row r="330" spans="1:7" x14ac:dyDescent="0.2">
      <c r="A330" s="6" t="s">
        <v>8</v>
      </c>
      <c r="B330" s="7" t="s">
        <v>9</v>
      </c>
      <c r="C330" s="7" t="s">
        <v>496</v>
      </c>
      <c r="D330" s="8">
        <v>1.5279137300000001</v>
      </c>
      <c r="E330" s="8">
        <v>5.0644815200000002</v>
      </c>
      <c r="F330" s="9" t="str">
        <f t="shared" si="3"/>
        <v>Direct</v>
      </c>
      <c r="G330" s="7" t="s">
        <v>497</v>
      </c>
    </row>
    <row r="331" spans="1:7" x14ac:dyDescent="0.2">
      <c r="A331" s="6" t="s">
        <v>8</v>
      </c>
      <c r="B331" s="7" t="s">
        <v>9</v>
      </c>
      <c r="C331" s="7" t="s">
        <v>498</v>
      </c>
      <c r="D331" s="8">
        <v>1.5788409699999999</v>
      </c>
      <c r="E331" s="8">
        <v>6.1298857499999997</v>
      </c>
      <c r="F331" s="9" t="str">
        <f t="shared" si="3"/>
        <v>Direct</v>
      </c>
      <c r="G331" s="7" t="s">
        <v>499</v>
      </c>
    </row>
    <row r="332" spans="1:7" x14ac:dyDescent="0.2">
      <c r="A332" s="6" t="s">
        <v>8</v>
      </c>
      <c r="B332" s="7" t="s">
        <v>9</v>
      </c>
      <c r="C332" s="7" t="s">
        <v>500</v>
      </c>
      <c r="D332" s="8">
        <v>1.46793197</v>
      </c>
      <c r="E332" s="8">
        <v>1.75889969</v>
      </c>
      <c r="F332" s="9" t="str">
        <f t="shared" si="3"/>
        <v>Direct</v>
      </c>
      <c r="G332" s="7" t="s">
        <v>501</v>
      </c>
    </row>
    <row r="333" spans="1:7" x14ac:dyDescent="0.2">
      <c r="A333" s="6" t="s">
        <v>8</v>
      </c>
      <c r="B333" s="7" t="s">
        <v>9</v>
      </c>
      <c r="C333" s="7" t="s">
        <v>502</v>
      </c>
      <c r="D333" s="8">
        <v>-1.4956803000000001</v>
      </c>
      <c r="E333" s="8">
        <v>-1.7220762999999999</v>
      </c>
      <c r="F333" s="9" t="str">
        <f t="shared" si="3"/>
        <v>Direct</v>
      </c>
      <c r="G333" s="7" t="s">
        <v>11</v>
      </c>
    </row>
    <row r="334" spans="1:7" x14ac:dyDescent="0.2">
      <c r="A334" s="6" t="s">
        <v>8</v>
      </c>
      <c r="B334" s="7" t="s">
        <v>9</v>
      </c>
      <c r="C334" s="7" t="s">
        <v>503</v>
      </c>
      <c r="D334" s="8">
        <v>-2.1905806999999999</v>
      </c>
      <c r="E334" s="8">
        <v>-3.29697</v>
      </c>
      <c r="F334" s="9" t="str">
        <f t="shared" si="3"/>
        <v>Direct</v>
      </c>
      <c r="G334" s="7" t="s">
        <v>11</v>
      </c>
    </row>
    <row r="335" spans="1:7" x14ac:dyDescent="0.2">
      <c r="A335" s="6" t="s">
        <v>8</v>
      </c>
      <c r="B335" s="7" t="s">
        <v>9</v>
      </c>
      <c r="C335" s="7" t="s">
        <v>504</v>
      </c>
      <c r="D335" s="8">
        <v>1.3870265100000001</v>
      </c>
      <c r="E335" s="8">
        <v>8.3779965799999996</v>
      </c>
      <c r="F335" s="9" t="str">
        <f t="shared" si="3"/>
        <v>Direct</v>
      </c>
      <c r="G335" s="7" t="s">
        <v>11</v>
      </c>
    </row>
    <row r="336" spans="1:7" x14ac:dyDescent="0.2">
      <c r="A336" s="6" t="s">
        <v>8</v>
      </c>
      <c r="B336" s="7" t="s">
        <v>9</v>
      </c>
      <c r="C336" s="7" t="s">
        <v>505</v>
      </c>
      <c r="D336" s="8">
        <v>-1.3559323000000001</v>
      </c>
      <c r="E336" s="8">
        <v>-4.3499055999999996</v>
      </c>
      <c r="F336" s="9" t="str">
        <f t="shared" si="3"/>
        <v>Direct</v>
      </c>
      <c r="G336" s="7" t="s">
        <v>11</v>
      </c>
    </row>
    <row r="337" spans="1:7" x14ac:dyDescent="0.2">
      <c r="A337" s="6" t="s">
        <v>8</v>
      </c>
      <c r="B337" s="7" t="s">
        <v>9</v>
      </c>
      <c r="C337" s="7" t="s">
        <v>506</v>
      </c>
      <c r="D337" s="8">
        <v>-1.7776194000000001</v>
      </c>
      <c r="E337" s="8">
        <v>-1.7646546999999999</v>
      </c>
      <c r="F337" s="9" t="str">
        <f t="shared" si="3"/>
        <v>Direct</v>
      </c>
      <c r="G337" s="7" t="s">
        <v>11</v>
      </c>
    </row>
    <row r="338" spans="1:7" x14ac:dyDescent="0.2">
      <c r="A338" s="6" t="s">
        <v>8</v>
      </c>
      <c r="B338" s="7" t="s">
        <v>9</v>
      </c>
      <c r="C338" s="7" t="s">
        <v>507</v>
      </c>
      <c r="D338" s="8">
        <v>1.17852757</v>
      </c>
      <c r="E338" s="8">
        <v>1.4175353500000001</v>
      </c>
      <c r="F338" s="9" t="str">
        <f t="shared" si="3"/>
        <v>Direct</v>
      </c>
      <c r="G338" s="7" t="s">
        <v>11</v>
      </c>
    </row>
    <row r="339" spans="1:7" x14ac:dyDescent="0.2">
      <c r="A339" s="6" t="s">
        <v>8</v>
      </c>
      <c r="B339" s="7" t="s">
        <v>9</v>
      </c>
      <c r="C339" s="7" t="s">
        <v>508</v>
      </c>
      <c r="D339" s="8">
        <v>-2.3064431000000001</v>
      </c>
      <c r="E339" s="8">
        <v>-4.3857562000000003</v>
      </c>
      <c r="F339" s="9" t="str">
        <f t="shared" si="3"/>
        <v>Direct</v>
      </c>
      <c r="G339" s="7" t="s">
        <v>11</v>
      </c>
    </row>
    <row r="340" spans="1:7" x14ac:dyDescent="0.2">
      <c r="A340" s="6" t="s">
        <v>8</v>
      </c>
      <c r="B340" s="7" t="s">
        <v>9</v>
      </c>
      <c r="C340" s="7" t="s">
        <v>509</v>
      </c>
      <c r="D340" s="8">
        <v>1.3377136300000001</v>
      </c>
      <c r="E340" s="8">
        <v>2.7062826800000002</v>
      </c>
      <c r="F340" s="9" t="str">
        <f t="shared" si="3"/>
        <v>Direct</v>
      </c>
      <c r="G340" s="7" t="s">
        <v>510</v>
      </c>
    </row>
    <row r="341" spans="1:7" x14ac:dyDescent="0.2">
      <c r="A341" s="6" t="s">
        <v>8</v>
      </c>
      <c r="B341" s="7" t="s">
        <v>9</v>
      </c>
      <c r="C341" s="7" t="s">
        <v>511</v>
      </c>
      <c r="D341" s="8">
        <v>-2.2436915000000002</v>
      </c>
      <c r="E341" s="8">
        <v>-3.3539227999999999</v>
      </c>
      <c r="F341" s="9" t="str">
        <f t="shared" si="3"/>
        <v>Direct</v>
      </c>
      <c r="G341" s="7" t="s">
        <v>11</v>
      </c>
    </row>
    <row r="342" spans="1:7" x14ac:dyDescent="0.2">
      <c r="A342" s="6" t="s">
        <v>8</v>
      </c>
      <c r="B342" s="7" t="s">
        <v>9</v>
      </c>
      <c r="C342" s="7" t="s">
        <v>512</v>
      </c>
      <c r="D342" s="8">
        <v>-1.0032633</v>
      </c>
      <c r="E342" s="8">
        <v>-2.5836399999999999</v>
      </c>
      <c r="F342" s="9" t="str">
        <f t="shared" si="3"/>
        <v>Direct</v>
      </c>
      <c r="G342" s="7" t="s">
        <v>513</v>
      </c>
    </row>
    <row r="343" spans="1:7" x14ac:dyDescent="0.2">
      <c r="A343" s="6" t="s">
        <v>8</v>
      </c>
      <c r="B343" s="7" t="s">
        <v>9</v>
      </c>
      <c r="C343" s="7" t="s">
        <v>514</v>
      </c>
      <c r="D343" s="8">
        <v>2.5354853799999999</v>
      </c>
      <c r="E343" s="8">
        <v>1.0337875599999999</v>
      </c>
      <c r="F343" s="9" t="str">
        <f t="shared" si="3"/>
        <v>Direct</v>
      </c>
      <c r="G343" s="7" t="s">
        <v>11</v>
      </c>
    </row>
    <row r="344" spans="1:7" x14ac:dyDescent="0.2">
      <c r="A344" s="6" t="s">
        <v>8</v>
      </c>
      <c r="B344" s="7" t="s">
        <v>9</v>
      </c>
      <c r="C344" s="7" t="s">
        <v>515</v>
      </c>
      <c r="D344" s="8">
        <v>-1.1613945000000001</v>
      </c>
      <c r="E344" s="8">
        <v>-1.9014966</v>
      </c>
      <c r="F344" s="9" t="str">
        <f t="shared" si="3"/>
        <v>Direct</v>
      </c>
      <c r="G344" s="7" t="s">
        <v>516</v>
      </c>
    </row>
    <row r="345" spans="1:7" x14ac:dyDescent="0.2">
      <c r="A345" s="6" t="s">
        <v>8</v>
      </c>
      <c r="B345" s="7" t="s">
        <v>9</v>
      </c>
      <c r="C345" s="7" t="s">
        <v>517</v>
      </c>
      <c r="D345" s="8">
        <v>-1.2213522999999999</v>
      </c>
      <c r="E345" s="8">
        <v>-1.5543125</v>
      </c>
      <c r="F345" s="9" t="str">
        <f t="shared" si="3"/>
        <v>Direct</v>
      </c>
      <c r="G345" s="7" t="s">
        <v>11</v>
      </c>
    </row>
    <row r="346" spans="1:7" x14ac:dyDescent="0.2">
      <c r="A346" s="6" t="s">
        <v>8</v>
      </c>
      <c r="B346" s="7" t="s">
        <v>9</v>
      </c>
      <c r="C346" s="7" t="s">
        <v>518</v>
      </c>
      <c r="D346" s="8">
        <v>-1.1895492999999999</v>
      </c>
      <c r="E346" s="8">
        <v>-4.4269829999999999</v>
      </c>
      <c r="F346" s="9" t="str">
        <f t="shared" si="3"/>
        <v>Direct</v>
      </c>
      <c r="G346" s="7" t="s">
        <v>11</v>
      </c>
    </row>
    <row r="347" spans="1:7" x14ac:dyDescent="0.2">
      <c r="A347" s="6" t="s">
        <v>8</v>
      </c>
      <c r="B347" s="7" t="s">
        <v>9</v>
      </c>
      <c r="C347" s="7" t="s">
        <v>519</v>
      </c>
      <c r="D347" s="8">
        <v>2.6454312899999999</v>
      </c>
      <c r="E347" s="8">
        <v>9.0595595200000005</v>
      </c>
      <c r="F347" s="9" t="str">
        <f t="shared" si="3"/>
        <v>Direct</v>
      </c>
      <c r="G347" s="7" t="s">
        <v>11</v>
      </c>
    </row>
    <row r="348" spans="1:7" x14ac:dyDescent="0.2">
      <c r="A348" s="6" t="s">
        <v>8</v>
      </c>
      <c r="B348" s="7" t="s">
        <v>9</v>
      </c>
      <c r="C348" s="7" t="s">
        <v>520</v>
      </c>
      <c r="D348" s="8">
        <v>1.6280121999999999</v>
      </c>
      <c r="E348" s="8">
        <v>5.8086102500000001</v>
      </c>
      <c r="F348" s="9" t="str">
        <f t="shared" si="3"/>
        <v>Direct</v>
      </c>
      <c r="G348" s="7" t="s">
        <v>11</v>
      </c>
    </row>
    <row r="349" spans="1:7" x14ac:dyDescent="0.2">
      <c r="A349" s="6" t="s">
        <v>8</v>
      </c>
      <c r="B349" s="7" t="s">
        <v>9</v>
      </c>
      <c r="C349" s="7" t="s">
        <v>521</v>
      </c>
      <c r="D349" s="8">
        <v>2.6007417799999999</v>
      </c>
      <c r="E349" s="8">
        <v>3.8053299900000002</v>
      </c>
      <c r="F349" s="9" t="str">
        <f t="shared" si="3"/>
        <v>Direct</v>
      </c>
      <c r="G349" s="7" t="s">
        <v>11</v>
      </c>
    </row>
    <row r="350" spans="1:7" x14ac:dyDescent="0.2">
      <c r="A350" s="6" t="s">
        <v>8</v>
      </c>
      <c r="B350" s="7" t="s">
        <v>9</v>
      </c>
      <c r="C350" s="7" t="s">
        <v>522</v>
      </c>
      <c r="D350" s="8">
        <v>-1.1330981</v>
      </c>
      <c r="E350" s="8">
        <v>-2.0013809999999999</v>
      </c>
      <c r="F350" s="9" t="str">
        <f t="shared" si="3"/>
        <v>Direct</v>
      </c>
      <c r="G350" s="7" t="s">
        <v>523</v>
      </c>
    </row>
    <row r="351" spans="1:7" x14ac:dyDescent="0.2">
      <c r="A351" s="6" t="s">
        <v>8</v>
      </c>
      <c r="B351" s="7" t="s">
        <v>9</v>
      </c>
      <c r="C351" s="7" t="s">
        <v>524</v>
      </c>
      <c r="D351" s="8">
        <v>1.2277157299999999</v>
      </c>
      <c r="E351" s="8">
        <v>13.116210799999999</v>
      </c>
      <c r="F351" s="9" t="str">
        <f t="shared" si="3"/>
        <v>Direct</v>
      </c>
      <c r="G351" s="7" t="s">
        <v>11</v>
      </c>
    </row>
    <row r="352" spans="1:7" x14ac:dyDescent="0.2">
      <c r="A352" s="6" t="s">
        <v>8</v>
      </c>
      <c r="B352" s="7" t="s">
        <v>9</v>
      </c>
      <c r="C352" s="7" t="s">
        <v>525</v>
      </c>
      <c r="D352" s="8">
        <v>1.3952324899999999</v>
      </c>
      <c r="E352" s="8">
        <v>2.15007065</v>
      </c>
      <c r="F352" s="9" t="str">
        <f t="shared" si="3"/>
        <v>Direct</v>
      </c>
      <c r="G352" s="7" t="s">
        <v>526</v>
      </c>
    </row>
    <row r="353" spans="1:7" x14ac:dyDescent="0.2">
      <c r="A353" s="6" t="s">
        <v>8</v>
      </c>
      <c r="B353" s="7" t="s">
        <v>9</v>
      </c>
      <c r="C353" s="7" t="s">
        <v>527</v>
      </c>
      <c r="D353" s="8">
        <v>1.6970862200000001</v>
      </c>
      <c r="E353" s="8">
        <v>5.4694923900000001</v>
      </c>
      <c r="F353" s="9" t="str">
        <f t="shared" si="3"/>
        <v>Direct</v>
      </c>
      <c r="G353" s="7" t="s">
        <v>528</v>
      </c>
    </row>
    <row r="354" spans="1:7" x14ac:dyDescent="0.2">
      <c r="A354" s="6" t="s">
        <v>8</v>
      </c>
      <c r="B354" s="7" t="s">
        <v>9</v>
      </c>
      <c r="C354" s="7" t="s">
        <v>529</v>
      </c>
      <c r="D354" s="8">
        <v>-4.8766325999999998</v>
      </c>
      <c r="E354" s="8">
        <v>-1.8277928000000001</v>
      </c>
      <c r="F354" s="9" t="str">
        <f t="shared" si="3"/>
        <v>Direct</v>
      </c>
      <c r="G354" s="7" t="s">
        <v>11</v>
      </c>
    </row>
    <row r="355" spans="1:7" x14ac:dyDescent="0.2">
      <c r="A355" s="6" t="s">
        <v>8</v>
      </c>
      <c r="B355" s="7" t="s">
        <v>9</v>
      </c>
      <c r="C355" s="7" t="s">
        <v>530</v>
      </c>
      <c r="D355" s="8">
        <v>-3.0414812000000002</v>
      </c>
      <c r="E355" s="8">
        <v>-5.3096218999999998</v>
      </c>
      <c r="F355" s="9" t="str">
        <f t="shared" si="3"/>
        <v>Direct</v>
      </c>
      <c r="G355" s="7" t="s">
        <v>11</v>
      </c>
    </row>
    <row r="356" spans="1:7" x14ac:dyDescent="0.2">
      <c r="A356" s="6" t="s">
        <v>8</v>
      </c>
      <c r="B356" s="7" t="s">
        <v>9</v>
      </c>
      <c r="C356" s="7" t="s">
        <v>531</v>
      </c>
      <c r="D356" s="8">
        <v>1.23051366</v>
      </c>
      <c r="E356" s="8">
        <v>1.5594651500000001</v>
      </c>
      <c r="F356" s="9" t="str">
        <f t="shared" si="3"/>
        <v>Direct</v>
      </c>
      <c r="G356" s="7" t="s">
        <v>11</v>
      </c>
    </row>
    <row r="357" spans="1:7" x14ac:dyDescent="0.2">
      <c r="A357" s="6" t="s">
        <v>8</v>
      </c>
      <c r="B357" s="7" t="s">
        <v>9</v>
      </c>
      <c r="C357" s="7" t="s">
        <v>532</v>
      </c>
      <c r="D357" s="8">
        <v>-1.2478442999999999</v>
      </c>
      <c r="E357" s="8">
        <v>1.3248479900000001</v>
      </c>
      <c r="F357" s="9" t="str">
        <f t="shared" si="3"/>
        <v>Inverse</v>
      </c>
      <c r="G357" s="7" t="s">
        <v>11</v>
      </c>
    </row>
    <row r="358" spans="1:7" x14ac:dyDescent="0.2">
      <c r="A358" s="6" t="s">
        <v>8</v>
      </c>
      <c r="B358" s="7" t="s">
        <v>9</v>
      </c>
      <c r="C358" s="7" t="s">
        <v>533</v>
      </c>
      <c r="D358" s="8">
        <v>-1.9603067999999999</v>
      </c>
      <c r="E358" s="8">
        <v>-4.6885022000000003</v>
      </c>
      <c r="F358" s="9" t="str">
        <f t="shared" si="3"/>
        <v>Direct</v>
      </c>
      <c r="G358" s="7" t="s">
        <v>11</v>
      </c>
    </row>
    <row r="359" spans="1:7" x14ac:dyDescent="0.2">
      <c r="A359" s="6" t="s">
        <v>8</v>
      </c>
      <c r="B359" s="7" t="s">
        <v>9</v>
      </c>
      <c r="C359" s="7" t="s">
        <v>534</v>
      </c>
      <c r="D359" s="8">
        <v>-1.6560325</v>
      </c>
      <c r="E359" s="8">
        <v>-2.6268756</v>
      </c>
      <c r="F359" s="9" t="str">
        <f t="shared" si="3"/>
        <v>Direct</v>
      </c>
      <c r="G359" s="7" t="s">
        <v>11</v>
      </c>
    </row>
    <row r="360" spans="1:7" x14ac:dyDescent="0.2">
      <c r="A360" s="6" t="s">
        <v>8</v>
      </c>
      <c r="B360" s="7" t="s">
        <v>9</v>
      </c>
      <c r="C360" s="7" t="s">
        <v>535</v>
      </c>
      <c r="D360" s="8">
        <v>-1.0072995</v>
      </c>
      <c r="E360" s="8">
        <v>-3.3203398000000002</v>
      </c>
      <c r="F360" s="9" t="str">
        <f t="shared" si="3"/>
        <v>Direct</v>
      </c>
      <c r="G360" s="7" t="s">
        <v>11</v>
      </c>
    </row>
    <row r="361" spans="1:7" x14ac:dyDescent="0.2">
      <c r="A361" s="6" t="s">
        <v>8</v>
      </c>
      <c r="B361" s="7" t="s">
        <v>9</v>
      </c>
      <c r="C361" s="7" t="s">
        <v>536</v>
      </c>
      <c r="D361" s="8">
        <v>1.1513301199999999</v>
      </c>
      <c r="E361" s="8">
        <v>3.4091341399999999</v>
      </c>
      <c r="F361" s="9" t="str">
        <f t="shared" si="3"/>
        <v>Direct</v>
      </c>
      <c r="G361" s="7" t="s">
        <v>11</v>
      </c>
    </row>
    <row r="362" spans="1:7" x14ac:dyDescent="0.2">
      <c r="A362" s="6" t="s">
        <v>8</v>
      </c>
      <c r="B362" s="7" t="s">
        <v>9</v>
      </c>
      <c r="C362" s="7" t="s">
        <v>537</v>
      </c>
      <c r="D362" s="8">
        <v>1.9121191</v>
      </c>
      <c r="E362" s="8">
        <v>3.5676075699999998</v>
      </c>
      <c r="F362" s="9" t="str">
        <f t="shared" si="3"/>
        <v>Direct</v>
      </c>
      <c r="G362" s="7" t="s">
        <v>538</v>
      </c>
    </row>
    <row r="363" spans="1:7" x14ac:dyDescent="0.2">
      <c r="A363" s="6" t="s">
        <v>8</v>
      </c>
      <c r="B363" s="7" t="s">
        <v>9</v>
      </c>
      <c r="C363" s="7" t="s">
        <v>539</v>
      </c>
      <c r="D363" s="8">
        <v>5.5058400699999996</v>
      </c>
      <c r="E363" s="8">
        <v>1.1012402699999999</v>
      </c>
      <c r="F363" s="9" t="str">
        <f t="shared" si="3"/>
        <v>Direct</v>
      </c>
      <c r="G363" s="7" t="s">
        <v>11</v>
      </c>
    </row>
    <row r="364" spans="1:7" x14ac:dyDescent="0.2">
      <c r="A364" s="6" t="s">
        <v>8</v>
      </c>
      <c r="B364" s="7" t="s">
        <v>9</v>
      </c>
      <c r="C364" s="7" t="s">
        <v>540</v>
      </c>
      <c r="D364" s="8">
        <v>2.4055529</v>
      </c>
      <c r="E364" s="8">
        <v>3.3795899</v>
      </c>
      <c r="F364" s="9" t="str">
        <f t="shared" si="3"/>
        <v>Direct</v>
      </c>
      <c r="G364" s="7" t="s">
        <v>541</v>
      </c>
    </row>
    <row r="365" spans="1:7" x14ac:dyDescent="0.2">
      <c r="A365" s="6" t="s">
        <v>8</v>
      </c>
      <c r="B365" s="7" t="s">
        <v>9</v>
      </c>
      <c r="C365" s="7" t="s">
        <v>542</v>
      </c>
      <c r="D365" s="8">
        <v>-1.4540404</v>
      </c>
      <c r="E365" s="8">
        <v>-2.9598323</v>
      </c>
      <c r="F365" s="9" t="str">
        <f t="shared" si="3"/>
        <v>Direct</v>
      </c>
      <c r="G365" s="7" t="s">
        <v>543</v>
      </c>
    </row>
    <row r="366" spans="1:7" x14ac:dyDescent="0.2">
      <c r="A366" s="6" t="s">
        <v>8</v>
      </c>
      <c r="B366" s="7" t="s">
        <v>9</v>
      </c>
      <c r="C366" s="7" t="s">
        <v>544</v>
      </c>
      <c r="D366" s="8">
        <v>-1.3246905</v>
      </c>
      <c r="E366" s="8">
        <v>-1.3569697000000001</v>
      </c>
      <c r="F366" s="9" t="str">
        <f t="shared" si="3"/>
        <v>Direct</v>
      </c>
      <c r="G366" s="7" t="s">
        <v>11</v>
      </c>
    </row>
    <row r="367" spans="1:7" x14ac:dyDescent="0.2">
      <c r="A367" s="6" t="s">
        <v>8</v>
      </c>
      <c r="B367" s="7" t="s">
        <v>9</v>
      </c>
      <c r="C367" s="7" t="s">
        <v>545</v>
      </c>
      <c r="D367" s="8">
        <v>1.0046472</v>
      </c>
      <c r="E367" s="8">
        <v>1.93552222</v>
      </c>
      <c r="F367" s="9" t="str">
        <f t="shared" si="3"/>
        <v>Direct</v>
      </c>
      <c r="G367" s="7" t="s">
        <v>546</v>
      </c>
    </row>
    <row r="368" spans="1:7" x14ac:dyDescent="0.2">
      <c r="A368" s="6" t="s">
        <v>8</v>
      </c>
      <c r="B368" s="7" t="s">
        <v>9</v>
      </c>
      <c r="C368" s="7" t="s">
        <v>547</v>
      </c>
      <c r="D368" s="8">
        <v>1.03315892</v>
      </c>
      <c r="E368" s="8">
        <v>1.6771123800000001</v>
      </c>
      <c r="F368" s="9" t="str">
        <f t="shared" si="3"/>
        <v>Direct</v>
      </c>
      <c r="G368" s="7" t="s">
        <v>11</v>
      </c>
    </row>
    <row r="369" spans="1:7" x14ac:dyDescent="0.2">
      <c r="A369" s="6" t="s">
        <v>8</v>
      </c>
      <c r="B369" s="7" t="s">
        <v>9</v>
      </c>
      <c r="C369" s="7" t="s">
        <v>548</v>
      </c>
      <c r="D369" s="8">
        <v>-1.1577861</v>
      </c>
      <c r="E369" s="8">
        <v>-3.6832737999999998</v>
      </c>
      <c r="F369" s="9" t="str">
        <f t="shared" si="3"/>
        <v>Direct</v>
      </c>
      <c r="G369" s="7" t="s">
        <v>11</v>
      </c>
    </row>
    <row r="370" spans="1:7" x14ac:dyDescent="0.2">
      <c r="A370" s="6" t="s">
        <v>8</v>
      </c>
      <c r="B370" s="7" t="s">
        <v>9</v>
      </c>
      <c r="C370" s="7" t="s">
        <v>549</v>
      </c>
      <c r="D370" s="8">
        <v>1.38627663</v>
      </c>
      <c r="E370" s="8">
        <v>2.4742190900000001</v>
      </c>
      <c r="F370" s="9" t="str">
        <f t="shared" si="3"/>
        <v>Direct</v>
      </c>
      <c r="G370" s="7" t="s">
        <v>11</v>
      </c>
    </row>
    <row r="371" spans="1:7" x14ac:dyDescent="0.2">
      <c r="A371" s="6" t="s">
        <v>8</v>
      </c>
      <c r="B371" s="7" t="s">
        <v>9</v>
      </c>
      <c r="C371" s="7" t="s">
        <v>550</v>
      </c>
      <c r="D371" s="8">
        <v>-1.6972830999999999</v>
      </c>
      <c r="E371" s="8">
        <v>-15.155748000000001</v>
      </c>
      <c r="F371" s="9" t="str">
        <f t="shared" si="3"/>
        <v>Direct</v>
      </c>
      <c r="G371" s="7" t="s">
        <v>11</v>
      </c>
    </row>
    <row r="372" spans="1:7" x14ac:dyDescent="0.2">
      <c r="A372" s="6" t="s">
        <v>8</v>
      </c>
      <c r="B372" s="7" t="s">
        <v>9</v>
      </c>
      <c r="C372" s="7" t="s">
        <v>551</v>
      </c>
      <c r="D372" s="8">
        <v>4.0310660699999996</v>
      </c>
      <c r="E372" s="8">
        <v>2.25941328</v>
      </c>
      <c r="F372" s="9" t="str">
        <f t="shared" si="3"/>
        <v>Direct</v>
      </c>
      <c r="G372" s="7" t="s">
        <v>182</v>
      </c>
    </row>
    <row r="373" spans="1:7" x14ac:dyDescent="0.2">
      <c r="A373" s="6" t="s">
        <v>8</v>
      </c>
      <c r="B373" s="7" t="s">
        <v>9</v>
      </c>
      <c r="C373" s="7" t="s">
        <v>552</v>
      </c>
      <c r="D373" s="8">
        <v>-1.4907661999999999</v>
      </c>
      <c r="E373" s="8">
        <v>-1.560846</v>
      </c>
      <c r="F373" s="9" t="str">
        <f t="shared" si="3"/>
        <v>Direct</v>
      </c>
      <c r="G373" s="7" t="s">
        <v>11</v>
      </c>
    </row>
    <row r="374" spans="1:7" x14ac:dyDescent="0.2">
      <c r="A374" s="6" t="s">
        <v>8</v>
      </c>
      <c r="B374" s="7" t="s">
        <v>9</v>
      </c>
      <c r="C374" s="7" t="s">
        <v>553</v>
      </c>
      <c r="D374" s="8">
        <v>1.04855264</v>
      </c>
      <c r="E374" s="8">
        <v>2.2810049700000001</v>
      </c>
      <c r="F374" s="9" t="str">
        <f t="shared" si="3"/>
        <v>Direct</v>
      </c>
      <c r="G374" s="7" t="s">
        <v>554</v>
      </c>
    </row>
    <row r="375" spans="1:7" x14ac:dyDescent="0.2">
      <c r="A375" s="6" t="s">
        <v>8</v>
      </c>
      <c r="B375" s="7" t="s">
        <v>9</v>
      </c>
      <c r="C375" s="7" t="s">
        <v>555</v>
      </c>
      <c r="D375" s="8">
        <v>-1.6079275</v>
      </c>
      <c r="E375" s="8">
        <v>-1.3685638</v>
      </c>
      <c r="F375" s="9" t="str">
        <f t="shared" si="3"/>
        <v>Direct</v>
      </c>
      <c r="G375" s="7" t="s">
        <v>11</v>
      </c>
    </row>
    <row r="376" spans="1:7" x14ac:dyDescent="0.2">
      <c r="A376" s="6" t="s">
        <v>8</v>
      </c>
      <c r="B376" s="7" t="s">
        <v>9</v>
      </c>
      <c r="C376" s="7" t="s">
        <v>556</v>
      </c>
      <c r="D376" s="8">
        <v>-4.8291230000000001</v>
      </c>
      <c r="E376" s="8">
        <v>-4.3615823000000002</v>
      </c>
      <c r="F376" s="9" t="str">
        <f t="shared" si="3"/>
        <v>Direct</v>
      </c>
      <c r="G376" s="7" t="s">
        <v>11</v>
      </c>
    </row>
    <row r="377" spans="1:7" x14ac:dyDescent="0.2">
      <c r="A377" s="6" t="s">
        <v>8</v>
      </c>
      <c r="B377" s="7" t="s">
        <v>9</v>
      </c>
      <c r="C377" s="7" t="s">
        <v>557</v>
      </c>
      <c r="D377" s="8">
        <v>-1.8683083</v>
      </c>
      <c r="E377" s="8">
        <v>1.13300873</v>
      </c>
      <c r="F377" s="9" t="str">
        <f t="shared" si="3"/>
        <v>Inverse</v>
      </c>
      <c r="G377" s="7" t="s">
        <v>11</v>
      </c>
    </row>
    <row r="378" spans="1:7" x14ac:dyDescent="0.2">
      <c r="A378" s="6" t="s">
        <v>8</v>
      </c>
      <c r="B378" s="7" t="s">
        <v>9</v>
      </c>
      <c r="C378" s="7" t="s">
        <v>558</v>
      </c>
      <c r="D378" s="8">
        <v>-5.7814893999999999</v>
      </c>
      <c r="E378" s="8">
        <v>-4.8533179999999998</v>
      </c>
      <c r="F378" s="9" t="str">
        <f t="shared" si="3"/>
        <v>Direct</v>
      </c>
      <c r="G378" s="7" t="s">
        <v>11</v>
      </c>
    </row>
    <row r="379" spans="1:7" x14ac:dyDescent="0.2">
      <c r="A379" s="6" t="s">
        <v>8</v>
      </c>
      <c r="B379" s="7" t="s">
        <v>9</v>
      </c>
      <c r="C379" s="7" t="s">
        <v>559</v>
      </c>
      <c r="D379" s="8">
        <v>-2.7934899</v>
      </c>
      <c r="E379" s="8">
        <v>-1.0798781</v>
      </c>
      <c r="F379" s="9" t="str">
        <f t="shared" si="3"/>
        <v>Direct</v>
      </c>
      <c r="G379" s="7" t="s">
        <v>11</v>
      </c>
    </row>
    <row r="380" spans="1:7" x14ac:dyDescent="0.2">
      <c r="A380" s="6" t="s">
        <v>8</v>
      </c>
      <c r="B380" s="7" t="s">
        <v>9</v>
      </c>
      <c r="C380" s="7" t="s">
        <v>560</v>
      </c>
      <c r="D380" s="8">
        <v>-1.5149934</v>
      </c>
      <c r="E380" s="8">
        <v>-1.2806362</v>
      </c>
      <c r="F380" s="9" t="str">
        <f t="shared" si="3"/>
        <v>Direct</v>
      </c>
      <c r="G380" s="7" t="s">
        <v>561</v>
      </c>
    </row>
    <row r="381" spans="1:7" x14ac:dyDescent="0.2">
      <c r="A381" s="6" t="s">
        <v>8</v>
      </c>
      <c r="B381" s="7" t="s">
        <v>9</v>
      </c>
      <c r="C381" s="7" t="s">
        <v>562</v>
      </c>
      <c r="D381" s="8">
        <v>1.02575646</v>
      </c>
      <c r="E381" s="8">
        <v>1.20889048</v>
      </c>
      <c r="F381" s="9" t="str">
        <f t="shared" si="3"/>
        <v>Direct</v>
      </c>
      <c r="G381" s="7" t="s">
        <v>563</v>
      </c>
    </row>
    <row r="382" spans="1:7" x14ac:dyDescent="0.2">
      <c r="A382" s="6" t="s">
        <v>8</v>
      </c>
      <c r="B382" s="7" t="s">
        <v>9</v>
      </c>
      <c r="C382" s="7" t="s">
        <v>564</v>
      </c>
      <c r="D382" s="8">
        <v>-1.5788409999999999</v>
      </c>
      <c r="E382" s="8">
        <v>-6.9046399999999997</v>
      </c>
      <c r="F382" s="9" t="str">
        <f t="shared" si="3"/>
        <v>Direct</v>
      </c>
      <c r="G382" s="7" t="s">
        <v>11</v>
      </c>
    </row>
    <row r="383" spans="1:7" x14ac:dyDescent="0.2">
      <c r="A383" s="6" t="s">
        <v>8</v>
      </c>
      <c r="B383" s="7" t="s">
        <v>9</v>
      </c>
      <c r="C383" s="7" t="s">
        <v>565</v>
      </c>
      <c r="D383" s="8">
        <v>1.9134592699999999</v>
      </c>
      <c r="E383" s="8">
        <v>1.3785320599999999</v>
      </c>
      <c r="F383" s="9" t="str">
        <f t="shared" si="3"/>
        <v>Direct</v>
      </c>
      <c r="G383" s="7" t="s">
        <v>11</v>
      </c>
    </row>
    <row r="384" spans="1:7" x14ac:dyDescent="0.2">
      <c r="A384" s="6" t="s">
        <v>8</v>
      </c>
      <c r="B384" s="7" t="s">
        <v>9</v>
      </c>
      <c r="C384" s="7" t="s">
        <v>566</v>
      </c>
      <c r="D384" s="8">
        <v>-2.4047223</v>
      </c>
      <c r="E384" s="8">
        <v>-3.0130935999999999</v>
      </c>
      <c r="F384" s="9" t="str">
        <f t="shared" si="3"/>
        <v>Direct</v>
      </c>
      <c r="G384" s="7" t="s">
        <v>11</v>
      </c>
    </row>
    <row r="385" spans="1:7" x14ac:dyDescent="0.2">
      <c r="A385" s="6" t="s">
        <v>8</v>
      </c>
      <c r="B385" s="7" t="s">
        <v>9</v>
      </c>
      <c r="C385" s="7" t="s">
        <v>567</v>
      </c>
      <c r="D385" s="8">
        <v>-1.6387126999999999</v>
      </c>
      <c r="E385" s="8">
        <v>-1.4404908000000001</v>
      </c>
      <c r="F385" s="9" t="str">
        <f t="shared" si="3"/>
        <v>Direct</v>
      </c>
      <c r="G385" s="7" t="s">
        <v>11</v>
      </c>
    </row>
    <row r="386" spans="1:7" x14ac:dyDescent="0.2">
      <c r="A386" s="6" t="s">
        <v>8</v>
      </c>
      <c r="B386" s="7" t="s">
        <v>9</v>
      </c>
      <c r="C386" s="7" t="s">
        <v>568</v>
      </c>
      <c r="D386" s="8">
        <v>-1.2153556000000001</v>
      </c>
      <c r="E386" s="8">
        <v>-1.6814107</v>
      </c>
      <c r="F386" s="9" t="str">
        <f t="shared" si="3"/>
        <v>Direct</v>
      </c>
      <c r="G386" s="7" t="s">
        <v>11</v>
      </c>
    </row>
    <row r="387" spans="1:7" x14ac:dyDescent="0.2">
      <c r="A387" s="6" t="s">
        <v>8</v>
      </c>
      <c r="B387" s="7" t="s">
        <v>9</v>
      </c>
      <c r="C387" s="7" t="s">
        <v>569</v>
      </c>
      <c r="D387" s="8">
        <v>-1.0852820999999999</v>
      </c>
      <c r="E387" s="8">
        <v>-1.7170186999999999</v>
      </c>
      <c r="F387" s="9" t="str">
        <f t="shared" si="3"/>
        <v>Direct</v>
      </c>
      <c r="G387" s="7" t="s">
        <v>11</v>
      </c>
    </row>
    <row r="388" spans="1:7" x14ac:dyDescent="0.2">
      <c r="A388" s="6" t="s">
        <v>8</v>
      </c>
      <c r="B388" s="7" t="s">
        <v>9</v>
      </c>
      <c r="C388" s="7" t="s">
        <v>570</v>
      </c>
      <c r="D388" s="8">
        <v>-1.0926811000000001</v>
      </c>
      <c r="E388" s="8">
        <v>-1.0978983</v>
      </c>
      <c r="F388" s="9" t="str">
        <f t="shared" si="3"/>
        <v>Direct</v>
      </c>
      <c r="G388" s="7" t="s">
        <v>571</v>
      </c>
    </row>
    <row r="389" spans="1:7" x14ac:dyDescent="0.2">
      <c r="A389" s="6" t="s">
        <v>8</v>
      </c>
      <c r="B389" s="7" t="s">
        <v>9</v>
      </c>
      <c r="C389" s="7" t="s">
        <v>572</v>
      </c>
      <c r="D389" s="8">
        <v>5.68978728</v>
      </c>
      <c r="E389" s="8">
        <v>9.9676388300000003</v>
      </c>
      <c r="F389" s="9" t="str">
        <f t="shared" si="3"/>
        <v>Direct</v>
      </c>
      <c r="G389" s="7" t="s">
        <v>11</v>
      </c>
    </row>
    <row r="390" spans="1:7" x14ac:dyDescent="0.2">
      <c r="A390" s="6" t="s">
        <v>8</v>
      </c>
      <c r="B390" s="7" t="s">
        <v>9</v>
      </c>
      <c r="C390" s="7" t="s">
        <v>573</v>
      </c>
      <c r="D390" s="8">
        <v>-2.7403099000000002</v>
      </c>
      <c r="E390" s="8">
        <v>-3.2301910999999999</v>
      </c>
      <c r="F390" s="9" t="str">
        <f t="shared" si="3"/>
        <v>Direct</v>
      </c>
      <c r="G390" s="7" t="s">
        <v>11</v>
      </c>
    </row>
    <row r="391" spans="1:7" x14ac:dyDescent="0.2">
      <c r="A391" s="6" t="s">
        <v>8</v>
      </c>
      <c r="B391" s="7" t="s">
        <v>9</v>
      </c>
      <c r="C391" s="7" t="s">
        <v>574</v>
      </c>
      <c r="D391" s="8">
        <v>1.2725232399999999</v>
      </c>
      <c r="E391" s="8">
        <v>4.8387236199999997</v>
      </c>
      <c r="F391" s="9" t="str">
        <f t="shared" si="3"/>
        <v>Direct</v>
      </c>
      <c r="G391" s="7" t="s">
        <v>11</v>
      </c>
    </row>
    <row r="392" spans="1:7" x14ac:dyDescent="0.2">
      <c r="A392" s="6" t="s">
        <v>8</v>
      </c>
      <c r="B392" s="7" t="s">
        <v>9</v>
      </c>
      <c r="C392" s="7" t="s">
        <v>575</v>
      </c>
      <c r="D392" s="8">
        <v>1.3401383600000001</v>
      </c>
      <c r="E392" s="8">
        <v>2.0569663500000002</v>
      </c>
      <c r="F392" s="9" t="str">
        <f t="shared" si="3"/>
        <v>Direct</v>
      </c>
      <c r="G392" s="7" t="s">
        <v>182</v>
      </c>
    </row>
    <row r="393" spans="1:7" x14ac:dyDescent="0.2">
      <c r="A393" s="6" t="s">
        <v>8</v>
      </c>
      <c r="B393" s="7" t="s">
        <v>9</v>
      </c>
      <c r="C393" s="7" t="s">
        <v>576</v>
      </c>
      <c r="D393" s="8">
        <v>7.0711388199999998</v>
      </c>
      <c r="E393" s="8">
        <v>20.078575900000001</v>
      </c>
      <c r="F393" s="9" t="str">
        <f t="shared" si="3"/>
        <v>Direct</v>
      </c>
      <c r="G393" s="7" t="s">
        <v>11</v>
      </c>
    </row>
    <row r="394" spans="1:7" x14ac:dyDescent="0.2">
      <c r="A394" s="6" t="s">
        <v>8</v>
      </c>
      <c r="B394" s="7" t="s">
        <v>9</v>
      </c>
      <c r="C394" s="7" t="s">
        <v>577</v>
      </c>
      <c r="D394" s="8">
        <v>1.5613072100000001</v>
      </c>
      <c r="E394" s="8">
        <v>2.15595165</v>
      </c>
      <c r="F394" s="9" t="str">
        <f t="shared" si="3"/>
        <v>Direct</v>
      </c>
      <c r="G394" s="7" t="s">
        <v>578</v>
      </c>
    </row>
    <row r="395" spans="1:7" x14ac:dyDescent="0.2">
      <c r="A395" s="6" t="s">
        <v>8</v>
      </c>
      <c r="B395" s="7" t="s">
        <v>9</v>
      </c>
      <c r="C395" s="7" t="s">
        <v>579</v>
      </c>
      <c r="D395" s="8">
        <v>-1.3852279999999999</v>
      </c>
      <c r="E395" s="8">
        <v>-3.6141546999999998</v>
      </c>
      <c r="F395" s="9" t="str">
        <f t="shared" si="3"/>
        <v>Direct</v>
      </c>
      <c r="G395" s="7" t="s">
        <v>11</v>
      </c>
    </row>
    <row r="396" spans="1:7" x14ac:dyDescent="0.2">
      <c r="A396" s="6" t="s">
        <v>8</v>
      </c>
      <c r="B396" s="7" t="s">
        <v>9</v>
      </c>
      <c r="C396" s="7" t="s">
        <v>580</v>
      </c>
      <c r="D396" s="8">
        <v>-1.4045935000000001</v>
      </c>
      <c r="E396" s="8">
        <v>-2.7092288</v>
      </c>
      <c r="F396" s="9" t="str">
        <f t="shared" si="3"/>
        <v>Direct</v>
      </c>
      <c r="G396" s="7" t="s">
        <v>581</v>
      </c>
    </row>
    <row r="397" spans="1:7" x14ac:dyDescent="0.2">
      <c r="A397" s="6" t="s">
        <v>8</v>
      </c>
      <c r="B397" s="7" t="s">
        <v>9</v>
      </c>
      <c r="C397" s="7" t="s">
        <v>582</v>
      </c>
      <c r="D397" s="8">
        <v>6.9712265100000002</v>
      </c>
      <c r="E397" s="8">
        <v>11.0897162</v>
      </c>
      <c r="F397" s="9" t="str">
        <f t="shared" si="3"/>
        <v>Direct</v>
      </c>
      <c r="G397" s="7" t="s">
        <v>583</v>
      </c>
    </row>
    <row r="398" spans="1:7" x14ac:dyDescent="0.2">
      <c r="A398" s="6" t="s">
        <v>8</v>
      </c>
      <c r="B398" s="7" t="s">
        <v>9</v>
      </c>
      <c r="C398" s="7" t="s">
        <v>584</v>
      </c>
      <c r="D398" s="8">
        <v>12.0528472</v>
      </c>
      <c r="E398" s="8">
        <v>13.959160799999999</v>
      </c>
      <c r="F398" s="9" t="str">
        <f t="shared" si="3"/>
        <v>Direct</v>
      </c>
      <c r="G398" s="7" t="s">
        <v>11</v>
      </c>
    </row>
    <row r="399" spans="1:7" x14ac:dyDescent="0.2">
      <c r="A399" s="6" t="s">
        <v>8</v>
      </c>
      <c r="B399" s="7" t="s">
        <v>9</v>
      </c>
      <c r="C399" s="7" t="s">
        <v>585</v>
      </c>
      <c r="D399" s="8">
        <v>5.8834194799999997</v>
      </c>
      <c r="E399" s="8">
        <v>7.6120228399999998</v>
      </c>
      <c r="F399" s="9" t="str">
        <f t="shared" si="3"/>
        <v>Direct</v>
      </c>
      <c r="G399" s="7" t="s">
        <v>586</v>
      </c>
    </row>
    <row r="400" spans="1:7" x14ac:dyDescent="0.2">
      <c r="A400" s="6" t="s">
        <v>8</v>
      </c>
      <c r="B400" s="7" t="s">
        <v>9</v>
      </c>
      <c r="C400" s="7" t="s">
        <v>587</v>
      </c>
      <c r="D400" s="8">
        <v>4.7713969199999999</v>
      </c>
      <c r="E400" s="8">
        <v>6.5816798500000004</v>
      </c>
      <c r="F400" s="9" t="str">
        <f t="shared" si="3"/>
        <v>Direct</v>
      </c>
      <c r="G400" s="7" t="s">
        <v>586</v>
      </c>
    </row>
    <row r="401" spans="1:7" x14ac:dyDescent="0.2">
      <c r="A401" s="6" t="s">
        <v>8</v>
      </c>
      <c r="B401" s="7" t="s">
        <v>9</v>
      </c>
      <c r="C401" s="7" t="s">
        <v>588</v>
      </c>
      <c r="D401" s="8">
        <v>1.33536268</v>
      </c>
      <c r="E401" s="8">
        <v>3.21595136</v>
      </c>
      <c r="F401" s="9" t="str">
        <f t="shared" si="3"/>
        <v>Direct</v>
      </c>
      <c r="G401" s="7" t="s">
        <v>11</v>
      </c>
    </row>
    <row r="402" spans="1:7" x14ac:dyDescent="0.2">
      <c r="A402" s="6" t="s">
        <v>8</v>
      </c>
      <c r="B402" s="7" t="s">
        <v>9</v>
      </c>
      <c r="C402" s="7" t="s">
        <v>589</v>
      </c>
      <c r="D402" s="8">
        <v>-1.7844249000000001</v>
      </c>
      <c r="E402" s="8">
        <v>-2.3204349</v>
      </c>
      <c r="F402" s="9" t="str">
        <f t="shared" si="3"/>
        <v>Direct</v>
      </c>
      <c r="G402" s="7" t="s">
        <v>590</v>
      </c>
    </row>
    <row r="403" spans="1:7" x14ac:dyDescent="0.2">
      <c r="A403" s="6" t="s">
        <v>8</v>
      </c>
      <c r="B403" s="7" t="s">
        <v>9</v>
      </c>
      <c r="C403" s="7" t="s">
        <v>591</v>
      </c>
      <c r="D403" s="8">
        <v>1.0638471300000001</v>
      </c>
      <c r="E403" s="8">
        <v>7.3387563</v>
      </c>
      <c r="F403" s="9" t="str">
        <f t="shared" si="3"/>
        <v>Direct</v>
      </c>
      <c r="G403" s="7" t="s">
        <v>11</v>
      </c>
    </row>
    <row r="404" spans="1:7" x14ac:dyDescent="0.2">
      <c r="A404" s="6" t="s">
        <v>8</v>
      </c>
      <c r="B404" s="7" t="s">
        <v>9</v>
      </c>
      <c r="C404" s="7" t="s">
        <v>592</v>
      </c>
      <c r="D404" s="8">
        <v>2.0134637500000001</v>
      </c>
      <c r="E404" s="8">
        <v>1.13534069</v>
      </c>
      <c r="F404" s="9" t="str">
        <f t="shared" si="3"/>
        <v>Direct</v>
      </c>
      <c r="G404" s="7" t="s">
        <v>11</v>
      </c>
    </row>
    <row r="405" spans="1:7" x14ac:dyDescent="0.2">
      <c r="A405" s="6" t="s">
        <v>8</v>
      </c>
      <c r="B405" s="7" t="s">
        <v>9</v>
      </c>
      <c r="C405" s="7" t="s">
        <v>593</v>
      </c>
      <c r="D405" s="8">
        <v>-1.9603067999999999</v>
      </c>
      <c r="E405" s="8">
        <v>-3.0161669999999998</v>
      </c>
      <c r="F405" s="9" t="str">
        <f t="shared" si="3"/>
        <v>Direct</v>
      </c>
      <c r="G405" s="7" t="s">
        <v>11</v>
      </c>
    </row>
    <row r="406" spans="1:7" x14ac:dyDescent="0.2">
      <c r="A406" s="6" t="s">
        <v>8</v>
      </c>
      <c r="B406" s="7" t="s">
        <v>9</v>
      </c>
      <c r="C406" s="7" t="s">
        <v>594</v>
      </c>
      <c r="D406" s="8">
        <v>1.0610506500000001</v>
      </c>
      <c r="E406" s="8">
        <v>2.45336658</v>
      </c>
      <c r="F406" s="9" t="str">
        <f t="shared" si="3"/>
        <v>Direct</v>
      </c>
      <c r="G406" s="7" t="s">
        <v>595</v>
      </c>
    </row>
    <row r="407" spans="1:7" x14ac:dyDescent="0.2">
      <c r="A407" s="6" t="s">
        <v>8</v>
      </c>
      <c r="B407" s="7" t="s">
        <v>9</v>
      </c>
      <c r="C407" s="7" t="s">
        <v>596</v>
      </c>
      <c r="D407" s="8">
        <v>-1.7786710999999999</v>
      </c>
      <c r="E407" s="8">
        <v>-1.6572020000000001</v>
      </c>
      <c r="F407" s="9" t="str">
        <f t="shared" si="3"/>
        <v>Direct</v>
      </c>
      <c r="G407" s="7" t="s">
        <v>597</v>
      </c>
    </row>
    <row r="408" spans="1:7" x14ac:dyDescent="0.2">
      <c r="A408" s="6" t="s">
        <v>8</v>
      </c>
      <c r="B408" s="7" t="s">
        <v>9</v>
      </c>
      <c r="C408" s="7" t="s">
        <v>598</v>
      </c>
      <c r="D408" s="8">
        <v>-5.8834194999999996</v>
      </c>
      <c r="E408" s="8">
        <v>-2.9873172000000001</v>
      </c>
      <c r="F408" s="9" t="str">
        <f t="shared" si="3"/>
        <v>Direct</v>
      </c>
      <c r="G408" s="7" t="s">
        <v>599</v>
      </c>
    </row>
    <row r="409" spans="1:7" x14ac:dyDescent="0.2">
      <c r="A409" s="6" t="s">
        <v>8</v>
      </c>
      <c r="B409" s="7" t="s">
        <v>9</v>
      </c>
      <c r="C409" s="7" t="s">
        <v>600</v>
      </c>
      <c r="D409" s="8">
        <v>-1.6995032999999999</v>
      </c>
      <c r="E409" s="8">
        <v>-2.5032147</v>
      </c>
      <c r="F409" s="9" t="str">
        <f t="shared" si="3"/>
        <v>Direct</v>
      </c>
      <c r="G409" s="7" t="s">
        <v>11</v>
      </c>
    </row>
    <row r="410" spans="1:7" x14ac:dyDescent="0.2">
      <c r="A410" s="6" t="s">
        <v>8</v>
      </c>
      <c r="B410" s="7" t="s">
        <v>9</v>
      </c>
      <c r="C410" s="7" t="s">
        <v>601</v>
      </c>
      <c r="D410" s="8">
        <v>-3.2969816999999999</v>
      </c>
      <c r="E410" s="8">
        <v>-2.9823911999999999</v>
      </c>
      <c r="F410" s="9" t="str">
        <f t="shared" si="3"/>
        <v>Direct</v>
      </c>
      <c r="G410" s="7" t="s">
        <v>11</v>
      </c>
    </row>
    <row r="411" spans="1:7" x14ac:dyDescent="0.2">
      <c r="A411" s="6" t="s">
        <v>8</v>
      </c>
      <c r="B411" s="7" t="s">
        <v>9</v>
      </c>
      <c r="C411" s="7" t="s">
        <v>602</v>
      </c>
      <c r="D411" s="8">
        <v>1.8660982699999999</v>
      </c>
      <c r="E411" s="8">
        <v>2.64809779</v>
      </c>
      <c r="F411" s="9" t="str">
        <f t="shared" si="3"/>
        <v>Direct</v>
      </c>
      <c r="G411" s="7" t="s">
        <v>603</v>
      </c>
    </row>
    <row r="412" spans="1:7" x14ac:dyDescent="0.2">
      <c r="A412" s="6" t="s">
        <v>8</v>
      </c>
      <c r="B412" s="7" t="s">
        <v>9</v>
      </c>
      <c r="C412" s="7" t="s">
        <v>604</v>
      </c>
      <c r="D412" s="8">
        <v>-2.4129402999999998</v>
      </c>
      <c r="E412" s="8">
        <v>-1.7120834</v>
      </c>
      <c r="F412" s="9" t="str">
        <f t="shared" si="3"/>
        <v>Direct</v>
      </c>
      <c r="G412" s="7" t="s">
        <v>11</v>
      </c>
    </row>
    <row r="413" spans="1:7" x14ac:dyDescent="0.2">
      <c r="A413" s="6" t="s">
        <v>8</v>
      </c>
      <c r="B413" s="7" t="s">
        <v>9</v>
      </c>
      <c r="C413" s="7" t="s">
        <v>605</v>
      </c>
      <c r="D413" s="8">
        <v>1.9722036700000001</v>
      </c>
      <c r="E413" s="8">
        <v>2.0912571099999999</v>
      </c>
      <c r="F413" s="9" t="str">
        <f t="shared" si="3"/>
        <v>Direct</v>
      </c>
      <c r="G413" s="7" t="s">
        <v>11</v>
      </c>
    </row>
    <row r="414" spans="1:7" x14ac:dyDescent="0.2">
      <c r="A414" s="6" t="s">
        <v>8</v>
      </c>
      <c r="B414" s="7" t="s">
        <v>9</v>
      </c>
      <c r="C414" s="7" t="s">
        <v>606</v>
      </c>
      <c r="D414" s="8">
        <v>6.7191023200000002</v>
      </c>
      <c r="E414" s="8">
        <v>7.9218212000000001</v>
      </c>
      <c r="F414" s="9" t="str">
        <f t="shared" si="3"/>
        <v>Direct</v>
      </c>
      <c r="G414" s="7" t="s">
        <v>11</v>
      </c>
    </row>
    <row r="415" spans="1:7" x14ac:dyDescent="0.2">
      <c r="A415" s="6" t="s">
        <v>8</v>
      </c>
      <c r="B415" s="7" t="s">
        <v>9</v>
      </c>
      <c r="C415" s="7" t="s">
        <v>607</v>
      </c>
      <c r="D415" s="8">
        <v>-1.9603067999999999</v>
      </c>
      <c r="E415" s="8">
        <v>-1.9247513999999999</v>
      </c>
      <c r="F415" s="9" t="str">
        <f t="shared" si="3"/>
        <v>Direct</v>
      </c>
      <c r="G415" s="7" t="s">
        <v>11</v>
      </c>
    </row>
    <row r="416" spans="1:7" x14ac:dyDescent="0.2">
      <c r="A416" s="6" t="s">
        <v>8</v>
      </c>
      <c r="B416" s="7" t="s">
        <v>9</v>
      </c>
      <c r="C416" s="7" t="s">
        <v>608</v>
      </c>
      <c r="D416" s="8">
        <v>-1.5732995999999999</v>
      </c>
      <c r="E416" s="8">
        <v>-2.4191859999999998</v>
      </c>
      <c r="F416" s="9" t="str">
        <f t="shared" si="3"/>
        <v>Direct</v>
      </c>
      <c r="G416" s="7" t="s">
        <v>58</v>
      </c>
    </row>
    <row r="417" spans="1:7" x14ac:dyDescent="0.2">
      <c r="A417" s="6" t="s">
        <v>8</v>
      </c>
      <c r="B417" s="7" t="s">
        <v>9</v>
      </c>
      <c r="C417" s="7" t="s">
        <v>609</v>
      </c>
      <c r="D417" s="8">
        <v>-1.9668216999999999</v>
      </c>
      <c r="E417" s="8">
        <v>-4.5549720000000002</v>
      </c>
      <c r="F417" s="9" t="str">
        <f t="shared" si="3"/>
        <v>Direct</v>
      </c>
      <c r="G417" s="7" t="s">
        <v>11</v>
      </c>
    </row>
    <row r="418" spans="1:7" x14ac:dyDescent="0.2">
      <c r="A418" s="6" t="s">
        <v>8</v>
      </c>
      <c r="B418" s="7" t="s">
        <v>9</v>
      </c>
      <c r="C418" s="7" t="s">
        <v>610</v>
      </c>
      <c r="D418" s="8">
        <v>1.89429552</v>
      </c>
      <c r="E418" s="8">
        <v>1.81192653</v>
      </c>
      <c r="F418" s="9" t="str">
        <f t="shared" si="3"/>
        <v>Direct</v>
      </c>
      <c r="G418" s="7" t="s">
        <v>611</v>
      </c>
    </row>
    <row r="419" spans="1:7" x14ac:dyDescent="0.2">
      <c r="A419" s="6" t="s">
        <v>8</v>
      </c>
      <c r="B419" s="7" t="s">
        <v>9</v>
      </c>
      <c r="C419" s="7" t="s">
        <v>612</v>
      </c>
      <c r="D419" s="8">
        <v>-1.2813513999999999</v>
      </c>
      <c r="E419" s="8">
        <v>-5.5051078000000002</v>
      </c>
      <c r="F419" s="9" t="str">
        <f t="shared" si="3"/>
        <v>Direct</v>
      </c>
      <c r="G419" s="7" t="s">
        <v>11</v>
      </c>
    </row>
    <row r="420" spans="1:7" x14ac:dyDescent="0.2">
      <c r="A420" s="6" t="s">
        <v>8</v>
      </c>
      <c r="B420" s="7" t="s">
        <v>9</v>
      </c>
      <c r="C420" s="7" t="s">
        <v>613</v>
      </c>
      <c r="D420" s="8">
        <v>-1.8037936000000001</v>
      </c>
      <c r="E420" s="8">
        <v>-2.0820422999999999</v>
      </c>
      <c r="F420" s="9" t="str">
        <f t="shared" si="3"/>
        <v>Direct</v>
      </c>
      <c r="G420" s="7" t="s">
        <v>11</v>
      </c>
    </row>
    <row r="421" spans="1:7" x14ac:dyDescent="0.2">
      <c r="A421" s="6" t="s">
        <v>8</v>
      </c>
      <c r="B421" s="7" t="s">
        <v>9</v>
      </c>
      <c r="C421" s="7" t="s">
        <v>614</v>
      </c>
      <c r="D421" s="8">
        <v>2.1368319699999998</v>
      </c>
      <c r="E421" s="8">
        <v>2.7896706400000002</v>
      </c>
      <c r="F421" s="9" t="str">
        <f t="shared" si="3"/>
        <v>Direct</v>
      </c>
      <c r="G421" s="7" t="s">
        <v>11</v>
      </c>
    </row>
    <row r="422" spans="1:7" x14ac:dyDescent="0.2">
      <c r="A422" s="6" t="s">
        <v>8</v>
      </c>
      <c r="B422" s="7" t="s">
        <v>9</v>
      </c>
      <c r="C422" s="7" t="s">
        <v>615</v>
      </c>
      <c r="D422" s="8">
        <v>-1.6553845</v>
      </c>
      <c r="E422" s="8">
        <v>-5.1433362999999996</v>
      </c>
      <c r="F422" s="9" t="str">
        <f t="shared" si="3"/>
        <v>Direct</v>
      </c>
      <c r="G422" s="7" t="s">
        <v>616</v>
      </c>
    </row>
    <row r="423" spans="1:7" x14ac:dyDescent="0.2">
      <c r="A423" s="6" t="s">
        <v>8</v>
      </c>
      <c r="B423" s="7" t="s">
        <v>9</v>
      </c>
      <c r="C423" s="7" t="s">
        <v>617</v>
      </c>
      <c r="D423" s="8">
        <v>-2.0134637</v>
      </c>
      <c r="E423" s="8">
        <v>-1.9998853999999999</v>
      </c>
      <c r="F423" s="9" t="str">
        <f t="shared" si="3"/>
        <v>Direct</v>
      </c>
      <c r="G423" s="7" t="s">
        <v>618</v>
      </c>
    </row>
    <row r="424" spans="1:7" x14ac:dyDescent="0.2">
      <c r="A424" s="6" t="s">
        <v>8</v>
      </c>
      <c r="B424" s="7" t="s">
        <v>9</v>
      </c>
      <c r="C424" s="7" t="s">
        <v>619</v>
      </c>
      <c r="D424" s="8">
        <v>-1.7410699000000001</v>
      </c>
      <c r="E424" s="8">
        <v>-2.1685683</v>
      </c>
      <c r="F424" s="9" t="str">
        <f t="shared" si="3"/>
        <v>Direct</v>
      </c>
      <c r="G424" s="7" t="s">
        <v>78</v>
      </c>
    </row>
    <row r="425" spans="1:7" x14ac:dyDescent="0.2">
      <c r="A425" s="6" t="s">
        <v>8</v>
      </c>
      <c r="B425" s="7" t="s">
        <v>9</v>
      </c>
      <c r="C425" s="7" t="s">
        <v>620</v>
      </c>
      <c r="D425" s="8">
        <v>-2.4578761999999998</v>
      </c>
      <c r="E425" s="8">
        <v>-3.9647944000000002</v>
      </c>
      <c r="F425" s="9" t="str">
        <f t="shared" si="3"/>
        <v>Direct</v>
      </c>
      <c r="G425" s="7" t="s">
        <v>11</v>
      </c>
    </row>
    <row r="426" spans="1:7" x14ac:dyDescent="0.2">
      <c r="A426" s="6" t="s">
        <v>8</v>
      </c>
      <c r="B426" s="7" t="s">
        <v>9</v>
      </c>
      <c r="C426" s="7" t="s">
        <v>621</v>
      </c>
      <c r="D426" s="8">
        <v>-1.1680721999999999</v>
      </c>
      <c r="E426" s="8">
        <v>-12.429523</v>
      </c>
      <c r="F426" s="9" t="str">
        <f t="shared" si="3"/>
        <v>Direct</v>
      </c>
      <c r="G426" s="7" t="s">
        <v>11</v>
      </c>
    </row>
    <row r="427" spans="1:7" x14ac:dyDescent="0.2">
      <c r="A427" s="6" t="s">
        <v>8</v>
      </c>
      <c r="B427" s="7" t="s">
        <v>9</v>
      </c>
      <c r="C427" s="7" t="s">
        <v>622</v>
      </c>
      <c r="D427" s="8">
        <v>-5.9997673999999996</v>
      </c>
      <c r="E427" s="8">
        <v>-8.2610288000000001</v>
      </c>
      <c r="F427" s="9" t="str">
        <f t="shared" si="3"/>
        <v>Direct</v>
      </c>
      <c r="G427" s="7" t="s">
        <v>11</v>
      </c>
    </row>
    <row r="428" spans="1:7" x14ac:dyDescent="0.2">
      <c r="A428" s="6" t="s">
        <v>8</v>
      </c>
      <c r="B428" s="7" t="s">
        <v>9</v>
      </c>
      <c r="C428" s="7" t="s">
        <v>623</v>
      </c>
      <c r="D428" s="8">
        <v>1.35370378</v>
      </c>
      <c r="E428" s="8">
        <v>2.1246796200000002</v>
      </c>
      <c r="F428" s="9" t="str">
        <f t="shared" si="3"/>
        <v>Direct</v>
      </c>
      <c r="G428" s="7" t="s">
        <v>11</v>
      </c>
    </row>
    <row r="429" spans="1:7" x14ac:dyDescent="0.2">
      <c r="A429" s="6" t="s">
        <v>8</v>
      </c>
      <c r="B429" s="7" t="s">
        <v>9</v>
      </c>
      <c r="C429" s="7" t="s">
        <v>624</v>
      </c>
      <c r="D429" s="8">
        <v>1.7414445300000001</v>
      </c>
      <c r="E429" s="8">
        <v>3.1201336799999999</v>
      </c>
      <c r="F429" s="9" t="str">
        <f t="shared" si="3"/>
        <v>Direct</v>
      </c>
      <c r="G429" s="7" t="s">
        <v>11</v>
      </c>
    </row>
    <row r="430" spans="1:7" x14ac:dyDescent="0.2">
      <c r="A430" s="6" t="s">
        <v>8</v>
      </c>
      <c r="B430" s="7" t="s">
        <v>9</v>
      </c>
      <c r="C430" s="7" t="s">
        <v>625</v>
      </c>
      <c r="D430" s="8">
        <v>-1.2781495</v>
      </c>
      <c r="E430" s="8">
        <v>3.3980359899999999</v>
      </c>
      <c r="F430" s="9" t="str">
        <f t="shared" si="3"/>
        <v>Inverse</v>
      </c>
      <c r="G430" s="7" t="s">
        <v>626</v>
      </c>
    </row>
    <row r="431" spans="1:7" x14ac:dyDescent="0.2">
      <c r="A431" s="6" t="s">
        <v>8</v>
      </c>
      <c r="B431" s="7" t="s">
        <v>9</v>
      </c>
      <c r="C431" s="7" t="s">
        <v>627</v>
      </c>
      <c r="D431" s="8">
        <v>1.6079275200000001</v>
      </c>
      <c r="E431" s="8">
        <v>3.9278027299999998</v>
      </c>
      <c r="F431" s="9" t="str">
        <f t="shared" si="3"/>
        <v>Direct</v>
      </c>
      <c r="G431" s="7" t="s">
        <v>11</v>
      </c>
    </row>
    <row r="432" spans="1:7" x14ac:dyDescent="0.2">
      <c r="A432" s="6" t="s">
        <v>8</v>
      </c>
      <c r="B432" s="7" t="s">
        <v>9</v>
      </c>
      <c r="C432" s="7" t="s">
        <v>628</v>
      </c>
      <c r="D432" s="8">
        <v>-2.0499236999999999</v>
      </c>
      <c r="E432" s="8">
        <v>-5.9566214000000004</v>
      </c>
      <c r="F432" s="9" t="str">
        <f t="shared" si="3"/>
        <v>Direct</v>
      </c>
      <c r="G432" s="7" t="s">
        <v>11</v>
      </c>
    </row>
    <row r="433" spans="1:7" x14ac:dyDescent="0.2">
      <c r="A433" s="6" t="s">
        <v>8</v>
      </c>
      <c r="B433" s="7" t="s">
        <v>9</v>
      </c>
      <c r="C433" s="7" t="s">
        <v>629</v>
      </c>
      <c r="D433" s="8">
        <v>-1.3009685</v>
      </c>
      <c r="E433" s="8">
        <v>-2.0390100000000002</v>
      </c>
      <c r="F433" s="9" t="str">
        <f t="shared" si="3"/>
        <v>Direct</v>
      </c>
      <c r="G433" s="7" t="s">
        <v>11</v>
      </c>
    </row>
    <row r="434" spans="1:7" x14ac:dyDescent="0.2">
      <c r="A434" s="6" t="s">
        <v>8</v>
      </c>
      <c r="B434" s="7" t="s">
        <v>9</v>
      </c>
      <c r="C434" s="7" t="s">
        <v>630</v>
      </c>
      <c r="D434" s="8">
        <v>-1.4153232</v>
      </c>
      <c r="E434" s="8">
        <v>-4.2106884000000004</v>
      </c>
      <c r="F434" s="9" t="str">
        <f t="shared" si="3"/>
        <v>Direct</v>
      </c>
      <c r="G434" s="7" t="s">
        <v>631</v>
      </c>
    </row>
    <row r="435" spans="1:7" x14ac:dyDescent="0.2">
      <c r="A435" s="6" t="s">
        <v>8</v>
      </c>
      <c r="B435" s="7" t="s">
        <v>9</v>
      </c>
      <c r="C435" s="7" t="s">
        <v>632</v>
      </c>
      <c r="D435" s="8">
        <v>1.42122792</v>
      </c>
      <c r="E435" s="8">
        <v>7.1281001000000002</v>
      </c>
      <c r="F435" s="9" t="str">
        <f t="shared" si="3"/>
        <v>Direct</v>
      </c>
      <c r="G435" s="7" t="s">
        <v>11</v>
      </c>
    </row>
    <row r="436" spans="1:7" x14ac:dyDescent="0.2">
      <c r="A436" s="6" t="s">
        <v>8</v>
      </c>
      <c r="B436" s="7" t="s">
        <v>9</v>
      </c>
      <c r="C436" s="7" t="s">
        <v>633</v>
      </c>
      <c r="D436" s="8">
        <v>1.2883460499999999</v>
      </c>
      <c r="E436" s="8">
        <v>1.87633238</v>
      </c>
      <c r="F436" s="9" t="str">
        <f t="shared" si="3"/>
        <v>Direct</v>
      </c>
      <c r="G436" s="7" t="s">
        <v>634</v>
      </c>
    </row>
    <row r="437" spans="1:7" x14ac:dyDescent="0.2">
      <c r="A437" s="6" t="s">
        <v>8</v>
      </c>
      <c r="B437" s="7" t="s">
        <v>9</v>
      </c>
      <c r="C437" s="7" t="s">
        <v>635</v>
      </c>
      <c r="D437" s="8">
        <v>1.2148718199999999</v>
      </c>
      <c r="E437" s="8">
        <v>4.8549253099999996</v>
      </c>
      <c r="F437" s="9" t="str">
        <f t="shared" si="3"/>
        <v>Direct</v>
      </c>
      <c r="G437" s="7" t="s">
        <v>636</v>
      </c>
    </row>
    <row r="438" spans="1:7" x14ac:dyDescent="0.2">
      <c r="A438" s="6" t="s">
        <v>8</v>
      </c>
      <c r="B438" s="7" t="s">
        <v>9</v>
      </c>
      <c r="C438" s="7" t="s">
        <v>637</v>
      </c>
      <c r="D438" s="8">
        <v>-2.2983403</v>
      </c>
      <c r="E438" s="8">
        <v>-2.0389946000000001</v>
      </c>
      <c r="F438" s="9" t="str">
        <f t="shared" si="3"/>
        <v>Direct</v>
      </c>
      <c r="G438" s="7" t="s">
        <v>638</v>
      </c>
    </row>
    <row r="439" spans="1:7" x14ac:dyDescent="0.2">
      <c r="A439" s="6" t="s">
        <v>8</v>
      </c>
      <c r="B439" s="7" t="s">
        <v>9</v>
      </c>
      <c r="C439" s="7" t="s">
        <v>639</v>
      </c>
      <c r="D439" s="8">
        <v>-1.1943379000000001</v>
      </c>
      <c r="E439" s="8">
        <v>-4.5395089000000004</v>
      </c>
      <c r="F439" s="9" t="str">
        <f t="shared" si="3"/>
        <v>Direct</v>
      </c>
      <c r="G439" s="7" t="s">
        <v>638</v>
      </c>
    </row>
    <row r="440" spans="1:7" x14ac:dyDescent="0.2">
      <c r="A440" s="6" t="s">
        <v>8</v>
      </c>
      <c r="B440" s="7" t="s">
        <v>9</v>
      </c>
      <c r="C440" s="7" t="s">
        <v>640</v>
      </c>
      <c r="D440" s="8">
        <v>-1.5140973</v>
      </c>
      <c r="E440" s="8">
        <v>-2.8287163999999998</v>
      </c>
      <c r="F440" s="9" t="str">
        <f t="shared" si="3"/>
        <v>Direct</v>
      </c>
      <c r="G440" s="7" t="s">
        <v>638</v>
      </c>
    </row>
    <row r="441" spans="1:7" x14ac:dyDescent="0.2">
      <c r="A441" s="6" t="s">
        <v>8</v>
      </c>
      <c r="B441" s="7" t="s">
        <v>9</v>
      </c>
      <c r="C441" s="7" t="s">
        <v>641</v>
      </c>
      <c r="D441" s="8">
        <v>1.3234512199999999</v>
      </c>
      <c r="E441" s="8">
        <v>4.7786116400000003</v>
      </c>
      <c r="F441" s="9" t="str">
        <f t="shared" si="3"/>
        <v>Direct</v>
      </c>
      <c r="G441" s="7" t="s">
        <v>11</v>
      </c>
    </row>
    <row r="442" spans="1:7" x14ac:dyDescent="0.2">
      <c r="A442" s="6" t="s">
        <v>8</v>
      </c>
      <c r="B442" s="7" t="s">
        <v>9</v>
      </c>
      <c r="C442" s="7" t="s">
        <v>642</v>
      </c>
      <c r="D442" s="8">
        <v>1.0168369399999999</v>
      </c>
      <c r="E442" s="8">
        <v>2.32129005</v>
      </c>
      <c r="F442" s="9" t="str">
        <f t="shared" si="3"/>
        <v>Direct</v>
      </c>
      <c r="G442" s="7" t="s">
        <v>11</v>
      </c>
    </row>
    <row r="443" spans="1:7" x14ac:dyDescent="0.2">
      <c r="A443" s="6" t="s">
        <v>8</v>
      </c>
      <c r="B443" s="7" t="s">
        <v>9</v>
      </c>
      <c r="C443" s="7" t="s">
        <v>643</v>
      </c>
      <c r="D443" s="8">
        <v>2.0994004300000002</v>
      </c>
      <c r="E443" s="8">
        <v>2.7062826800000002</v>
      </c>
      <c r="F443" s="9" t="str">
        <f t="shared" si="3"/>
        <v>Direct</v>
      </c>
      <c r="G443" s="7" t="s">
        <v>11</v>
      </c>
    </row>
    <row r="444" spans="1:7" x14ac:dyDescent="0.2">
      <c r="A444" s="6" t="s">
        <v>8</v>
      </c>
      <c r="B444" s="7" t="s">
        <v>9</v>
      </c>
      <c r="C444" s="7" t="s">
        <v>644</v>
      </c>
      <c r="D444" s="8">
        <v>-2.5572895999999998</v>
      </c>
      <c r="E444" s="8">
        <v>-2.8639717999999998</v>
      </c>
      <c r="F444" s="9" t="str">
        <f t="shared" si="3"/>
        <v>Direct</v>
      </c>
      <c r="G444" s="7" t="s">
        <v>113</v>
      </c>
    </row>
    <row r="445" spans="1:7" x14ac:dyDescent="0.2">
      <c r="A445" s="6" t="s">
        <v>8</v>
      </c>
      <c r="B445" s="7" t="s">
        <v>9</v>
      </c>
      <c r="C445" s="7" t="s">
        <v>645</v>
      </c>
      <c r="D445" s="8">
        <v>3.50497638</v>
      </c>
      <c r="E445" s="8">
        <v>1.78116242</v>
      </c>
      <c r="F445" s="9" t="str">
        <f t="shared" si="3"/>
        <v>Direct</v>
      </c>
      <c r="G445" s="7" t="s">
        <v>11</v>
      </c>
    </row>
    <row r="446" spans="1:7" x14ac:dyDescent="0.2">
      <c r="A446" s="6" t="s">
        <v>8</v>
      </c>
      <c r="B446" s="7" t="s">
        <v>9</v>
      </c>
      <c r="C446" s="7" t="s">
        <v>646</v>
      </c>
      <c r="D446" s="8">
        <v>-2.0287373</v>
      </c>
      <c r="E446" s="8">
        <v>-8.1432076999999996</v>
      </c>
      <c r="F446" s="9" t="str">
        <f t="shared" si="3"/>
        <v>Direct</v>
      </c>
      <c r="G446" s="7" t="s">
        <v>11</v>
      </c>
    </row>
    <row r="447" spans="1:7" x14ac:dyDescent="0.2">
      <c r="A447" s="6" t="s">
        <v>8</v>
      </c>
      <c r="B447" s="7" t="s">
        <v>9</v>
      </c>
      <c r="C447" s="7" t="s">
        <v>647</v>
      </c>
      <c r="D447" s="8">
        <v>2.1317861100000002</v>
      </c>
      <c r="E447" s="8">
        <v>3.3629781799999998</v>
      </c>
      <c r="F447" s="9" t="str">
        <f t="shared" si="3"/>
        <v>Direct</v>
      </c>
      <c r="G447" s="7" t="s">
        <v>648</v>
      </c>
    </row>
    <row r="448" spans="1:7" x14ac:dyDescent="0.2">
      <c r="A448" s="6" t="s">
        <v>8</v>
      </c>
      <c r="B448" s="7" t="s">
        <v>9</v>
      </c>
      <c r="C448" s="7" t="s">
        <v>649</v>
      </c>
      <c r="D448" s="8">
        <v>2.73852707</v>
      </c>
      <c r="E448" s="8">
        <v>9.8107497299999995</v>
      </c>
      <c r="F448" s="9" t="str">
        <f t="shared" si="3"/>
        <v>Direct</v>
      </c>
      <c r="G448" s="7" t="s">
        <v>650</v>
      </c>
    </row>
    <row r="449" spans="1:7" x14ac:dyDescent="0.2">
      <c r="A449" s="6" t="s">
        <v>8</v>
      </c>
      <c r="B449" s="7" t="s">
        <v>9</v>
      </c>
      <c r="C449" s="7" t="s">
        <v>651</v>
      </c>
      <c r="D449" s="8">
        <v>-2.6892005000000001</v>
      </c>
      <c r="E449" s="8">
        <v>-10.647636</v>
      </c>
      <c r="F449" s="9" t="str">
        <f t="shared" si="3"/>
        <v>Direct</v>
      </c>
      <c r="G449" s="7" t="s">
        <v>11</v>
      </c>
    </row>
    <row r="450" spans="1:7" x14ac:dyDescent="0.2">
      <c r="A450" s="6" t="s">
        <v>8</v>
      </c>
      <c r="B450" s="7" t="s">
        <v>9</v>
      </c>
      <c r="C450" s="7" t="s">
        <v>652</v>
      </c>
      <c r="D450" s="8">
        <v>-1.0942968</v>
      </c>
      <c r="E450" s="8">
        <v>-5.5566826000000002</v>
      </c>
      <c r="F450" s="9" t="str">
        <f t="shared" si="3"/>
        <v>Direct</v>
      </c>
      <c r="G450" s="7" t="s">
        <v>653</v>
      </c>
    </row>
    <row r="451" spans="1:7" x14ac:dyDescent="0.2">
      <c r="A451" s="6" t="s">
        <v>8</v>
      </c>
      <c r="B451" s="7" t="s">
        <v>9</v>
      </c>
      <c r="C451" s="7" t="s">
        <v>654</v>
      </c>
      <c r="D451" s="8">
        <v>-1.7682317999999999</v>
      </c>
      <c r="E451" s="8">
        <v>-1.2293997000000001</v>
      </c>
      <c r="F451" s="9" t="str">
        <f t="shared" si="3"/>
        <v>Direct</v>
      </c>
      <c r="G451" s="7" t="s">
        <v>11</v>
      </c>
    </row>
    <row r="452" spans="1:7" x14ac:dyDescent="0.2">
      <c r="A452" s="6" t="s">
        <v>8</v>
      </c>
      <c r="B452" s="7" t="s">
        <v>9</v>
      </c>
      <c r="C452" s="7" t="s">
        <v>655</v>
      </c>
      <c r="D452" s="8">
        <v>-1.4041235000000001</v>
      </c>
      <c r="E452" s="8">
        <v>-3.2195480999999999</v>
      </c>
      <c r="F452" s="9" t="str">
        <f t="shared" si="3"/>
        <v>Direct</v>
      </c>
      <c r="G452" s="7" t="s">
        <v>656</v>
      </c>
    </row>
    <row r="453" spans="1:7" x14ac:dyDescent="0.2">
      <c r="A453" s="6" t="s">
        <v>8</v>
      </c>
      <c r="B453" s="7" t="s">
        <v>9</v>
      </c>
      <c r="C453" s="7" t="s">
        <v>657</v>
      </c>
      <c r="D453" s="8">
        <v>-1.2938670999999999</v>
      </c>
      <c r="E453" s="8">
        <v>-5.2426817000000003</v>
      </c>
      <c r="F453" s="9" t="str">
        <f t="shared" si="3"/>
        <v>Direct</v>
      </c>
      <c r="G453" s="7" t="s">
        <v>11</v>
      </c>
    </row>
    <row r="454" spans="1:7" x14ac:dyDescent="0.2">
      <c r="A454" s="6" t="s">
        <v>8</v>
      </c>
      <c r="B454" s="7" t="s">
        <v>9</v>
      </c>
      <c r="C454" s="7" t="s">
        <v>658</v>
      </c>
      <c r="D454" s="8">
        <v>-1.1037404</v>
      </c>
      <c r="E454" s="8">
        <v>-3.3519754000000002</v>
      </c>
      <c r="F454" s="9" t="str">
        <f t="shared" si="3"/>
        <v>Direct</v>
      </c>
      <c r="G454" s="7" t="s">
        <v>659</v>
      </c>
    </row>
    <row r="455" spans="1:7" x14ac:dyDescent="0.2">
      <c r="A455" s="6" t="s">
        <v>8</v>
      </c>
      <c r="B455" s="7" t="s">
        <v>9</v>
      </c>
      <c r="C455" s="7" t="s">
        <v>660</v>
      </c>
      <c r="D455" s="8">
        <v>-1.8321798</v>
      </c>
      <c r="E455" s="8">
        <v>-3.0533711000000001</v>
      </c>
      <c r="F455" s="9" t="str">
        <f t="shared" si="3"/>
        <v>Direct</v>
      </c>
      <c r="G455" s="7" t="s">
        <v>11</v>
      </c>
    </row>
    <row r="456" spans="1:7" x14ac:dyDescent="0.2">
      <c r="A456" s="6" t="s">
        <v>8</v>
      </c>
      <c r="B456" s="7" t="s">
        <v>9</v>
      </c>
      <c r="C456" s="7" t="s">
        <v>661</v>
      </c>
      <c r="D456" s="8">
        <v>2.74030986</v>
      </c>
      <c r="E456" s="8">
        <v>7.0230259500000001</v>
      </c>
      <c r="F456" s="9" t="str">
        <f t="shared" si="3"/>
        <v>Direct</v>
      </c>
      <c r="G456" s="7" t="s">
        <v>662</v>
      </c>
    </row>
    <row r="457" spans="1:7" x14ac:dyDescent="0.2">
      <c r="A457" s="6" t="s">
        <v>8</v>
      </c>
      <c r="B457" s="7" t="s">
        <v>9</v>
      </c>
      <c r="C457" s="7" t="s">
        <v>663</v>
      </c>
      <c r="D457" s="8">
        <v>-1.3234512</v>
      </c>
      <c r="E457" s="8">
        <v>-1.2417495999999999</v>
      </c>
      <c r="F457" s="9" t="str">
        <f t="shared" si="3"/>
        <v>Direct</v>
      </c>
      <c r="G457" s="7" t="s">
        <v>11</v>
      </c>
    </row>
    <row r="458" spans="1:7" x14ac:dyDescent="0.2">
      <c r="A458" s="6" t="s">
        <v>8</v>
      </c>
      <c r="B458" s="7" t="s">
        <v>9</v>
      </c>
      <c r="C458" s="7" t="s">
        <v>664</v>
      </c>
      <c r="D458" s="8">
        <v>-1.8438546</v>
      </c>
      <c r="E458" s="8">
        <v>-5.7017068000000002</v>
      </c>
      <c r="F458" s="9" t="str">
        <f t="shared" si="3"/>
        <v>Direct</v>
      </c>
      <c r="G458" s="7" t="s">
        <v>665</v>
      </c>
    </row>
    <row r="459" spans="1:7" x14ac:dyDescent="0.2">
      <c r="A459" s="6" t="s">
        <v>8</v>
      </c>
      <c r="B459" s="7" t="s">
        <v>9</v>
      </c>
      <c r="C459" s="7" t="s">
        <v>666</v>
      </c>
      <c r="D459" s="8">
        <v>4.0890846999999999</v>
      </c>
      <c r="E459" s="8">
        <v>10.0986899</v>
      </c>
      <c r="F459" s="9" t="str">
        <f t="shared" si="3"/>
        <v>Direct</v>
      </c>
      <c r="G459" s="7" t="s">
        <v>667</v>
      </c>
    </row>
    <row r="460" spans="1:7" x14ac:dyDescent="0.2">
      <c r="A460" s="6" t="s">
        <v>8</v>
      </c>
      <c r="B460" s="7" t="s">
        <v>9</v>
      </c>
      <c r="C460" s="7" t="s">
        <v>668</v>
      </c>
      <c r="D460" s="8">
        <v>1.38325784</v>
      </c>
      <c r="E460" s="8">
        <v>1.2216567</v>
      </c>
      <c r="F460" s="9" t="str">
        <f t="shared" si="3"/>
        <v>Direct</v>
      </c>
      <c r="G460" s="7" t="s">
        <v>669</v>
      </c>
    </row>
    <row r="461" spans="1:7" x14ac:dyDescent="0.2">
      <c r="A461" s="6" t="s">
        <v>8</v>
      </c>
      <c r="B461" s="7" t="s">
        <v>9</v>
      </c>
      <c r="C461" s="7" t="s">
        <v>670</v>
      </c>
      <c r="D461" s="8">
        <v>-4.4817990999999999</v>
      </c>
      <c r="E461" s="8">
        <v>-13.309669</v>
      </c>
      <c r="F461" s="9" t="str">
        <f t="shared" si="3"/>
        <v>Direct</v>
      </c>
      <c r="G461" s="7" t="s">
        <v>671</v>
      </c>
    </row>
    <row r="462" spans="1:7" x14ac:dyDescent="0.2">
      <c r="A462" s="6" t="s">
        <v>8</v>
      </c>
      <c r="B462" s="7" t="s">
        <v>9</v>
      </c>
      <c r="C462" s="7" t="s">
        <v>672</v>
      </c>
      <c r="D462" s="8">
        <v>-3.4507398999999999</v>
      </c>
      <c r="E462" s="8">
        <v>-5.6180836000000003</v>
      </c>
      <c r="F462" s="9" t="str">
        <f t="shared" si="3"/>
        <v>Direct</v>
      </c>
      <c r="G462" s="7" t="s">
        <v>11</v>
      </c>
    </row>
    <row r="463" spans="1:7" x14ac:dyDescent="0.2">
      <c r="A463" s="6" t="s">
        <v>8</v>
      </c>
      <c r="B463" s="7" t="s">
        <v>9</v>
      </c>
      <c r="C463" s="7" t="s">
        <v>673</v>
      </c>
      <c r="D463" s="8">
        <v>2.9193944300000001</v>
      </c>
      <c r="E463" s="8">
        <v>3.2754459100000002</v>
      </c>
      <c r="F463" s="9" t="str">
        <f t="shared" si="3"/>
        <v>Direct</v>
      </c>
      <c r="G463" s="7" t="s">
        <v>11</v>
      </c>
    </row>
    <row r="464" spans="1:7" x14ac:dyDescent="0.2">
      <c r="A464" s="6" t="s">
        <v>8</v>
      </c>
      <c r="B464" s="7" t="s">
        <v>9</v>
      </c>
      <c r="C464" s="7" t="s">
        <v>674</v>
      </c>
      <c r="D464" s="8">
        <v>-2.0207427999999998</v>
      </c>
      <c r="E464" s="8">
        <v>-2.3926791000000001</v>
      </c>
      <c r="F464" s="9" t="str">
        <f t="shared" si="3"/>
        <v>Direct</v>
      </c>
      <c r="G464" s="7" t="s">
        <v>675</v>
      </c>
    </row>
    <row r="465" spans="1:7" x14ac:dyDescent="0.2">
      <c r="A465" s="6" t="s">
        <v>8</v>
      </c>
      <c r="B465" s="7" t="s">
        <v>9</v>
      </c>
      <c r="C465" s="7" t="s">
        <v>676</v>
      </c>
      <c r="D465" s="8">
        <v>2.1366883900000002</v>
      </c>
      <c r="E465" s="8">
        <v>3.6264729400000002</v>
      </c>
      <c r="F465" s="9" t="str">
        <f t="shared" si="3"/>
        <v>Direct</v>
      </c>
      <c r="G465" s="7" t="s">
        <v>11</v>
      </c>
    </row>
    <row r="466" spans="1:7" x14ac:dyDescent="0.2">
      <c r="A466" s="6" t="s">
        <v>8</v>
      </c>
      <c r="B466" s="7" t="s">
        <v>9</v>
      </c>
      <c r="C466" s="7" t="s">
        <v>677</v>
      </c>
      <c r="D466" s="8">
        <v>-1.4035120000000001</v>
      </c>
      <c r="E466" s="8">
        <v>-7.3147244000000002</v>
      </c>
      <c r="F466" s="9" t="str">
        <f t="shared" si="3"/>
        <v>Direct</v>
      </c>
      <c r="G466" s="7" t="s">
        <v>11</v>
      </c>
    </row>
    <row r="467" spans="1:7" x14ac:dyDescent="0.2">
      <c r="A467" s="6" t="s">
        <v>8</v>
      </c>
      <c r="B467" s="7" t="s">
        <v>9</v>
      </c>
      <c r="C467" s="7" t="s">
        <v>678</v>
      </c>
      <c r="D467" s="8">
        <v>-3.0512381</v>
      </c>
      <c r="E467" s="8">
        <v>-2.5664939000000002</v>
      </c>
      <c r="F467" s="9" t="str">
        <f t="shared" si="3"/>
        <v>Direct</v>
      </c>
      <c r="G467" s="7" t="s">
        <v>11</v>
      </c>
    </row>
    <row r="468" spans="1:7" x14ac:dyDescent="0.2">
      <c r="A468" s="6" t="s">
        <v>8</v>
      </c>
      <c r="B468" s="7" t="s">
        <v>9</v>
      </c>
      <c r="C468" s="7" t="s">
        <v>679</v>
      </c>
      <c r="D468" s="8">
        <v>1.7284349400000001</v>
      </c>
      <c r="E468" s="8">
        <v>1.56909217</v>
      </c>
      <c r="F468" s="9" t="str">
        <f t="shared" si="3"/>
        <v>Direct</v>
      </c>
      <c r="G468" s="7" t="s">
        <v>680</v>
      </c>
    </row>
    <row r="469" spans="1:7" x14ac:dyDescent="0.2">
      <c r="A469" s="6" t="s">
        <v>8</v>
      </c>
      <c r="B469" s="7" t="s">
        <v>9</v>
      </c>
      <c r="C469" s="7" t="s">
        <v>681</v>
      </c>
      <c r="D469" s="8">
        <v>-3.2766397</v>
      </c>
      <c r="E469" s="8">
        <v>-5.3616574000000004</v>
      </c>
      <c r="F469" s="9" t="str">
        <f t="shared" si="3"/>
        <v>Direct</v>
      </c>
      <c r="G469" s="7" t="s">
        <v>682</v>
      </c>
    </row>
    <row r="470" spans="1:7" x14ac:dyDescent="0.2">
      <c r="A470" s="6" t="s">
        <v>8</v>
      </c>
      <c r="B470" s="7" t="s">
        <v>9</v>
      </c>
      <c r="C470" s="7" t="s">
        <v>683</v>
      </c>
      <c r="D470" s="8">
        <v>-1.5581122000000001</v>
      </c>
      <c r="E470" s="8">
        <v>-4.5447528999999998</v>
      </c>
      <c r="F470" s="9" t="str">
        <f t="shared" si="3"/>
        <v>Direct</v>
      </c>
      <c r="G470" s="7" t="s">
        <v>684</v>
      </c>
    </row>
    <row r="471" spans="1:7" x14ac:dyDescent="0.2">
      <c r="A471" s="6" t="s">
        <v>8</v>
      </c>
      <c r="B471" s="7" t="s">
        <v>9</v>
      </c>
      <c r="C471" s="7" t="s">
        <v>685</v>
      </c>
      <c r="D471" s="8">
        <v>-2.2219224999999998</v>
      </c>
      <c r="E471" s="8">
        <v>-2.9484442999999998</v>
      </c>
      <c r="F471" s="9" t="str">
        <f t="shared" si="3"/>
        <v>Direct</v>
      </c>
      <c r="G471" s="7" t="s">
        <v>11</v>
      </c>
    </row>
    <row r="472" spans="1:7" x14ac:dyDescent="0.2">
      <c r="A472" s="6" t="s">
        <v>8</v>
      </c>
      <c r="B472" s="7" t="s">
        <v>9</v>
      </c>
      <c r="C472" s="7" t="s">
        <v>686</v>
      </c>
      <c r="D472" s="8">
        <v>2.0520422900000002</v>
      </c>
      <c r="E472" s="8">
        <v>3.25272915</v>
      </c>
      <c r="F472" s="9" t="str">
        <f t="shared" si="3"/>
        <v>Direct</v>
      </c>
      <c r="G472" s="7" t="s">
        <v>687</v>
      </c>
    </row>
    <row r="473" spans="1:7" x14ac:dyDescent="0.2">
      <c r="A473" s="6" t="s">
        <v>8</v>
      </c>
      <c r="B473" s="7" t="s">
        <v>9</v>
      </c>
      <c r="C473" s="7" t="s">
        <v>688</v>
      </c>
      <c r="D473" s="8">
        <v>-4.3348582000000002</v>
      </c>
      <c r="E473" s="8">
        <v>-6.5184055000000001</v>
      </c>
      <c r="F473" s="9" t="str">
        <f t="shared" si="3"/>
        <v>Direct</v>
      </c>
      <c r="G473" s="7" t="s">
        <v>689</v>
      </c>
    </row>
    <row r="474" spans="1:7" x14ac:dyDescent="0.2">
      <c r="A474" s="6" t="s">
        <v>8</v>
      </c>
      <c r="B474" s="7" t="s">
        <v>9</v>
      </c>
      <c r="C474" s="7" t="s">
        <v>690</v>
      </c>
      <c r="D474" s="8">
        <v>1.0087562000000001</v>
      </c>
      <c r="E474" s="8">
        <v>1.6457496599999999</v>
      </c>
      <c r="F474" s="9" t="str">
        <f t="shared" si="3"/>
        <v>Direct</v>
      </c>
      <c r="G474" s="7" t="s">
        <v>691</v>
      </c>
    </row>
    <row r="475" spans="1:7" x14ac:dyDescent="0.2">
      <c r="A475" s="6" t="s">
        <v>8</v>
      </c>
      <c r="B475" s="7" t="s">
        <v>9</v>
      </c>
      <c r="C475" s="7" t="s">
        <v>692</v>
      </c>
      <c r="D475" s="8">
        <v>-1.574465</v>
      </c>
      <c r="E475" s="8">
        <v>-2.7481862000000001</v>
      </c>
      <c r="F475" s="9" t="str">
        <f t="shared" si="3"/>
        <v>Direct</v>
      </c>
      <c r="G475" s="7" t="s">
        <v>693</v>
      </c>
    </row>
    <row r="476" spans="1:7" x14ac:dyDescent="0.2">
      <c r="A476" s="6" t="s">
        <v>8</v>
      </c>
      <c r="B476" s="7" t="s">
        <v>9</v>
      </c>
      <c r="C476" s="7" t="s">
        <v>694</v>
      </c>
      <c r="D476" s="8">
        <v>1.47056334</v>
      </c>
      <c r="E476" s="8">
        <v>1.3258807399999999</v>
      </c>
      <c r="F476" s="9" t="str">
        <f t="shared" si="3"/>
        <v>Direct</v>
      </c>
      <c r="G476" s="7" t="s">
        <v>695</v>
      </c>
    </row>
    <row r="477" spans="1:7" x14ac:dyDescent="0.2">
      <c r="A477" s="6" t="s">
        <v>8</v>
      </c>
      <c r="B477" s="7" t="s">
        <v>9</v>
      </c>
      <c r="C477" s="7" t="s">
        <v>696</v>
      </c>
      <c r="D477" s="8">
        <v>2.2754899000000002</v>
      </c>
      <c r="E477" s="8">
        <v>1.0702225299999999</v>
      </c>
      <c r="F477" s="9" t="str">
        <f t="shared" si="3"/>
        <v>Direct</v>
      </c>
      <c r="G477" s="7" t="s">
        <v>11</v>
      </c>
    </row>
    <row r="478" spans="1:7" x14ac:dyDescent="0.2">
      <c r="A478" s="6" t="s">
        <v>8</v>
      </c>
      <c r="B478" s="7" t="s">
        <v>9</v>
      </c>
      <c r="C478" s="7" t="s">
        <v>697</v>
      </c>
      <c r="D478" s="8">
        <v>-1.2560353</v>
      </c>
      <c r="E478" s="8">
        <v>-14.236837</v>
      </c>
      <c r="F478" s="9" t="str">
        <f t="shared" si="3"/>
        <v>Direct</v>
      </c>
      <c r="G478" s="7" t="s">
        <v>698</v>
      </c>
    </row>
    <row r="479" spans="1:7" x14ac:dyDescent="0.2">
      <c r="A479" s="6" t="s">
        <v>8</v>
      </c>
      <c r="B479" s="7" t="s">
        <v>9</v>
      </c>
      <c r="C479" s="7" t="s">
        <v>699</v>
      </c>
      <c r="D479" s="8">
        <v>1.2916046999999999</v>
      </c>
      <c r="E479" s="8">
        <v>4.3709879899999997</v>
      </c>
      <c r="F479" s="9" t="str">
        <f t="shared" si="3"/>
        <v>Direct</v>
      </c>
      <c r="G479" s="7" t="s">
        <v>11</v>
      </c>
    </row>
    <row r="480" spans="1:7" x14ac:dyDescent="0.2">
      <c r="A480" s="6" t="s">
        <v>8</v>
      </c>
      <c r="B480" s="7" t="s">
        <v>9</v>
      </c>
      <c r="C480" s="7" t="s">
        <v>700</v>
      </c>
      <c r="D480" s="8">
        <v>1.8986232300000001</v>
      </c>
      <c r="E480" s="8">
        <v>3.3950592799999999</v>
      </c>
      <c r="F480" s="9" t="str">
        <f t="shared" si="3"/>
        <v>Direct</v>
      </c>
      <c r="G480" s="7" t="s">
        <v>701</v>
      </c>
    </row>
    <row r="481" spans="1:7" x14ac:dyDescent="0.2">
      <c r="A481" s="6" t="s">
        <v>8</v>
      </c>
      <c r="B481" s="7" t="s">
        <v>9</v>
      </c>
      <c r="C481" s="7" t="s">
        <v>702</v>
      </c>
      <c r="D481" s="8">
        <v>2.9193944300000001</v>
      </c>
      <c r="E481" s="8">
        <v>6.8346421399999997</v>
      </c>
      <c r="F481" s="9" t="str">
        <f t="shared" si="3"/>
        <v>Direct</v>
      </c>
      <c r="G481" s="7" t="s">
        <v>11</v>
      </c>
    </row>
    <row r="482" spans="1:7" x14ac:dyDescent="0.2">
      <c r="A482" s="6" t="s">
        <v>8</v>
      </c>
      <c r="B482" s="7" t="s">
        <v>9</v>
      </c>
      <c r="C482" s="7" t="s">
        <v>703</v>
      </c>
      <c r="D482" s="8">
        <v>1.5531045299999999</v>
      </c>
      <c r="E482" s="8">
        <v>3.5799035300000002</v>
      </c>
      <c r="F482" s="9" t="str">
        <f t="shared" si="3"/>
        <v>Direct</v>
      </c>
      <c r="G482" s="7" t="s">
        <v>704</v>
      </c>
    </row>
    <row r="483" spans="1:7" x14ac:dyDescent="0.2">
      <c r="A483" s="6" t="s">
        <v>8</v>
      </c>
      <c r="B483" s="7" t="s">
        <v>9</v>
      </c>
      <c r="C483" s="7" t="s">
        <v>705</v>
      </c>
      <c r="D483" s="8">
        <v>1.3459382799999999</v>
      </c>
      <c r="E483" s="8">
        <v>1.7404662399999999</v>
      </c>
      <c r="F483" s="9" t="str">
        <f t="shared" si="3"/>
        <v>Direct</v>
      </c>
      <c r="G483" s="7" t="s">
        <v>706</v>
      </c>
    </row>
    <row r="484" spans="1:7" x14ac:dyDescent="0.2">
      <c r="A484" s="6" t="s">
        <v>8</v>
      </c>
      <c r="B484" s="7" t="s">
        <v>9</v>
      </c>
      <c r="C484" s="7" t="s">
        <v>707</v>
      </c>
      <c r="D484" s="8">
        <v>-1.1437092</v>
      </c>
      <c r="E484" s="8">
        <v>-2.7681439000000001</v>
      </c>
      <c r="F484" s="9" t="str">
        <f t="shared" si="3"/>
        <v>Direct</v>
      </c>
      <c r="G484" s="7" t="s">
        <v>704</v>
      </c>
    </row>
    <row r="485" spans="1:7" x14ac:dyDescent="0.2">
      <c r="A485" s="6" t="s">
        <v>8</v>
      </c>
      <c r="B485" s="7" t="s">
        <v>9</v>
      </c>
      <c r="C485" s="7" t="s">
        <v>708</v>
      </c>
      <c r="D485" s="8">
        <v>-5.9522373000000002</v>
      </c>
      <c r="E485" s="8">
        <v>2.0534200899999999</v>
      </c>
      <c r="F485" s="9" t="str">
        <f t="shared" si="3"/>
        <v>Inverse</v>
      </c>
      <c r="G485" s="7" t="s">
        <v>11</v>
      </c>
    </row>
    <row r="486" spans="1:7" x14ac:dyDescent="0.2">
      <c r="A486" s="6" t="s">
        <v>8</v>
      </c>
      <c r="B486" s="7" t="s">
        <v>9</v>
      </c>
      <c r="C486" s="7" t="s">
        <v>709</v>
      </c>
      <c r="D486" s="8">
        <v>1.45404044</v>
      </c>
      <c r="E486" s="8">
        <v>2.2554029600000001</v>
      </c>
      <c r="F486" s="9" t="str">
        <f t="shared" si="3"/>
        <v>Direct</v>
      </c>
      <c r="G486" s="7" t="s">
        <v>710</v>
      </c>
    </row>
    <row r="487" spans="1:7" x14ac:dyDescent="0.2">
      <c r="A487" s="6" t="s">
        <v>8</v>
      </c>
      <c r="B487" s="7" t="s">
        <v>9</v>
      </c>
      <c r="C487" s="7" t="s">
        <v>711</v>
      </c>
      <c r="D487" s="8">
        <v>1.7820461700000001</v>
      </c>
      <c r="E487" s="8">
        <v>4.1713079300000002</v>
      </c>
      <c r="F487" s="9" t="str">
        <f t="shared" si="3"/>
        <v>Direct</v>
      </c>
      <c r="G487" s="7" t="s">
        <v>712</v>
      </c>
    </row>
    <row r="488" spans="1:7" x14ac:dyDescent="0.2">
      <c r="A488" s="6" t="s">
        <v>8</v>
      </c>
      <c r="B488" s="7" t="s">
        <v>9</v>
      </c>
      <c r="C488" s="7" t="s">
        <v>713</v>
      </c>
      <c r="D488" s="8">
        <v>-1.1141968</v>
      </c>
      <c r="E488" s="8">
        <v>-2.6953577000000002</v>
      </c>
      <c r="F488" s="9" t="str">
        <f t="shared" si="3"/>
        <v>Direct</v>
      </c>
      <c r="G488" s="7" t="s">
        <v>714</v>
      </c>
    </row>
    <row r="489" spans="1:7" x14ac:dyDescent="0.2">
      <c r="A489" s="6" t="s">
        <v>8</v>
      </c>
      <c r="B489" s="7" t="s">
        <v>9</v>
      </c>
      <c r="C489" s="7" t="s">
        <v>715</v>
      </c>
      <c r="D489" s="8">
        <v>-1.3246905</v>
      </c>
      <c r="E489" s="8">
        <v>-1.5457997999999999</v>
      </c>
      <c r="F489" s="9" t="str">
        <f t="shared" si="3"/>
        <v>Direct</v>
      </c>
      <c r="G489" s="7" t="s">
        <v>716</v>
      </c>
    </row>
    <row r="490" spans="1:7" x14ac:dyDescent="0.2">
      <c r="A490" s="6" t="s">
        <v>8</v>
      </c>
      <c r="B490" s="7" t="s">
        <v>9</v>
      </c>
      <c r="C490" s="7" t="s">
        <v>717</v>
      </c>
      <c r="D490" s="8">
        <v>-1.2891030999999999</v>
      </c>
      <c r="E490" s="8">
        <v>-2.4893512000000002</v>
      </c>
      <c r="F490" s="9" t="str">
        <f t="shared" si="3"/>
        <v>Direct</v>
      </c>
      <c r="G490" s="7" t="s">
        <v>718</v>
      </c>
    </row>
    <row r="491" spans="1:7" x14ac:dyDescent="0.2">
      <c r="A491" s="6" t="s">
        <v>8</v>
      </c>
      <c r="B491" s="7" t="s">
        <v>9</v>
      </c>
      <c r="C491" s="7" t="s">
        <v>719</v>
      </c>
      <c r="D491" s="8">
        <v>2.5554966600000002</v>
      </c>
      <c r="E491" s="8">
        <v>3.9047939600000001</v>
      </c>
      <c r="F491" s="9" t="str">
        <f t="shared" si="3"/>
        <v>Direct</v>
      </c>
      <c r="G491" s="7" t="s">
        <v>11</v>
      </c>
    </row>
    <row r="492" spans="1:7" x14ac:dyDescent="0.2">
      <c r="A492" s="6" t="s">
        <v>8</v>
      </c>
      <c r="B492" s="7" t="s">
        <v>9</v>
      </c>
      <c r="C492" s="7" t="s">
        <v>720</v>
      </c>
      <c r="D492" s="8">
        <v>1.2291553399999999</v>
      </c>
      <c r="E492" s="8">
        <v>10.316878900000001</v>
      </c>
      <c r="F492" s="9" t="str">
        <f t="shared" si="3"/>
        <v>Direct</v>
      </c>
      <c r="G492" s="7" t="s">
        <v>11</v>
      </c>
    </row>
    <row r="493" spans="1:7" x14ac:dyDescent="0.2">
      <c r="A493" s="6" t="s">
        <v>8</v>
      </c>
      <c r="B493" s="7" t="s">
        <v>9</v>
      </c>
      <c r="C493" s="7" t="s">
        <v>721</v>
      </c>
      <c r="D493" s="8">
        <v>-1.3995664999999999</v>
      </c>
      <c r="E493" s="8">
        <v>-1.3639524000000001</v>
      </c>
      <c r="F493" s="9" t="str">
        <f t="shared" si="3"/>
        <v>Direct</v>
      </c>
      <c r="G493" s="7" t="s">
        <v>11</v>
      </c>
    </row>
    <row r="494" spans="1:7" x14ac:dyDescent="0.2">
      <c r="A494" s="6" t="s">
        <v>8</v>
      </c>
      <c r="B494" s="7" t="s">
        <v>9</v>
      </c>
      <c r="C494" s="7" t="s">
        <v>722</v>
      </c>
      <c r="D494" s="8">
        <v>-1.7705499</v>
      </c>
      <c r="E494" s="8">
        <v>-1.8301122999999999</v>
      </c>
      <c r="F494" s="9" t="str">
        <f t="shared" si="3"/>
        <v>Direct</v>
      </c>
      <c r="G494" s="7" t="s">
        <v>723</v>
      </c>
    </row>
    <row r="495" spans="1:7" x14ac:dyDescent="0.2">
      <c r="A495" s="6" t="s">
        <v>8</v>
      </c>
      <c r="B495" s="7" t="s">
        <v>9</v>
      </c>
      <c r="C495" s="7" t="s">
        <v>724</v>
      </c>
      <c r="D495" s="8">
        <v>-1.0286595999999999</v>
      </c>
      <c r="E495" s="8">
        <v>-1.6245041</v>
      </c>
      <c r="F495" s="9" t="str">
        <f t="shared" si="3"/>
        <v>Direct</v>
      </c>
      <c r="G495" s="7" t="s">
        <v>11</v>
      </c>
    </row>
    <row r="496" spans="1:7" x14ac:dyDescent="0.2">
      <c r="A496" s="6" t="s">
        <v>8</v>
      </c>
      <c r="B496" s="7" t="s">
        <v>9</v>
      </c>
      <c r="C496" s="7" t="s">
        <v>725</v>
      </c>
      <c r="D496" s="8">
        <v>1.3255974800000001</v>
      </c>
      <c r="E496" s="8">
        <v>1.5575165</v>
      </c>
      <c r="F496" s="9" t="str">
        <f t="shared" si="3"/>
        <v>Direct</v>
      </c>
      <c r="G496" s="7" t="s">
        <v>11</v>
      </c>
    </row>
    <row r="497" spans="1:7" x14ac:dyDescent="0.2">
      <c r="A497" s="6" t="s">
        <v>8</v>
      </c>
      <c r="B497" s="7" t="s">
        <v>9</v>
      </c>
      <c r="C497" s="7" t="s">
        <v>726</v>
      </c>
      <c r="D497" s="8">
        <v>-4.7865975000000001</v>
      </c>
      <c r="E497" s="8">
        <v>-3.0968548</v>
      </c>
      <c r="F497" s="9" t="str">
        <f t="shared" si="3"/>
        <v>Direct</v>
      </c>
      <c r="G497" s="7" t="s">
        <v>11</v>
      </c>
    </row>
    <row r="498" spans="1:7" x14ac:dyDescent="0.2">
      <c r="A498" s="6" t="s">
        <v>8</v>
      </c>
      <c r="B498" s="7" t="s">
        <v>9</v>
      </c>
      <c r="C498" s="7" t="s">
        <v>727</v>
      </c>
      <c r="D498" s="8">
        <v>1.2750346800000001</v>
      </c>
      <c r="E498" s="8">
        <v>1.54744517</v>
      </c>
      <c r="F498" s="9" t="str">
        <f t="shared" si="3"/>
        <v>Direct</v>
      </c>
      <c r="G498" s="7" t="s">
        <v>728</v>
      </c>
    </row>
    <row r="499" spans="1:7" x14ac:dyDescent="0.2">
      <c r="A499" s="6" t="s">
        <v>8</v>
      </c>
      <c r="B499" s="7" t="s">
        <v>9</v>
      </c>
      <c r="C499" s="7" t="s">
        <v>729</v>
      </c>
      <c r="D499" s="8">
        <v>-1.4885451000000001</v>
      </c>
      <c r="E499" s="8">
        <v>-3.2440384</v>
      </c>
      <c r="F499" s="9" t="str">
        <f t="shared" si="3"/>
        <v>Direct</v>
      </c>
      <c r="G499" s="7" t="s">
        <v>35</v>
      </c>
    </row>
    <row r="500" spans="1:7" x14ac:dyDescent="0.2">
      <c r="A500" s="6" t="s">
        <v>8</v>
      </c>
      <c r="B500" s="7" t="s">
        <v>9</v>
      </c>
      <c r="C500" s="7" t="s">
        <v>730</v>
      </c>
      <c r="D500" s="8">
        <v>1.1201970400000001</v>
      </c>
      <c r="E500" s="8">
        <v>13.1532389</v>
      </c>
      <c r="F500" s="9" t="str">
        <f t="shared" si="3"/>
        <v>Direct</v>
      </c>
      <c r="G500" s="7" t="s">
        <v>731</v>
      </c>
    </row>
    <row r="501" spans="1:7" x14ac:dyDescent="0.2">
      <c r="A501" s="6" t="s">
        <v>8</v>
      </c>
      <c r="B501" s="7" t="s">
        <v>9</v>
      </c>
      <c r="C501" s="7" t="s">
        <v>732</v>
      </c>
      <c r="D501" s="8">
        <v>-1.0025786000000001</v>
      </c>
      <c r="E501" s="8">
        <v>-3.1557306999999999</v>
      </c>
      <c r="F501" s="9" t="str">
        <f t="shared" si="3"/>
        <v>Direct</v>
      </c>
      <c r="G501" s="7" t="s">
        <v>733</v>
      </c>
    </row>
    <row r="502" spans="1:7" x14ac:dyDescent="0.2">
      <c r="A502" s="6" t="s">
        <v>8</v>
      </c>
      <c r="B502" s="7" t="s">
        <v>9</v>
      </c>
      <c r="C502" s="7" t="s">
        <v>734</v>
      </c>
      <c r="D502" s="8">
        <v>-2.7934899</v>
      </c>
      <c r="E502" s="8">
        <v>-2.9218270999999998</v>
      </c>
      <c r="F502" s="9" t="str">
        <f t="shared" si="3"/>
        <v>Direct</v>
      </c>
      <c r="G502" s="7" t="s">
        <v>11</v>
      </c>
    </row>
    <row r="503" spans="1:7" x14ac:dyDescent="0.2">
      <c r="A503" s="6" t="s">
        <v>8</v>
      </c>
      <c r="B503" s="7" t="s">
        <v>9</v>
      </c>
      <c r="C503" s="7" t="s">
        <v>735</v>
      </c>
      <c r="D503" s="8">
        <v>3.9275834700000001</v>
      </c>
      <c r="E503" s="8">
        <v>21.131285800000001</v>
      </c>
      <c r="F503" s="9" t="str">
        <f t="shared" si="3"/>
        <v>Direct</v>
      </c>
      <c r="G503" s="7" t="s">
        <v>736</v>
      </c>
    </row>
    <row r="504" spans="1:7" x14ac:dyDescent="0.2">
      <c r="A504" s="6" t="s">
        <v>8</v>
      </c>
      <c r="B504" s="7" t="s">
        <v>9</v>
      </c>
      <c r="C504" s="7" t="s">
        <v>737</v>
      </c>
      <c r="D504" s="8">
        <v>1.24983555</v>
      </c>
      <c r="E504" s="8">
        <v>3.1331738100000002</v>
      </c>
      <c r="F504" s="9" t="str">
        <f t="shared" si="3"/>
        <v>Direct</v>
      </c>
      <c r="G504" s="7" t="s">
        <v>11</v>
      </c>
    </row>
    <row r="505" spans="1:7" x14ac:dyDescent="0.2">
      <c r="A505" s="6" t="s">
        <v>8</v>
      </c>
      <c r="B505" s="7" t="s">
        <v>9</v>
      </c>
      <c r="C505" s="7" t="s">
        <v>738</v>
      </c>
      <c r="D505" s="8">
        <v>-4.7092583000000001</v>
      </c>
      <c r="E505" s="8">
        <v>-4.8653721000000001</v>
      </c>
      <c r="F505" s="9" t="str">
        <f t="shared" si="3"/>
        <v>Direct</v>
      </c>
      <c r="G505" s="7" t="s">
        <v>739</v>
      </c>
    </row>
    <row r="506" spans="1:7" x14ac:dyDescent="0.2">
      <c r="A506" s="6" t="s">
        <v>8</v>
      </c>
      <c r="B506" s="7" t="s">
        <v>9</v>
      </c>
      <c r="C506" s="7" t="s">
        <v>740</v>
      </c>
      <c r="D506" s="8">
        <v>2.20909939</v>
      </c>
      <c r="E506" s="8">
        <v>1.1908246600000001</v>
      </c>
      <c r="F506" s="9" t="str">
        <f t="shared" si="3"/>
        <v>Direct</v>
      </c>
      <c r="G506" s="7" t="s">
        <v>11</v>
      </c>
    </row>
    <row r="507" spans="1:7" x14ac:dyDescent="0.2">
      <c r="A507" s="6" t="s">
        <v>8</v>
      </c>
      <c r="B507" s="7" t="s">
        <v>9</v>
      </c>
      <c r="C507" s="7" t="s">
        <v>741</v>
      </c>
      <c r="D507" s="8">
        <v>-2.2924880000000001</v>
      </c>
      <c r="E507" s="8">
        <v>-1.6366354999999999</v>
      </c>
      <c r="F507" s="9" t="str">
        <f t="shared" si="3"/>
        <v>Direct</v>
      </c>
      <c r="G507" s="7" t="s">
        <v>106</v>
      </c>
    </row>
    <row r="508" spans="1:7" x14ac:dyDescent="0.2">
      <c r="A508" s="6" t="s">
        <v>8</v>
      </c>
      <c r="B508" s="7" t="s">
        <v>9</v>
      </c>
      <c r="C508" s="7" t="s">
        <v>742</v>
      </c>
      <c r="D508" s="8">
        <v>-1.0935132000000001</v>
      </c>
      <c r="E508" s="8">
        <v>-1.2056445</v>
      </c>
      <c r="F508" s="9" t="str">
        <f t="shared" si="3"/>
        <v>Direct</v>
      </c>
      <c r="G508" s="7" t="s">
        <v>11</v>
      </c>
    </row>
    <row r="509" spans="1:7" x14ac:dyDescent="0.2">
      <c r="A509" s="6" t="s">
        <v>8</v>
      </c>
      <c r="B509" s="7" t="s">
        <v>9</v>
      </c>
      <c r="C509" s="7" t="s">
        <v>743</v>
      </c>
      <c r="D509" s="8">
        <v>-1.3592843999999999</v>
      </c>
      <c r="E509" s="8">
        <v>-2.8904925000000001</v>
      </c>
      <c r="F509" s="9" t="str">
        <f t="shared" si="3"/>
        <v>Direct</v>
      </c>
      <c r="G509" s="7" t="s">
        <v>744</v>
      </c>
    </row>
    <row r="510" spans="1:7" x14ac:dyDescent="0.2">
      <c r="A510" s="6" t="s">
        <v>8</v>
      </c>
      <c r="B510" s="7" t="s">
        <v>9</v>
      </c>
      <c r="C510" s="7" t="s">
        <v>745</v>
      </c>
      <c r="D510" s="8">
        <v>-1.464269</v>
      </c>
      <c r="E510" s="8">
        <v>-3.7324837999999998</v>
      </c>
      <c r="F510" s="9" t="str">
        <f t="shared" si="3"/>
        <v>Direct</v>
      </c>
      <c r="G510" s="7" t="s">
        <v>11</v>
      </c>
    </row>
    <row r="511" spans="1:7" x14ac:dyDescent="0.2">
      <c r="A511" s="6" t="s">
        <v>8</v>
      </c>
      <c r="B511" s="7" t="s">
        <v>9</v>
      </c>
      <c r="C511" s="7" t="s">
        <v>746</v>
      </c>
      <c r="D511" s="8">
        <v>-1.4189262</v>
      </c>
      <c r="E511" s="8">
        <v>-4.0004305999999996</v>
      </c>
      <c r="F511" s="9" t="str">
        <f t="shared" si="3"/>
        <v>Direct</v>
      </c>
      <c r="G511" s="7" t="s">
        <v>11</v>
      </c>
    </row>
    <row r="512" spans="1:7" x14ac:dyDescent="0.2">
      <c r="A512" s="6" t="s">
        <v>8</v>
      </c>
      <c r="B512" s="7" t="s">
        <v>9</v>
      </c>
      <c r="C512" s="7" t="s">
        <v>747</v>
      </c>
      <c r="D512" s="8">
        <v>-3.0995249</v>
      </c>
      <c r="E512" s="8">
        <v>-7.3387563</v>
      </c>
      <c r="F512" s="9" t="str">
        <f t="shared" ref="F512:F766" si="4">IF(OR(AND(D512&gt;0,E512&gt;0),AND(D512&lt;0,E512&lt;0)),"Direct","Inverse")</f>
        <v>Direct</v>
      </c>
      <c r="G512" s="7" t="s">
        <v>748</v>
      </c>
    </row>
    <row r="513" spans="1:7" x14ac:dyDescent="0.2">
      <c r="A513" s="6" t="s">
        <v>8</v>
      </c>
      <c r="B513" s="7" t="s">
        <v>9</v>
      </c>
      <c r="C513" s="7" t="s">
        <v>749</v>
      </c>
      <c r="D513" s="8">
        <v>-1.4056282</v>
      </c>
      <c r="E513" s="8">
        <v>-8.1546049000000007</v>
      </c>
      <c r="F513" s="9" t="str">
        <f t="shared" si="4"/>
        <v>Direct</v>
      </c>
      <c r="G513" s="7" t="s">
        <v>11</v>
      </c>
    </row>
    <row r="514" spans="1:7" x14ac:dyDescent="0.2">
      <c r="A514" s="6" t="s">
        <v>8</v>
      </c>
      <c r="B514" s="7" t="s">
        <v>9</v>
      </c>
      <c r="C514" s="7" t="s">
        <v>750</v>
      </c>
      <c r="D514" s="8">
        <v>1.1850650700000001</v>
      </c>
      <c r="E514" s="8">
        <v>8.3759030899999996</v>
      </c>
      <c r="F514" s="9" t="str">
        <f t="shared" si="4"/>
        <v>Direct</v>
      </c>
      <c r="G514" s="7" t="s">
        <v>751</v>
      </c>
    </row>
    <row r="515" spans="1:7" x14ac:dyDescent="0.2">
      <c r="A515" s="6" t="s">
        <v>8</v>
      </c>
      <c r="B515" s="7" t="s">
        <v>9</v>
      </c>
      <c r="C515" s="7" t="s">
        <v>752</v>
      </c>
      <c r="D515" s="8">
        <v>-1.0804114</v>
      </c>
      <c r="E515" s="8">
        <v>-7.6120228000000001</v>
      </c>
      <c r="F515" s="9" t="str">
        <f t="shared" si="4"/>
        <v>Direct</v>
      </c>
      <c r="G515" s="7" t="s">
        <v>11</v>
      </c>
    </row>
    <row r="516" spans="1:7" x14ac:dyDescent="0.2">
      <c r="A516" s="6" t="s">
        <v>8</v>
      </c>
      <c r="B516" s="7" t="s">
        <v>9</v>
      </c>
      <c r="C516" s="7" t="s">
        <v>753</v>
      </c>
      <c r="D516" s="8">
        <v>1.45622848</v>
      </c>
      <c r="E516" s="8">
        <v>9.7015045299999993</v>
      </c>
      <c r="F516" s="9" t="str">
        <f t="shared" si="4"/>
        <v>Direct</v>
      </c>
      <c r="G516" s="7" t="s">
        <v>11</v>
      </c>
    </row>
    <row r="517" spans="1:7" x14ac:dyDescent="0.2">
      <c r="A517" s="6" t="s">
        <v>8</v>
      </c>
      <c r="B517" s="7" t="s">
        <v>9</v>
      </c>
      <c r="C517" s="7" t="s">
        <v>754</v>
      </c>
      <c r="D517" s="8">
        <v>-1.1400811</v>
      </c>
      <c r="E517" s="8">
        <v>-3.3203398000000002</v>
      </c>
      <c r="F517" s="9" t="str">
        <f t="shared" si="4"/>
        <v>Direct</v>
      </c>
      <c r="G517" s="7" t="s">
        <v>755</v>
      </c>
    </row>
    <row r="518" spans="1:7" x14ac:dyDescent="0.2">
      <c r="A518" s="6" t="s">
        <v>8</v>
      </c>
      <c r="B518" s="7" t="s">
        <v>9</v>
      </c>
      <c r="C518" s="7" t="s">
        <v>756</v>
      </c>
      <c r="D518" s="8">
        <v>-1.0961122999999999</v>
      </c>
      <c r="E518" s="8">
        <v>-2.0346323000000002</v>
      </c>
      <c r="F518" s="9" t="str">
        <f t="shared" si="4"/>
        <v>Direct</v>
      </c>
      <c r="G518" s="7" t="s">
        <v>757</v>
      </c>
    </row>
    <row r="519" spans="1:7" x14ac:dyDescent="0.2">
      <c r="A519" s="6" t="s">
        <v>8</v>
      </c>
      <c r="B519" s="7" t="s">
        <v>9</v>
      </c>
      <c r="C519" s="7" t="s">
        <v>758</v>
      </c>
      <c r="D519" s="8">
        <v>-1.0361445</v>
      </c>
      <c r="E519" s="8">
        <v>-1.5095042000000001</v>
      </c>
      <c r="F519" s="9" t="str">
        <f t="shared" si="4"/>
        <v>Direct</v>
      </c>
      <c r="G519" s="7" t="s">
        <v>759</v>
      </c>
    </row>
    <row r="520" spans="1:7" x14ac:dyDescent="0.2">
      <c r="A520" s="6" t="s">
        <v>8</v>
      </c>
      <c r="B520" s="7" t="s">
        <v>9</v>
      </c>
      <c r="C520" s="7" t="s">
        <v>760</v>
      </c>
      <c r="D520" s="8">
        <v>-2.1387896999999998</v>
      </c>
      <c r="E520" s="8">
        <v>-1.3396215</v>
      </c>
      <c r="F520" s="9" t="str">
        <f t="shared" si="4"/>
        <v>Direct</v>
      </c>
      <c r="G520" s="7" t="s">
        <v>11</v>
      </c>
    </row>
    <row r="521" spans="1:7" x14ac:dyDescent="0.2">
      <c r="A521" s="6" t="s">
        <v>8</v>
      </c>
      <c r="B521" s="7" t="s">
        <v>9</v>
      </c>
      <c r="C521" s="7" t="s">
        <v>761</v>
      </c>
      <c r="D521" s="8">
        <v>-1.5707154000000001</v>
      </c>
      <c r="E521" s="8">
        <v>-1.3521154</v>
      </c>
      <c r="F521" s="9" t="str">
        <f t="shared" si="4"/>
        <v>Direct</v>
      </c>
      <c r="G521" s="7" t="s">
        <v>11</v>
      </c>
    </row>
    <row r="522" spans="1:7" x14ac:dyDescent="0.2">
      <c r="A522" s="6" t="s">
        <v>8</v>
      </c>
      <c r="B522" s="7" t="s">
        <v>9</v>
      </c>
      <c r="C522" s="7" t="s">
        <v>762</v>
      </c>
      <c r="D522" s="8">
        <v>3.2514235999999999</v>
      </c>
      <c r="E522" s="8">
        <v>4.2462821399999999</v>
      </c>
      <c r="F522" s="9" t="str">
        <f t="shared" si="4"/>
        <v>Direct</v>
      </c>
      <c r="G522" s="7" t="s">
        <v>11</v>
      </c>
    </row>
    <row r="523" spans="1:7" x14ac:dyDescent="0.2">
      <c r="A523" s="6" t="s">
        <v>8</v>
      </c>
      <c r="B523" s="7" t="s">
        <v>9</v>
      </c>
      <c r="C523" s="7" t="s">
        <v>763</v>
      </c>
      <c r="D523" s="8">
        <v>3.65609005</v>
      </c>
      <c r="E523" s="8">
        <v>5.8767074499999996</v>
      </c>
      <c r="F523" s="9" t="str">
        <f t="shared" si="4"/>
        <v>Direct</v>
      </c>
      <c r="G523" s="7" t="s">
        <v>11</v>
      </c>
    </row>
    <row r="524" spans="1:7" x14ac:dyDescent="0.2">
      <c r="A524" s="6" t="s">
        <v>8</v>
      </c>
      <c r="B524" s="7" t="s">
        <v>9</v>
      </c>
      <c r="C524" s="7" t="s">
        <v>764</v>
      </c>
      <c r="D524" s="8">
        <v>1.91583262</v>
      </c>
      <c r="E524" s="8">
        <v>2.4893511899999998</v>
      </c>
      <c r="F524" s="9" t="str">
        <f t="shared" si="4"/>
        <v>Direct</v>
      </c>
      <c r="G524" s="7" t="s">
        <v>765</v>
      </c>
    </row>
    <row r="525" spans="1:7" x14ac:dyDescent="0.2">
      <c r="A525" s="6" t="s">
        <v>8</v>
      </c>
      <c r="B525" s="7" t="s">
        <v>9</v>
      </c>
      <c r="C525" s="7" t="s">
        <v>766</v>
      </c>
      <c r="D525" s="8">
        <v>-1.2874699999999999</v>
      </c>
      <c r="E525" s="8">
        <v>-3.9836923999999998</v>
      </c>
      <c r="F525" s="9" t="str">
        <f t="shared" si="4"/>
        <v>Direct</v>
      </c>
      <c r="G525" s="7" t="s">
        <v>11</v>
      </c>
    </row>
    <row r="526" spans="1:7" x14ac:dyDescent="0.2">
      <c r="A526" s="6" t="s">
        <v>8</v>
      </c>
      <c r="B526" s="7" t="s">
        <v>9</v>
      </c>
      <c r="C526" s="7" t="s">
        <v>767</v>
      </c>
      <c r="D526" s="8">
        <v>1.67756649</v>
      </c>
      <c r="E526" s="8">
        <v>2.1469015599999999</v>
      </c>
      <c r="F526" s="9" t="str">
        <f t="shared" si="4"/>
        <v>Direct</v>
      </c>
      <c r="G526" s="7" t="s">
        <v>768</v>
      </c>
    </row>
    <row r="527" spans="1:7" x14ac:dyDescent="0.2">
      <c r="A527" s="6" t="s">
        <v>8</v>
      </c>
      <c r="B527" s="7" t="s">
        <v>9</v>
      </c>
      <c r="C527" s="7" t="s">
        <v>769</v>
      </c>
      <c r="D527" s="8">
        <v>-2.0731502000000002</v>
      </c>
      <c r="E527" s="8">
        <v>-4.4152507999999999</v>
      </c>
      <c r="F527" s="9" t="str">
        <f t="shared" si="4"/>
        <v>Direct</v>
      </c>
      <c r="G527" s="7" t="s">
        <v>11</v>
      </c>
    </row>
    <row r="528" spans="1:7" x14ac:dyDescent="0.2">
      <c r="A528" s="6" t="s">
        <v>8</v>
      </c>
      <c r="B528" s="7" t="s">
        <v>9</v>
      </c>
      <c r="C528" s="7" t="s">
        <v>770</v>
      </c>
      <c r="D528" s="8">
        <v>1.1145515100000001</v>
      </c>
      <c r="E528" s="8">
        <v>1.6257289100000001</v>
      </c>
      <c r="F528" s="9" t="str">
        <f t="shared" si="4"/>
        <v>Direct</v>
      </c>
      <c r="G528" s="7" t="s">
        <v>771</v>
      </c>
    </row>
    <row r="529" spans="1:7" x14ac:dyDescent="0.2">
      <c r="A529" s="6" t="s">
        <v>8</v>
      </c>
      <c r="B529" s="7" t="s">
        <v>9</v>
      </c>
      <c r="C529" s="7" t="s">
        <v>772</v>
      </c>
      <c r="D529" s="8">
        <v>2.0994004300000002</v>
      </c>
      <c r="E529" s="8">
        <v>5.79596979</v>
      </c>
      <c r="F529" s="9" t="str">
        <f t="shared" si="4"/>
        <v>Direct</v>
      </c>
      <c r="G529" s="7" t="s">
        <v>35</v>
      </c>
    </row>
    <row r="530" spans="1:7" x14ac:dyDescent="0.2">
      <c r="A530" s="6" t="s">
        <v>8</v>
      </c>
      <c r="B530" s="7" t="s">
        <v>9</v>
      </c>
      <c r="C530" s="7" t="s">
        <v>773</v>
      </c>
      <c r="D530" s="8">
        <v>1.3459382799999999</v>
      </c>
      <c r="E530" s="8">
        <v>3.1792851099999999</v>
      </c>
      <c r="F530" s="9" t="str">
        <f t="shared" si="4"/>
        <v>Direct</v>
      </c>
      <c r="G530" s="7" t="s">
        <v>774</v>
      </c>
    </row>
    <row r="531" spans="1:7" x14ac:dyDescent="0.2">
      <c r="A531" s="6" t="s">
        <v>8</v>
      </c>
      <c r="B531" s="7" t="s">
        <v>9</v>
      </c>
      <c r="C531" s="7" t="s">
        <v>775</v>
      </c>
      <c r="D531" s="8">
        <v>-4.1003357999999999</v>
      </c>
      <c r="E531" s="8">
        <v>-1.6422677999999999</v>
      </c>
      <c r="F531" s="9" t="str">
        <f t="shared" si="4"/>
        <v>Direct</v>
      </c>
      <c r="G531" s="7" t="s">
        <v>776</v>
      </c>
    </row>
    <row r="532" spans="1:7" x14ac:dyDescent="0.2">
      <c r="A532" s="6" t="s">
        <v>8</v>
      </c>
      <c r="B532" s="7" t="s">
        <v>9</v>
      </c>
      <c r="C532" s="7" t="s">
        <v>777</v>
      </c>
      <c r="D532" s="8">
        <v>3.1217665800000001</v>
      </c>
      <c r="E532" s="8">
        <v>1.73388217</v>
      </c>
      <c r="F532" s="9" t="str">
        <f t="shared" si="4"/>
        <v>Direct</v>
      </c>
      <c r="G532" s="7" t="s">
        <v>11</v>
      </c>
    </row>
    <row r="533" spans="1:7" x14ac:dyDescent="0.2">
      <c r="A533" s="6" t="s">
        <v>8</v>
      </c>
      <c r="B533" s="7" t="s">
        <v>9</v>
      </c>
      <c r="C533" s="7" t="s">
        <v>778</v>
      </c>
      <c r="D533" s="8">
        <v>-2.2550669999999999</v>
      </c>
      <c r="E533" s="8">
        <v>-6.2194231999999996</v>
      </c>
      <c r="F533" s="9" t="str">
        <f t="shared" si="4"/>
        <v>Direct</v>
      </c>
      <c r="G533" s="7" t="s">
        <v>11</v>
      </c>
    </row>
    <row r="534" spans="1:7" x14ac:dyDescent="0.2">
      <c r="A534" s="6" t="s">
        <v>8</v>
      </c>
      <c r="B534" s="7" t="s">
        <v>9</v>
      </c>
      <c r="C534" s="7" t="s">
        <v>779</v>
      </c>
      <c r="D534" s="8">
        <v>1.7875059099999999</v>
      </c>
      <c r="E534" s="8">
        <v>2.43316138</v>
      </c>
      <c r="F534" s="9" t="str">
        <f t="shared" si="4"/>
        <v>Direct</v>
      </c>
      <c r="G534" s="7" t="s">
        <v>780</v>
      </c>
    </row>
    <row r="535" spans="1:7" x14ac:dyDescent="0.2">
      <c r="A535" s="6" t="s">
        <v>8</v>
      </c>
      <c r="B535" s="7" t="s">
        <v>9</v>
      </c>
      <c r="C535" s="7" t="s">
        <v>781</v>
      </c>
      <c r="D535" s="8">
        <v>-1.7310842</v>
      </c>
      <c r="E535" s="8">
        <v>-5.6245875999999999</v>
      </c>
      <c r="F535" s="9" t="str">
        <f t="shared" si="4"/>
        <v>Direct</v>
      </c>
      <c r="G535" s="7" t="s">
        <v>11</v>
      </c>
    </row>
    <row r="536" spans="1:7" x14ac:dyDescent="0.2">
      <c r="A536" s="6" t="s">
        <v>8</v>
      </c>
      <c r="B536" s="7" t="s">
        <v>9</v>
      </c>
      <c r="C536" s="7" t="s">
        <v>782</v>
      </c>
      <c r="D536" s="8">
        <v>-1.2407982</v>
      </c>
      <c r="E536" s="8">
        <v>-2.2122500999999999</v>
      </c>
      <c r="F536" s="9" t="str">
        <f t="shared" si="4"/>
        <v>Direct</v>
      </c>
      <c r="G536" s="7" t="s">
        <v>783</v>
      </c>
    </row>
    <row r="537" spans="1:7" x14ac:dyDescent="0.2">
      <c r="A537" s="6" t="s">
        <v>8</v>
      </c>
      <c r="B537" s="7" t="s">
        <v>9</v>
      </c>
      <c r="C537" s="7" t="s">
        <v>784</v>
      </c>
      <c r="D537" s="8">
        <v>-1.3237011000000001</v>
      </c>
      <c r="E537" s="8">
        <v>-1.4502177000000001</v>
      </c>
      <c r="F537" s="9" t="str">
        <f t="shared" si="4"/>
        <v>Direct</v>
      </c>
      <c r="G537" s="7" t="s">
        <v>785</v>
      </c>
    </row>
    <row r="538" spans="1:7" x14ac:dyDescent="0.2">
      <c r="A538" s="6" t="s">
        <v>8</v>
      </c>
      <c r="B538" s="7" t="s">
        <v>9</v>
      </c>
      <c r="C538" s="7" t="s">
        <v>786</v>
      </c>
      <c r="D538" s="8">
        <v>1.4422058799999999</v>
      </c>
      <c r="E538" s="8">
        <v>1.0539106600000001</v>
      </c>
      <c r="F538" s="9" t="str">
        <f t="shared" si="4"/>
        <v>Direct</v>
      </c>
      <c r="G538" s="7" t="s">
        <v>11</v>
      </c>
    </row>
    <row r="539" spans="1:7" x14ac:dyDescent="0.2">
      <c r="A539" s="6" t="s">
        <v>8</v>
      </c>
      <c r="B539" s="7" t="s">
        <v>9</v>
      </c>
      <c r="C539" s="7" t="s">
        <v>787</v>
      </c>
      <c r="D539" s="8">
        <v>1.5788409699999999</v>
      </c>
      <c r="E539" s="8">
        <v>1.8793061099999999</v>
      </c>
      <c r="F539" s="9" t="str">
        <f t="shared" si="4"/>
        <v>Direct</v>
      </c>
      <c r="G539" s="7" t="s">
        <v>245</v>
      </c>
    </row>
    <row r="540" spans="1:7" x14ac:dyDescent="0.2">
      <c r="A540" s="6" t="s">
        <v>8</v>
      </c>
      <c r="B540" s="7" t="s">
        <v>9</v>
      </c>
      <c r="C540" s="7" t="s">
        <v>788</v>
      </c>
      <c r="D540" s="8">
        <v>3.04148116</v>
      </c>
      <c r="E540" s="8">
        <v>1.5371285800000001</v>
      </c>
      <c r="F540" s="9" t="str">
        <f t="shared" si="4"/>
        <v>Direct</v>
      </c>
      <c r="G540" s="7" t="s">
        <v>789</v>
      </c>
    </row>
    <row r="541" spans="1:7" x14ac:dyDescent="0.2">
      <c r="A541" s="6" t="s">
        <v>8</v>
      </c>
      <c r="B541" s="7" t="s">
        <v>9</v>
      </c>
      <c r="C541" s="7" t="s">
        <v>790</v>
      </c>
      <c r="D541" s="7">
        <v>1.4580464900000001</v>
      </c>
      <c r="E541" s="7">
        <v>1.93578118</v>
      </c>
      <c r="F541" s="9" t="str">
        <f t="shared" si="4"/>
        <v>Direct</v>
      </c>
      <c r="G541" s="7" t="s">
        <v>11</v>
      </c>
    </row>
    <row r="542" spans="1:7" x14ac:dyDescent="0.2">
      <c r="A542" s="6" t="s">
        <v>8</v>
      </c>
      <c r="B542" s="7" t="s">
        <v>9</v>
      </c>
      <c r="C542" s="7" t="s">
        <v>791</v>
      </c>
      <c r="D542" s="7">
        <v>2.9193944300000001</v>
      </c>
      <c r="E542" s="7">
        <v>7.96425523</v>
      </c>
      <c r="F542" s="9" t="str">
        <f t="shared" si="4"/>
        <v>Direct</v>
      </c>
      <c r="G542" s="7" t="s">
        <v>11</v>
      </c>
    </row>
    <row r="543" spans="1:7" x14ac:dyDescent="0.2">
      <c r="A543" s="6" t="s">
        <v>8</v>
      </c>
      <c r="B543" s="7" t="s">
        <v>9</v>
      </c>
      <c r="C543" s="7" t="s">
        <v>792</v>
      </c>
      <c r="D543" s="7">
        <v>2.8592979700000001</v>
      </c>
      <c r="E543" s="7">
        <v>8.2221274100000006</v>
      </c>
      <c r="F543" s="9" t="str">
        <f t="shared" si="4"/>
        <v>Direct</v>
      </c>
      <c r="G543" s="7" t="s">
        <v>11</v>
      </c>
    </row>
    <row r="544" spans="1:7" x14ac:dyDescent="0.2">
      <c r="A544" s="6" t="s">
        <v>8</v>
      </c>
      <c r="B544" s="7" t="s">
        <v>9</v>
      </c>
      <c r="C544" s="7" t="s">
        <v>793</v>
      </c>
      <c r="D544" s="7">
        <v>-1.4189262</v>
      </c>
      <c r="E544" s="7">
        <v>-1.3116699999999999</v>
      </c>
      <c r="F544" s="9" t="str">
        <f t="shared" si="4"/>
        <v>Direct</v>
      </c>
      <c r="G544" s="7" t="s">
        <v>11</v>
      </c>
    </row>
    <row r="545" spans="1:7" x14ac:dyDescent="0.2">
      <c r="A545" s="6" t="s">
        <v>8</v>
      </c>
      <c r="B545" s="7" t="s">
        <v>9</v>
      </c>
      <c r="C545" s="7" t="s">
        <v>794</v>
      </c>
      <c r="D545" s="7">
        <v>2.3338506099999998</v>
      </c>
      <c r="E545" s="7">
        <v>2.1932424799999999</v>
      </c>
      <c r="F545" s="9" t="str">
        <f t="shared" si="4"/>
        <v>Direct</v>
      </c>
      <c r="G545" s="7" t="s">
        <v>35</v>
      </c>
    </row>
    <row r="546" spans="1:7" x14ac:dyDescent="0.2">
      <c r="A546" s="6" t="s">
        <v>8</v>
      </c>
      <c r="B546" s="7" t="s">
        <v>9</v>
      </c>
      <c r="C546" s="7" t="s">
        <v>795</v>
      </c>
      <c r="D546" s="7">
        <v>4.4817991299999997</v>
      </c>
      <c r="E546" s="7">
        <v>3.6408966</v>
      </c>
      <c r="F546" s="9" t="str">
        <f t="shared" si="4"/>
        <v>Direct</v>
      </c>
      <c r="G546" s="7" t="s">
        <v>796</v>
      </c>
    </row>
    <row r="547" spans="1:7" x14ac:dyDescent="0.2">
      <c r="A547" s="6" t="s">
        <v>8</v>
      </c>
      <c r="B547" s="7" t="s">
        <v>9</v>
      </c>
      <c r="C547" s="7" t="s">
        <v>797</v>
      </c>
      <c r="D547" s="7">
        <v>-4.0084828000000003</v>
      </c>
      <c r="E547" s="7">
        <v>-4.4120581999999997</v>
      </c>
      <c r="F547" s="9" t="str">
        <f t="shared" si="4"/>
        <v>Direct</v>
      </c>
      <c r="G547" s="7" t="s">
        <v>798</v>
      </c>
    </row>
    <row r="548" spans="1:7" x14ac:dyDescent="0.2">
      <c r="A548" s="6" t="s">
        <v>8</v>
      </c>
      <c r="B548" s="7" t="s">
        <v>9</v>
      </c>
      <c r="C548" s="7" t="s">
        <v>799</v>
      </c>
      <c r="D548" s="7">
        <v>-1.5295326</v>
      </c>
      <c r="E548" s="7">
        <v>-2.4140522</v>
      </c>
      <c r="F548" s="9" t="str">
        <f t="shared" si="4"/>
        <v>Direct</v>
      </c>
      <c r="G548" s="7" t="s">
        <v>800</v>
      </c>
    </row>
    <row r="549" spans="1:7" x14ac:dyDescent="0.2">
      <c r="A549" s="6" t="s">
        <v>8</v>
      </c>
      <c r="B549" s="7" t="s">
        <v>9</v>
      </c>
      <c r="C549" s="7" t="s">
        <v>801</v>
      </c>
      <c r="D549" s="7">
        <v>-1.4772263999999999</v>
      </c>
      <c r="E549" s="7">
        <v>-4.3774071000000001</v>
      </c>
      <c r="F549" s="9" t="str">
        <f t="shared" si="4"/>
        <v>Direct</v>
      </c>
      <c r="G549" s="7" t="s">
        <v>802</v>
      </c>
    </row>
    <row r="550" spans="1:7" x14ac:dyDescent="0.2">
      <c r="A550" s="6" t="s">
        <v>8</v>
      </c>
      <c r="B550" s="7" t="s">
        <v>9</v>
      </c>
      <c r="C550" s="7" t="s">
        <v>803</v>
      </c>
      <c r="D550" s="7">
        <v>-1.0632389</v>
      </c>
      <c r="E550" s="7">
        <v>-2.2694711999999999</v>
      </c>
      <c r="F550" s="9" t="str">
        <f t="shared" si="4"/>
        <v>Direct</v>
      </c>
      <c r="G550" s="7" t="s">
        <v>11</v>
      </c>
    </row>
    <row r="551" spans="1:7" x14ac:dyDescent="0.2">
      <c r="A551" s="6" t="s">
        <v>8</v>
      </c>
      <c r="B551" s="7" t="s">
        <v>9</v>
      </c>
      <c r="C551" s="7" t="s">
        <v>804</v>
      </c>
      <c r="D551" s="7">
        <v>1.7199251799999999</v>
      </c>
      <c r="E551" s="7">
        <v>2.7139449299999998</v>
      </c>
      <c r="F551" s="9" t="str">
        <f t="shared" si="4"/>
        <v>Direct</v>
      </c>
      <c r="G551" s="7" t="s">
        <v>11</v>
      </c>
    </row>
    <row r="552" spans="1:7" x14ac:dyDescent="0.2">
      <c r="A552" s="6" t="s">
        <v>8</v>
      </c>
      <c r="B552" s="7" t="s">
        <v>9</v>
      </c>
      <c r="C552" s="7" t="s">
        <v>805</v>
      </c>
      <c r="D552" s="7">
        <v>3.2847583500000002</v>
      </c>
      <c r="E552" s="7">
        <v>1.6786252800000001</v>
      </c>
      <c r="F552" s="9" t="str">
        <f t="shared" si="4"/>
        <v>Direct</v>
      </c>
      <c r="G552" s="7" t="s">
        <v>11</v>
      </c>
    </row>
    <row r="553" spans="1:7" x14ac:dyDescent="0.2">
      <c r="A553" s="6" t="s">
        <v>8</v>
      </c>
      <c r="B553" s="7" t="s">
        <v>9</v>
      </c>
      <c r="C553" s="7" t="s">
        <v>806</v>
      </c>
      <c r="D553" s="7">
        <v>-1.0268961999999999</v>
      </c>
      <c r="E553" s="7">
        <v>-1.8983467000000001</v>
      </c>
      <c r="F553" s="9" t="str">
        <f t="shared" si="4"/>
        <v>Direct</v>
      </c>
      <c r="G553" s="7" t="s">
        <v>807</v>
      </c>
    </row>
    <row r="554" spans="1:7" x14ac:dyDescent="0.2">
      <c r="A554" s="6" t="s">
        <v>8</v>
      </c>
      <c r="B554" s="7" t="s">
        <v>9</v>
      </c>
      <c r="C554" s="7" t="s">
        <v>808</v>
      </c>
      <c r="D554" s="7">
        <v>-1.1520484</v>
      </c>
      <c r="E554" s="7">
        <v>-3.2730883999999998</v>
      </c>
      <c r="F554" s="9" t="str">
        <f t="shared" si="4"/>
        <v>Direct</v>
      </c>
      <c r="G554" s="7" t="s">
        <v>809</v>
      </c>
    </row>
    <row r="555" spans="1:7" x14ac:dyDescent="0.2">
      <c r="A555" s="6" t="s">
        <v>8</v>
      </c>
      <c r="B555" s="7" t="s">
        <v>9</v>
      </c>
      <c r="C555" s="7" t="s">
        <v>810</v>
      </c>
      <c r="D555" s="7">
        <v>1.3224156199999999</v>
      </c>
      <c r="E555" s="7">
        <v>1.7073523799999999</v>
      </c>
      <c r="F555" s="9" t="str">
        <f t="shared" si="4"/>
        <v>Direct</v>
      </c>
      <c r="G555" s="7" t="s">
        <v>11</v>
      </c>
    </row>
    <row r="556" spans="1:7" x14ac:dyDescent="0.2">
      <c r="A556" s="6" t="s">
        <v>8</v>
      </c>
      <c r="B556" s="7" t="s">
        <v>9</v>
      </c>
      <c r="C556" s="7" t="s">
        <v>811</v>
      </c>
      <c r="D556" s="7">
        <v>-1.2112696000000001</v>
      </c>
      <c r="E556" s="7">
        <v>-2.0003370999999999</v>
      </c>
      <c r="F556" s="9" t="str">
        <f t="shared" si="4"/>
        <v>Direct</v>
      </c>
      <c r="G556" s="7" t="s">
        <v>812</v>
      </c>
    </row>
    <row r="557" spans="1:7" x14ac:dyDescent="0.2">
      <c r="A557" s="6" t="s">
        <v>8</v>
      </c>
      <c r="B557" s="7" t="s">
        <v>9</v>
      </c>
      <c r="C557" s="7" t="s">
        <v>813</v>
      </c>
      <c r="D557" s="7">
        <v>2.3198340900000001</v>
      </c>
      <c r="E557" s="7">
        <v>4.3025978499999997</v>
      </c>
      <c r="F557" s="9" t="str">
        <f t="shared" si="4"/>
        <v>Direct</v>
      </c>
      <c r="G557" s="7" t="s">
        <v>814</v>
      </c>
    </row>
    <row r="558" spans="1:7" x14ac:dyDescent="0.2">
      <c r="A558" s="6" t="s">
        <v>8</v>
      </c>
      <c r="B558" s="7" t="s">
        <v>9</v>
      </c>
      <c r="C558" s="7" t="s">
        <v>815</v>
      </c>
      <c r="D558" s="7">
        <v>-1.8498418000000001</v>
      </c>
      <c r="E558" s="7">
        <v>-3.7967184999999999</v>
      </c>
      <c r="F558" s="9" t="str">
        <f t="shared" si="4"/>
        <v>Direct</v>
      </c>
      <c r="G558" s="7" t="s">
        <v>11</v>
      </c>
    </row>
    <row r="559" spans="1:7" x14ac:dyDescent="0.2">
      <c r="A559" s="6" t="s">
        <v>8</v>
      </c>
      <c r="B559" s="7" t="s">
        <v>9</v>
      </c>
      <c r="C559" s="7" t="s">
        <v>816</v>
      </c>
      <c r="D559" s="7">
        <v>-1.4885451000000001</v>
      </c>
      <c r="E559" s="7">
        <v>-3.7188948000000002</v>
      </c>
      <c r="F559" s="9" t="str">
        <f t="shared" si="4"/>
        <v>Direct</v>
      </c>
      <c r="G559" s="7" t="s">
        <v>817</v>
      </c>
    </row>
    <row r="560" spans="1:7" x14ac:dyDescent="0.2">
      <c r="A560" s="6" t="s">
        <v>8</v>
      </c>
      <c r="B560" s="7" t="s">
        <v>9</v>
      </c>
      <c r="C560" s="7" t="s">
        <v>818</v>
      </c>
      <c r="D560" s="7">
        <v>1.55260602</v>
      </c>
      <c r="E560" s="7">
        <v>1.8286029699999999</v>
      </c>
      <c r="F560" s="9" t="str">
        <f t="shared" si="4"/>
        <v>Direct</v>
      </c>
      <c r="G560" s="7" t="s">
        <v>35</v>
      </c>
    </row>
    <row r="561" spans="1:7" x14ac:dyDescent="0.2">
      <c r="A561" s="6" t="s">
        <v>8</v>
      </c>
      <c r="B561" s="7" t="s">
        <v>9</v>
      </c>
      <c r="C561" s="7" t="s">
        <v>819</v>
      </c>
      <c r="D561" s="7">
        <v>5.3119726399999996</v>
      </c>
      <c r="E561" s="7">
        <v>7.2744563800000002</v>
      </c>
      <c r="F561" s="9" t="str">
        <f t="shared" si="4"/>
        <v>Direct</v>
      </c>
      <c r="G561" s="7" t="s">
        <v>11</v>
      </c>
    </row>
    <row r="562" spans="1:7" x14ac:dyDescent="0.2">
      <c r="A562" s="6" t="s">
        <v>8</v>
      </c>
      <c r="B562" s="7" t="s">
        <v>9</v>
      </c>
      <c r="C562" s="7" t="s">
        <v>820</v>
      </c>
      <c r="D562" s="7">
        <v>1.8927358299999999</v>
      </c>
      <c r="E562" s="7">
        <v>2.4184783099999998</v>
      </c>
      <c r="F562" s="9" t="str">
        <f t="shared" si="4"/>
        <v>Direct</v>
      </c>
      <c r="G562" s="7" t="s">
        <v>11</v>
      </c>
    </row>
    <row r="563" spans="1:7" x14ac:dyDescent="0.2">
      <c r="A563" s="6" t="s">
        <v>8</v>
      </c>
      <c r="B563" s="7" t="s">
        <v>9</v>
      </c>
      <c r="C563" s="7" t="s">
        <v>821</v>
      </c>
      <c r="D563" s="7">
        <v>-2.300141</v>
      </c>
      <c r="E563" s="7">
        <v>-1.6334191</v>
      </c>
      <c r="F563" s="9" t="str">
        <f t="shared" si="4"/>
        <v>Direct</v>
      </c>
      <c r="G563" s="7" t="s">
        <v>11</v>
      </c>
    </row>
    <row r="564" spans="1:7" x14ac:dyDescent="0.2">
      <c r="A564" s="6" t="s">
        <v>8</v>
      </c>
      <c r="B564" s="7" t="s">
        <v>9</v>
      </c>
      <c r="C564" s="7" t="s">
        <v>822</v>
      </c>
      <c r="D564" s="7">
        <v>-2.4441027000000002</v>
      </c>
      <c r="E564" s="7">
        <v>-2.530497</v>
      </c>
      <c r="F564" s="9" t="str">
        <f t="shared" si="4"/>
        <v>Direct</v>
      </c>
      <c r="G564" s="7" t="s">
        <v>182</v>
      </c>
    </row>
    <row r="565" spans="1:7" x14ac:dyDescent="0.2">
      <c r="A565" s="6" t="s">
        <v>8</v>
      </c>
      <c r="B565" s="7" t="s">
        <v>9</v>
      </c>
      <c r="C565" s="7" t="s">
        <v>823</v>
      </c>
      <c r="D565" s="7">
        <v>-3.0512381</v>
      </c>
      <c r="E565" s="7">
        <v>-3.0239606000000001</v>
      </c>
      <c r="F565" s="9" t="str">
        <f t="shared" si="4"/>
        <v>Direct</v>
      </c>
      <c r="G565" s="7" t="s">
        <v>11</v>
      </c>
    </row>
    <row r="566" spans="1:7" x14ac:dyDescent="0.2">
      <c r="A566" s="6" t="s">
        <v>8</v>
      </c>
      <c r="B566" s="7" t="s">
        <v>9</v>
      </c>
      <c r="C566" s="7" t="s">
        <v>824</v>
      </c>
      <c r="D566" s="7">
        <v>1.9722036700000001</v>
      </c>
      <c r="E566" s="7">
        <v>5.9858869300000004</v>
      </c>
      <c r="F566" s="9" t="str">
        <f t="shared" si="4"/>
        <v>Direct</v>
      </c>
      <c r="G566" s="7" t="s">
        <v>11</v>
      </c>
    </row>
    <row r="567" spans="1:7" x14ac:dyDescent="0.2">
      <c r="A567" s="6" t="s">
        <v>8</v>
      </c>
      <c r="B567" s="7" t="s">
        <v>9</v>
      </c>
      <c r="C567" s="7" t="s">
        <v>825</v>
      </c>
      <c r="D567" s="7">
        <v>1.4112518300000001</v>
      </c>
      <c r="E567" s="7">
        <v>3.7680594799999998</v>
      </c>
      <c r="F567" s="9" t="str">
        <f t="shared" si="4"/>
        <v>Direct</v>
      </c>
      <c r="G567" s="7" t="s">
        <v>826</v>
      </c>
    </row>
    <row r="568" spans="1:7" x14ac:dyDescent="0.2">
      <c r="A568" s="6" t="s">
        <v>8</v>
      </c>
      <c r="B568" s="7" t="s">
        <v>9</v>
      </c>
      <c r="C568" s="7" t="s">
        <v>827</v>
      </c>
      <c r="D568" s="7">
        <v>1.9748457800000001</v>
      </c>
      <c r="E568" s="7">
        <v>2.80534463</v>
      </c>
      <c r="F568" s="9" t="str">
        <f t="shared" si="4"/>
        <v>Direct</v>
      </c>
      <c r="G568" s="7" t="s">
        <v>828</v>
      </c>
    </row>
    <row r="569" spans="1:7" x14ac:dyDescent="0.2">
      <c r="A569" s="6" t="s">
        <v>8</v>
      </c>
      <c r="B569" s="7" t="s">
        <v>9</v>
      </c>
      <c r="C569" s="7" t="s">
        <v>829</v>
      </c>
      <c r="D569" s="7">
        <v>-3.2514235999999999</v>
      </c>
      <c r="E569" s="7">
        <v>-1.8023083</v>
      </c>
      <c r="F569" s="9" t="str">
        <f t="shared" si="4"/>
        <v>Direct</v>
      </c>
      <c r="G569" s="7" t="s">
        <v>830</v>
      </c>
    </row>
    <row r="570" spans="1:7" x14ac:dyDescent="0.2">
      <c r="A570" s="6" t="s">
        <v>8</v>
      </c>
      <c r="B570" s="7" t="s">
        <v>9</v>
      </c>
      <c r="C570" s="7" t="s">
        <v>831</v>
      </c>
      <c r="D570" s="7">
        <v>2.1812181599999998</v>
      </c>
      <c r="E570" s="7">
        <v>3.5903424300000002</v>
      </c>
      <c r="F570" s="9" t="str">
        <f t="shared" si="4"/>
        <v>Direct</v>
      </c>
      <c r="G570" s="7" t="s">
        <v>832</v>
      </c>
    </row>
    <row r="571" spans="1:7" x14ac:dyDescent="0.2">
      <c r="A571" s="6" t="s">
        <v>8</v>
      </c>
      <c r="B571" s="7" t="s">
        <v>9</v>
      </c>
      <c r="C571" s="7" t="s">
        <v>833</v>
      </c>
      <c r="D571" s="7">
        <v>1.2422661800000001</v>
      </c>
      <c r="E571" s="7">
        <v>2.4385026000000001</v>
      </c>
      <c r="F571" s="9" t="str">
        <f t="shared" si="4"/>
        <v>Direct</v>
      </c>
      <c r="G571" s="7" t="s">
        <v>276</v>
      </c>
    </row>
    <row r="572" spans="1:7" x14ac:dyDescent="0.2">
      <c r="A572" s="6" t="s">
        <v>8</v>
      </c>
      <c r="B572" s="7" t="s">
        <v>9</v>
      </c>
      <c r="C572" s="7" t="s">
        <v>834</v>
      </c>
      <c r="D572" s="7">
        <v>-2.4948201000000001</v>
      </c>
      <c r="E572" s="7">
        <v>-5.0192598999999998</v>
      </c>
      <c r="F572" s="9" t="str">
        <f t="shared" si="4"/>
        <v>Direct</v>
      </c>
      <c r="G572" s="7" t="s">
        <v>11</v>
      </c>
    </row>
    <row r="573" spans="1:7" x14ac:dyDescent="0.2">
      <c r="A573" s="6" t="s">
        <v>8</v>
      </c>
      <c r="B573" s="7" t="s">
        <v>9</v>
      </c>
      <c r="C573" s="7" t="s">
        <v>835</v>
      </c>
      <c r="D573" s="7">
        <v>4.3264405799999999</v>
      </c>
      <c r="E573" s="7">
        <v>5.8192181600000001</v>
      </c>
      <c r="F573" s="9" t="str">
        <f t="shared" si="4"/>
        <v>Direct</v>
      </c>
      <c r="G573" s="7" t="s">
        <v>836</v>
      </c>
    </row>
    <row r="574" spans="1:7" x14ac:dyDescent="0.2">
      <c r="A574" s="6" t="s">
        <v>8</v>
      </c>
      <c r="B574" s="7" t="s">
        <v>9</v>
      </c>
      <c r="C574" s="7" t="s">
        <v>837</v>
      </c>
      <c r="D574" s="7">
        <v>1.35235281</v>
      </c>
      <c r="E574" s="7">
        <v>-1.6615437</v>
      </c>
      <c r="F574" s="9" t="str">
        <f t="shared" si="4"/>
        <v>Inverse</v>
      </c>
      <c r="G574" s="7" t="s">
        <v>838</v>
      </c>
    </row>
    <row r="575" spans="1:7" x14ac:dyDescent="0.2">
      <c r="A575" s="6" t="s">
        <v>8</v>
      </c>
      <c r="B575" s="7" t="s">
        <v>9</v>
      </c>
      <c r="C575" s="7" t="s">
        <v>839</v>
      </c>
      <c r="D575" s="7">
        <v>-1.2566820999999999</v>
      </c>
      <c r="E575" s="7">
        <v>-4.7110203999999998</v>
      </c>
      <c r="F575" s="9" t="str">
        <f t="shared" si="4"/>
        <v>Direct</v>
      </c>
      <c r="G575" s="7" t="s">
        <v>11</v>
      </c>
    </row>
    <row r="576" spans="1:7" x14ac:dyDescent="0.2">
      <c r="A576" s="6" t="s">
        <v>8</v>
      </c>
      <c r="B576" s="7" t="s">
        <v>9</v>
      </c>
      <c r="C576" s="7" t="s">
        <v>840</v>
      </c>
      <c r="D576" s="7">
        <v>1.86257129</v>
      </c>
      <c r="E576" s="7">
        <v>1.52220639</v>
      </c>
      <c r="F576" s="9" t="str">
        <f t="shared" si="4"/>
        <v>Direct</v>
      </c>
      <c r="G576" s="7" t="s">
        <v>841</v>
      </c>
    </row>
    <row r="577" spans="1:7" x14ac:dyDescent="0.2">
      <c r="A577" s="6" t="s">
        <v>8</v>
      </c>
      <c r="B577" s="7" t="s">
        <v>9</v>
      </c>
      <c r="C577" s="7" t="s">
        <v>842</v>
      </c>
      <c r="D577" s="7">
        <v>1.65230941</v>
      </c>
      <c r="E577" s="7">
        <v>2.3747545099999998</v>
      </c>
      <c r="F577" s="9" t="str">
        <f t="shared" si="4"/>
        <v>Direct</v>
      </c>
      <c r="G577" s="7" t="s">
        <v>11</v>
      </c>
    </row>
    <row r="578" spans="1:7" x14ac:dyDescent="0.2">
      <c r="A578" s="6" t="s">
        <v>8</v>
      </c>
      <c r="B578" s="7" t="s">
        <v>9</v>
      </c>
      <c r="C578" s="7" t="s">
        <v>843</v>
      </c>
      <c r="D578" s="7">
        <v>-3.1115849</v>
      </c>
      <c r="E578" s="7">
        <v>-2.5595295</v>
      </c>
      <c r="F578" s="9" t="str">
        <f t="shared" si="4"/>
        <v>Direct</v>
      </c>
      <c r="G578" s="7" t="s">
        <v>11</v>
      </c>
    </row>
    <row r="579" spans="1:7" x14ac:dyDescent="0.2">
      <c r="A579" s="6" t="s">
        <v>8</v>
      </c>
      <c r="B579" s="7" t="s">
        <v>9</v>
      </c>
      <c r="C579" s="7" t="s">
        <v>844</v>
      </c>
      <c r="D579" s="7">
        <v>-1.905972</v>
      </c>
      <c r="E579" s="7">
        <v>-2.0310743000000002</v>
      </c>
      <c r="F579" s="9" t="str">
        <f t="shared" si="4"/>
        <v>Direct</v>
      </c>
      <c r="G579" s="7" t="s">
        <v>845</v>
      </c>
    </row>
    <row r="580" spans="1:7" x14ac:dyDescent="0.2">
      <c r="A580" s="6" t="s">
        <v>8</v>
      </c>
      <c r="B580" s="7" t="s">
        <v>9</v>
      </c>
      <c r="C580" s="7" t="s">
        <v>846</v>
      </c>
      <c r="D580" s="7">
        <v>2.7827847299999999</v>
      </c>
      <c r="E580" s="7">
        <v>3.9994237899999998</v>
      </c>
      <c r="F580" s="9" t="str">
        <f t="shared" si="4"/>
        <v>Direct</v>
      </c>
      <c r="G580" s="7" t="s">
        <v>847</v>
      </c>
    </row>
    <row r="581" spans="1:7" x14ac:dyDescent="0.2">
      <c r="A581" s="6" t="s">
        <v>8</v>
      </c>
      <c r="B581" s="7" t="s">
        <v>9</v>
      </c>
      <c r="C581" s="7" t="s">
        <v>848</v>
      </c>
      <c r="D581" s="7">
        <v>-1.4835404999999999</v>
      </c>
      <c r="E581" s="7">
        <v>-2.8105007</v>
      </c>
      <c r="F581" s="9" t="str">
        <f t="shared" si="4"/>
        <v>Direct</v>
      </c>
      <c r="G581" s="7" t="s">
        <v>849</v>
      </c>
    </row>
    <row r="582" spans="1:7" x14ac:dyDescent="0.2">
      <c r="A582" s="6" t="s">
        <v>8</v>
      </c>
      <c r="B582" s="7" t="s">
        <v>9</v>
      </c>
      <c r="C582" s="7" t="s">
        <v>850</v>
      </c>
      <c r="D582" s="7">
        <v>-2.300141</v>
      </c>
      <c r="E582" s="7">
        <v>-2.24024</v>
      </c>
      <c r="F582" s="9" t="str">
        <f t="shared" si="4"/>
        <v>Direct</v>
      </c>
      <c r="G582" s="7" t="s">
        <v>851</v>
      </c>
    </row>
    <row r="583" spans="1:7" x14ac:dyDescent="0.2">
      <c r="A583" s="6" t="s">
        <v>8</v>
      </c>
      <c r="B583" s="7" t="s">
        <v>9</v>
      </c>
      <c r="C583" s="7" t="s">
        <v>852</v>
      </c>
      <c r="D583" s="7">
        <v>1.0377814299999999</v>
      </c>
      <c r="E583" s="7">
        <v>1.1739423899999999</v>
      </c>
      <c r="F583" s="9" t="str">
        <f t="shared" si="4"/>
        <v>Direct</v>
      </c>
      <c r="G583" s="7" t="s">
        <v>11</v>
      </c>
    </row>
    <row r="584" spans="1:7" x14ac:dyDescent="0.2">
      <c r="A584" s="6" t="s">
        <v>8</v>
      </c>
      <c r="B584" s="7" t="s">
        <v>9</v>
      </c>
      <c r="C584" s="7" t="s">
        <v>853</v>
      </c>
      <c r="D584" s="7">
        <v>-5.8022330000000002</v>
      </c>
      <c r="E584" s="7">
        <v>-3.7904217999999998</v>
      </c>
      <c r="F584" s="9" t="str">
        <f t="shared" si="4"/>
        <v>Direct</v>
      </c>
      <c r="G584" s="7" t="s">
        <v>11</v>
      </c>
    </row>
    <row r="585" spans="1:7" x14ac:dyDescent="0.2">
      <c r="A585" s="6" t="s">
        <v>8</v>
      </c>
      <c r="B585" s="7" t="s">
        <v>9</v>
      </c>
      <c r="C585" s="7" t="s">
        <v>854</v>
      </c>
      <c r="D585" s="7">
        <v>4.2161153799999997</v>
      </c>
      <c r="E585" s="7">
        <v>3.3083505299999998</v>
      </c>
      <c r="F585" s="9" t="str">
        <f t="shared" si="4"/>
        <v>Direct</v>
      </c>
      <c r="G585" s="7" t="s">
        <v>855</v>
      </c>
    </row>
    <row r="586" spans="1:7" x14ac:dyDescent="0.2">
      <c r="A586" s="6" t="s">
        <v>8</v>
      </c>
      <c r="B586" s="7" t="s">
        <v>9</v>
      </c>
      <c r="C586" s="7" t="s">
        <v>856</v>
      </c>
      <c r="D586" s="7">
        <v>1.8563342899999999</v>
      </c>
      <c r="E586" s="7">
        <v>2.7539665499999999</v>
      </c>
      <c r="F586" s="9" t="str">
        <f t="shared" si="4"/>
        <v>Direct</v>
      </c>
      <c r="G586" s="7" t="s">
        <v>857</v>
      </c>
    </row>
    <row r="587" spans="1:7" x14ac:dyDescent="0.2">
      <c r="A587" s="6" t="s">
        <v>8</v>
      </c>
      <c r="B587" s="7" t="s">
        <v>9</v>
      </c>
      <c r="C587" s="7" t="s">
        <v>858</v>
      </c>
      <c r="D587" s="7">
        <v>-2.9383088000000002</v>
      </c>
      <c r="E587" s="7">
        <v>-2.8311261999999999</v>
      </c>
      <c r="F587" s="9" t="str">
        <f t="shared" si="4"/>
        <v>Direct</v>
      </c>
      <c r="G587" s="7" t="s">
        <v>849</v>
      </c>
    </row>
    <row r="588" spans="1:7" x14ac:dyDescent="0.2">
      <c r="A588" s="6" t="s">
        <v>8</v>
      </c>
      <c r="B588" s="7" t="s">
        <v>9</v>
      </c>
      <c r="C588" s="7" t="s">
        <v>859</v>
      </c>
      <c r="D588" s="7">
        <v>1.7829007299999999</v>
      </c>
      <c r="E588" s="7">
        <v>10.244050100000001</v>
      </c>
      <c r="F588" s="9" t="str">
        <f t="shared" si="4"/>
        <v>Direct</v>
      </c>
      <c r="G588" s="7" t="s">
        <v>11</v>
      </c>
    </row>
    <row r="589" spans="1:7" x14ac:dyDescent="0.2">
      <c r="A589" s="6" t="s">
        <v>8</v>
      </c>
      <c r="B589" s="7" t="s">
        <v>9</v>
      </c>
      <c r="C589" s="7" t="s">
        <v>860</v>
      </c>
      <c r="D589" s="7">
        <v>2.3978953199999999</v>
      </c>
      <c r="E589" s="7">
        <v>2.2055654699999998</v>
      </c>
      <c r="F589" s="9" t="str">
        <f t="shared" si="4"/>
        <v>Direct</v>
      </c>
      <c r="G589" s="7" t="s">
        <v>861</v>
      </c>
    </row>
    <row r="590" spans="1:7" x14ac:dyDescent="0.2">
      <c r="A590" s="6" t="s">
        <v>8</v>
      </c>
      <c r="B590" s="7" t="s">
        <v>9</v>
      </c>
      <c r="C590" s="7" t="s">
        <v>862</v>
      </c>
      <c r="D590" s="7">
        <v>-1.2959233999999999</v>
      </c>
      <c r="E590" s="7">
        <v>-1.0744218999999999</v>
      </c>
      <c r="F590" s="9" t="str">
        <f t="shared" si="4"/>
        <v>Direct</v>
      </c>
      <c r="G590" s="7" t="s">
        <v>863</v>
      </c>
    </row>
    <row r="591" spans="1:7" x14ac:dyDescent="0.2">
      <c r="A591" s="6" t="s">
        <v>8</v>
      </c>
      <c r="B591" s="7" t="s">
        <v>9</v>
      </c>
      <c r="C591" s="7" t="s">
        <v>864</v>
      </c>
      <c r="D591" s="7">
        <v>-2.7827847000000001</v>
      </c>
      <c r="E591" s="7">
        <v>-13.618753999999999</v>
      </c>
      <c r="F591" s="9" t="str">
        <f t="shared" si="4"/>
        <v>Direct</v>
      </c>
      <c r="G591" s="7" t="s">
        <v>865</v>
      </c>
    </row>
    <row r="592" spans="1:7" x14ac:dyDescent="0.2">
      <c r="A592" s="6" t="s">
        <v>8</v>
      </c>
      <c r="B592" s="7" t="s">
        <v>9</v>
      </c>
      <c r="C592" s="7" t="s">
        <v>866</v>
      </c>
      <c r="D592" s="7">
        <v>1.0640443500000001</v>
      </c>
      <c r="E592" s="7">
        <v>2.8745631199999999</v>
      </c>
      <c r="F592" s="9" t="str">
        <f t="shared" si="4"/>
        <v>Direct</v>
      </c>
      <c r="G592" s="7" t="s">
        <v>867</v>
      </c>
    </row>
    <row r="593" spans="1:7" x14ac:dyDescent="0.2">
      <c r="A593" s="6" t="s">
        <v>8</v>
      </c>
      <c r="B593" s="7" t="s">
        <v>9</v>
      </c>
      <c r="C593" s="7" t="s">
        <v>868</v>
      </c>
      <c r="D593" s="7">
        <v>1.6396993</v>
      </c>
      <c r="E593" s="7">
        <v>3.2372439900000001</v>
      </c>
      <c r="F593" s="9" t="str">
        <f t="shared" si="4"/>
        <v>Direct</v>
      </c>
      <c r="G593" s="7" t="s">
        <v>11</v>
      </c>
    </row>
    <row r="594" spans="1:7" x14ac:dyDescent="0.2">
      <c r="A594" s="6" t="s">
        <v>8</v>
      </c>
      <c r="B594" s="7" t="s">
        <v>9</v>
      </c>
      <c r="C594" s="7" t="s">
        <v>869</v>
      </c>
      <c r="D594" s="7">
        <v>2.54592413</v>
      </c>
      <c r="E594" s="7">
        <v>8.0205093900000008</v>
      </c>
      <c r="F594" s="9" t="str">
        <f t="shared" si="4"/>
        <v>Direct</v>
      </c>
      <c r="G594" s="7" t="s">
        <v>870</v>
      </c>
    </row>
    <row r="595" spans="1:7" x14ac:dyDescent="0.2">
      <c r="A595" s="6" t="s">
        <v>8</v>
      </c>
      <c r="B595" s="7" t="s">
        <v>9</v>
      </c>
      <c r="C595" s="7" t="s">
        <v>871</v>
      </c>
      <c r="D595" s="7">
        <v>1.4158487900000001</v>
      </c>
      <c r="E595" s="7">
        <v>3.4594420600000002</v>
      </c>
      <c r="F595" s="9" t="str">
        <f t="shared" si="4"/>
        <v>Direct</v>
      </c>
      <c r="G595" s="7" t="s">
        <v>872</v>
      </c>
    </row>
    <row r="596" spans="1:7" x14ac:dyDescent="0.2">
      <c r="A596" s="6" t="s">
        <v>8</v>
      </c>
      <c r="B596" s="7" t="s">
        <v>9</v>
      </c>
      <c r="C596" s="7" t="s">
        <v>873</v>
      </c>
      <c r="D596" s="7">
        <v>1.00729947</v>
      </c>
      <c r="E596" s="7">
        <v>3.7260874199999998</v>
      </c>
      <c r="F596" s="9" t="str">
        <f t="shared" si="4"/>
        <v>Direct</v>
      </c>
      <c r="G596" s="7" t="s">
        <v>11</v>
      </c>
    </row>
    <row r="597" spans="1:7" x14ac:dyDescent="0.2">
      <c r="A597" s="6" t="s">
        <v>8</v>
      </c>
      <c r="B597" s="7" t="s">
        <v>9</v>
      </c>
      <c r="C597" s="7" t="s">
        <v>874</v>
      </c>
      <c r="D597" s="7">
        <v>-1.791326</v>
      </c>
      <c r="E597" s="7">
        <v>-2.7382323999999998</v>
      </c>
      <c r="F597" s="9" t="str">
        <f t="shared" si="4"/>
        <v>Direct</v>
      </c>
      <c r="G597" s="7" t="s">
        <v>875</v>
      </c>
    </row>
    <row r="598" spans="1:7" x14ac:dyDescent="0.2">
      <c r="A598" s="6" t="s">
        <v>8</v>
      </c>
      <c r="B598" s="7" t="s">
        <v>9</v>
      </c>
      <c r="C598" s="7" t="s">
        <v>876</v>
      </c>
      <c r="D598" s="7">
        <v>1.5707154000000001</v>
      </c>
      <c r="E598" s="7">
        <v>4.8906369300000003</v>
      </c>
      <c r="F598" s="9" t="str">
        <f t="shared" si="4"/>
        <v>Direct</v>
      </c>
      <c r="G598" s="7" t="s">
        <v>877</v>
      </c>
    </row>
    <row r="599" spans="1:7" x14ac:dyDescent="0.2">
      <c r="A599" s="6" t="s">
        <v>8</v>
      </c>
      <c r="B599" s="7" t="s">
        <v>9</v>
      </c>
      <c r="C599" s="7" t="s">
        <v>878</v>
      </c>
      <c r="D599" s="7">
        <v>1.3651442300000001</v>
      </c>
      <c r="E599" s="7">
        <v>1.60298454</v>
      </c>
      <c r="F599" s="9" t="str">
        <f t="shared" si="4"/>
        <v>Direct</v>
      </c>
      <c r="G599" s="7" t="s">
        <v>11</v>
      </c>
    </row>
    <row r="600" spans="1:7" x14ac:dyDescent="0.2">
      <c r="A600" s="6" t="s">
        <v>8</v>
      </c>
      <c r="B600" s="7" t="s">
        <v>9</v>
      </c>
      <c r="C600" s="7" t="s">
        <v>879</v>
      </c>
      <c r="D600" s="7">
        <v>1.40761326</v>
      </c>
      <c r="E600" s="7">
        <v>1.9164673000000001</v>
      </c>
      <c r="F600" s="9" t="str">
        <f t="shared" si="4"/>
        <v>Direct</v>
      </c>
      <c r="G600" s="7" t="s">
        <v>880</v>
      </c>
    </row>
    <row r="601" spans="1:7" x14ac:dyDescent="0.2">
      <c r="A601" s="6" t="s">
        <v>8</v>
      </c>
      <c r="B601" s="7" t="s">
        <v>9</v>
      </c>
      <c r="C601" s="7" t="s">
        <v>881</v>
      </c>
      <c r="D601" s="7">
        <v>1.90426696</v>
      </c>
      <c r="E601" s="7">
        <v>-2.1962104</v>
      </c>
      <c r="F601" s="9" t="str">
        <f t="shared" si="4"/>
        <v>Inverse</v>
      </c>
      <c r="G601" s="7" t="s">
        <v>58</v>
      </c>
    </row>
    <row r="602" spans="1:7" x14ac:dyDescent="0.2">
      <c r="A602" s="6" t="s">
        <v>8</v>
      </c>
      <c r="B602" s="7" t="s">
        <v>9</v>
      </c>
      <c r="C602" s="7" t="s">
        <v>882</v>
      </c>
      <c r="D602" s="7">
        <v>2.4327905300000001</v>
      </c>
      <c r="E602" s="7">
        <v>4.3549582200000003</v>
      </c>
      <c r="F602" s="9" t="str">
        <f t="shared" si="4"/>
        <v>Direct</v>
      </c>
      <c r="G602" s="7" t="s">
        <v>883</v>
      </c>
    </row>
    <row r="603" spans="1:7" x14ac:dyDescent="0.2">
      <c r="A603" s="6" t="s">
        <v>8</v>
      </c>
      <c r="B603" s="7" t="s">
        <v>9</v>
      </c>
      <c r="C603" s="7" t="s">
        <v>884</v>
      </c>
      <c r="D603" s="7">
        <v>-1.4798602000000001</v>
      </c>
      <c r="E603" s="7">
        <v>-2.8470276999999999</v>
      </c>
      <c r="F603" s="9" t="str">
        <f t="shared" si="4"/>
        <v>Direct</v>
      </c>
      <c r="G603" s="7" t="s">
        <v>11</v>
      </c>
    </row>
    <row r="604" spans="1:7" x14ac:dyDescent="0.2">
      <c r="A604" s="6" t="s">
        <v>8</v>
      </c>
      <c r="B604" s="7" t="s">
        <v>9</v>
      </c>
      <c r="C604" s="7" t="s">
        <v>885</v>
      </c>
      <c r="D604" s="7">
        <v>5.5663284800000001</v>
      </c>
      <c r="E604" s="7">
        <v>19.044891499999999</v>
      </c>
      <c r="F604" s="9" t="str">
        <f t="shared" si="4"/>
        <v>Direct</v>
      </c>
      <c r="G604" s="7" t="s">
        <v>886</v>
      </c>
    </row>
    <row r="605" spans="1:7" x14ac:dyDescent="0.2">
      <c r="A605" s="6" t="s">
        <v>8</v>
      </c>
      <c r="B605" s="7" t="s">
        <v>9</v>
      </c>
      <c r="C605" s="7" t="s">
        <v>887</v>
      </c>
      <c r="D605" s="7">
        <v>2.9486555000000001</v>
      </c>
      <c r="E605" s="7">
        <v>1.72202276</v>
      </c>
      <c r="F605" s="9" t="str">
        <f t="shared" si="4"/>
        <v>Direct</v>
      </c>
      <c r="G605" s="7" t="s">
        <v>11</v>
      </c>
    </row>
    <row r="606" spans="1:7" x14ac:dyDescent="0.2">
      <c r="A606" s="6" t="s">
        <v>8</v>
      </c>
      <c r="B606" s="7" t="s">
        <v>9</v>
      </c>
      <c r="C606" s="7" t="s">
        <v>888</v>
      </c>
      <c r="D606" s="7">
        <v>-1.0032633</v>
      </c>
      <c r="E606" s="7">
        <v>-5.2760829999999999</v>
      </c>
      <c r="F606" s="9" t="str">
        <f t="shared" si="4"/>
        <v>Direct</v>
      </c>
      <c r="G606" s="7" t="s">
        <v>60</v>
      </c>
    </row>
    <row r="607" spans="1:7" x14ac:dyDescent="0.2">
      <c r="A607" s="6" t="s">
        <v>8</v>
      </c>
      <c r="B607" s="7" t="s">
        <v>9</v>
      </c>
      <c r="C607" s="7" t="s">
        <v>889</v>
      </c>
      <c r="D607" s="7">
        <v>1.6995032800000001</v>
      </c>
      <c r="E607" s="7">
        <v>2.6945609199999998</v>
      </c>
      <c r="F607" s="9" t="str">
        <f t="shared" si="4"/>
        <v>Direct</v>
      </c>
      <c r="G607" s="7" t="s">
        <v>890</v>
      </c>
    </row>
    <row r="608" spans="1:7" x14ac:dyDescent="0.2">
      <c r="A608" s="6" t="s">
        <v>8</v>
      </c>
      <c r="B608" s="7" t="s">
        <v>9</v>
      </c>
      <c r="C608" s="7" t="s">
        <v>891</v>
      </c>
      <c r="D608" s="7">
        <v>4.1788827099999999</v>
      </c>
      <c r="E608" s="7">
        <v>18.4915387</v>
      </c>
      <c r="F608" s="9" t="str">
        <f t="shared" si="4"/>
        <v>Direct</v>
      </c>
      <c r="G608" s="7" t="s">
        <v>11</v>
      </c>
    </row>
    <row r="609" spans="1:7" x14ac:dyDescent="0.2">
      <c r="A609" s="6" t="s">
        <v>8</v>
      </c>
      <c r="B609" s="7" t="s">
        <v>9</v>
      </c>
      <c r="C609" s="7" t="s">
        <v>892</v>
      </c>
      <c r="D609" s="7">
        <v>2.68582294</v>
      </c>
      <c r="E609" s="7">
        <v>10.259726000000001</v>
      </c>
      <c r="F609" s="9" t="str">
        <f t="shared" si="4"/>
        <v>Direct</v>
      </c>
      <c r="G609" s="7" t="s">
        <v>11</v>
      </c>
    </row>
    <row r="610" spans="1:7" x14ac:dyDescent="0.2">
      <c r="A610" s="6" t="s">
        <v>8</v>
      </c>
      <c r="B610" s="7" t="s">
        <v>9</v>
      </c>
      <c r="C610" s="7" t="s">
        <v>893</v>
      </c>
      <c r="D610" s="7">
        <v>-1.5942475</v>
      </c>
      <c r="E610" s="7">
        <v>-4.8387235999999998</v>
      </c>
      <c r="F610" s="9" t="str">
        <f t="shared" si="4"/>
        <v>Direct</v>
      </c>
      <c r="G610" s="7" t="s">
        <v>11</v>
      </c>
    </row>
    <row r="611" spans="1:7" x14ac:dyDescent="0.2">
      <c r="A611" s="6" t="s">
        <v>8</v>
      </c>
      <c r="B611" s="7" t="s">
        <v>9</v>
      </c>
      <c r="C611" s="7" t="s">
        <v>894</v>
      </c>
      <c r="D611" s="7">
        <v>1.2145049800000001</v>
      </c>
      <c r="E611" s="7">
        <v>5.9593758699999997</v>
      </c>
      <c r="F611" s="9" t="str">
        <f t="shared" si="4"/>
        <v>Direct</v>
      </c>
      <c r="G611" s="7" t="s">
        <v>11</v>
      </c>
    </row>
    <row r="612" spans="1:7" x14ac:dyDescent="0.2">
      <c r="A612" s="6" t="s">
        <v>8</v>
      </c>
      <c r="B612" s="7" t="s">
        <v>9</v>
      </c>
      <c r="C612" s="7" t="s">
        <v>895</v>
      </c>
      <c r="D612" s="7">
        <v>2.3338506099999998</v>
      </c>
      <c r="E612" s="7">
        <v>7.7317887299999999</v>
      </c>
      <c r="F612" s="9" t="str">
        <f t="shared" si="4"/>
        <v>Direct</v>
      </c>
      <c r="G612" s="7" t="s">
        <v>11</v>
      </c>
    </row>
    <row r="613" spans="1:7" x14ac:dyDescent="0.2">
      <c r="A613" s="6" t="s">
        <v>8</v>
      </c>
      <c r="B613" s="7" t="s">
        <v>9</v>
      </c>
      <c r="C613" s="7" t="s">
        <v>896</v>
      </c>
      <c r="D613" s="7">
        <v>-1.3066062000000001</v>
      </c>
      <c r="E613" s="7">
        <v>-6.3524015</v>
      </c>
      <c r="F613" s="9" t="str">
        <f t="shared" si="4"/>
        <v>Direct</v>
      </c>
      <c r="G613" s="7" t="s">
        <v>11</v>
      </c>
    </row>
    <row r="614" spans="1:7" x14ac:dyDescent="0.2">
      <c r="A614" s="6" t="s">
        <v>8</v>
      </c>
      <c r="B614" s="7" t="s">
        <v>9</v>
      </c>
      <c r="C614" s="7" t="s">
        <v>897</v>
      </c>
      <c r="D614" s="7">
        <v>-2.2708039000000002</v>
      </c>
      <c r="E614" s="7">
        <v>-6.1883016</v>
      </c>
      <c r="F614" s="9" t="str">
        <f t="shared" si="4"/>
        <v>Direct</v>
      </c>
      <c r="G614" s="7" t="s">
        <v>898</v>
      </c>
    </row>
    <row r="615" spans="1:7" x14ac:dyDescent="0.2">
      <c r="A615" s="6" t="s">
        <v>8</v>
      </c>
      <c r="B615" s="7" t="s">
        <v>9</v>
      </c>
      <c r="C615" s="7" t="s">
        <v>899</v>
      </c>
      <c r="D615" s="7">
        <v>1.0332003700000001</v>
      </c>
      <c r="E615" s="7">
        <v>10.290396700000001</v>
      </c>
      <c r="F615" s="9" t="str">
        <f t="shared" si="4"/>
        <v>Direct</v>
      </c>
      <c r="G615" s="7" t="s">
        <v>900</v>
      </c>
    </row>
    <row r="616" spans="1:7" x14ac:dyDescent="0.2">
      <c r="A616" s="6" t="s">
        <v>8</v>
      </c>
      <c r="B616" s="7" t="s">
        <v>9</v>
      </c>
      <c r="C616" s="7" t="s">
        <v>901</v>
      </c>
      <c r="D616" s="7">
        <v>-1.5646717000000001</v>
      </c>
      <c r="E616" s="7">
        <v>-3.8159869999999998</v>
      </c>
      <c r="F616" s="9" t="str">
        <f t="shared" si="4"/>
        <v>Direct</v>
      </c>
      <c r="G616" s="7" t="s">
        <v>902</v>
      </c>
    </row>
    <row r="617" spans="1:7" x14ac:dyDescent="0.2">
      <c r="A617" s="6" t="s">
        <v>8</v>
      </c>
      <c r="B617" s="7" t="s">
        <v>9</v>
      </c>
      <c r="C617" s="7" t="s">
        <v>903</v>
      </c>
      <c r="D617" s="7">
        <v>6.8724451799999997</v>
      </c>
      <c r="E617" s="7">
        <v>9.7426997100000001</v>
      </c>
      <c r="F617" s="9" t="str">
        <f t="shared" si="4"/>
        <v>Direct</v>
      </c>
      <c r="G617" s="7" t="s">
        <v>11</v>
      </c>
    </row>
    <row r="618" spans="1:7" x14ac:dyDescent="0.2">
      <c r="A618" s="6" t="s">
        <v>8</v>
      </c>
      <c r="B618" s="7" t="s">
        <v>9</v>
      </c>
      <c r="C618" s="7" t="s">
        <v>904</v>
      </c>
      <c r="D618" s="7">
        <v>1.46211921</v>
      </c>
      <c r="E618" s="7">
        <v>5.19452055</v>
      </c>
      <c r="F618" s="9" t="str">
        <f t="shared" si="4"/>
        <v>Direct</v>
      </c>
      <c r="G618" s="7" t="s">
        <v>11</v>
      </c>
    </row>
    <row r="619" spans="1:7" x14ac:dyDescent="0.2">
      <c r="A619" s="6" t="s">
        <v>8</v>
      </c>
      <c r="B619" s="7" t="s">
        <v>9</v>
      </c>
      <c r="C619" s="7" t="s">
        <v>905</v>
      </c>
      <c r="D619" s="7">
        <v>3.6719775299999999</v>
      </c>
      <c r="E619" s="7">
        <v>7.4826875299999998</v>
      </c>
      <c r="F619" s="9" t="str">
        <f t="shared" si="4"/>
        <v>Direct</v>
      </c>
      <c r="G619" s="7" t="s">
        <v>11</v>
      </c>
    </row>
    <row r="620" spans="1:7" x14ac:dyDescent="0.2">
      <c r="A620" s="6" t="s">
        <v>8</v>
      </c>
      <c r="B620" s="7" t="s">
        <v>9</v>
      </c>
      <c r="C620" s="7" t="s">
        <v>906</v>
      </c>
      <c r="D620" s="7">
        <v>-5.3268452000000002</v>
      </c>
      <c r="E620" s="7">
        <v>-6.1826235</v>
      </c>
      <c r="F620" s="9" t="str">
        <f t="shared" si="4"/>
        <v>Direct</v>
      </c>
      <c r="G620" s="7" t="s">
        <v>907</v>
      </c>
    </row>
    <row r="621" spans="1:7" x14ac:dyDescent="0.2">
      <c r="A621" s="6" t="s">
        <v>8</v>
      </c>
      <c r="B621" s="7" t="s">
        <v>9</v>
      </c>
      <c r="C621" s="7" t="s">
        <v>908</v>
      </c>
      <c r="D621" s="7">
        <v>-1.3246038</v>
      </c>
      <c r="E621" s="7">
        <v>-4.4856790999999996</v>
      </c>
      <c r="F621" s="9" t="str">
        <f t="shared" si="4"/>
        <v>Direct</v>
      </c>
      <c r="G621" s="7" t="s">
        <v>909</v>
      </c>
    </row>
    <row r="622" spans="1:7" x14ac:dyDescent="0.2">
      <c r="A622" s="6" t="s">
        <v>8</v>
      </c>
      <c r="B622" s="7" t="s">
        <v>9</v>
      </c>
      <c r="C622" s="7" t="s">
        <v>910</v>
      </c>
      <c r="D622" s="7">
        <v>-1.8563343000000001</v>
      </c>
      <c r="E622" s="7">
        <v>-6.6190116000000003</v>
      </c>
      <c r="F622" s="9" t="str">
        <f t="shared" si="4"/>
        <v>Direct</v>
      </c>
      <c r="G622" s="7" t="s">
        <v>11</v>
      </c>
    </row>
    <row r="623" spans="1:7" x14ac:dyDescent="0.2">
      <c r="A623" s="6" t="s">
        <v>8</v>
      </c>
      <c r="B623" s="7" t="s">
        <v>9</v>
      </c>
      <c r="C623" s="7" t="s">
        <v>911</v>
      </c>
      <c r="D623" s="7">
        <v>1.2405051600000001</v>
      </c>
      <c r="E623" s="7">
        <v>4.2555059699999997</v>
      </c>
      <c r="F623" s="9" t="str">
        <f t="shared" si="4"/>
        <v>Direct</v>
      </c>
      <c r="G623" s="7" t="s">
        <v>912</v>
      </c>
    </row>
    <row r="624" spans="1:7" x14ac:dyDescent="0.2">
      <c r="A624" s="6" t="s">
        <v>8</v>
      </c>
      <c r="B624" s="7" t="s">
        <v>9</v>
      </c>
      <c r="C624" s="7" t="s">
        <v>913</v>
      </c>
      <c r="D624" s="7">
        <v>-2.2219224999999998</v>
      </c>
      <c r="E624" s="7">
        <v>-6.7302339</v>
      </c>
      <c r="F624" s="9" t="str">
        <f t="shared" si="4"/>
        <v>Direct</v>
      </c>
      <c r="G624" s="7" t="s">
        <v>11</v>
      </c>
    </row>
    <row r="625" spans="1:7" x14ac:dyDescent="0.2">
      <c r="A625" s="6" t="s">
        <v>8</v>
      </c>
      <c r="B625" s="7" t="s">
        <v>9</v>
      </c>
      <c r="C625" s="7" t="s">
        <v>914</v>
      </c>
      <c r="D625" s="7">
        <v>1.0477375499999999</v>
      </c>
      <c r="E625" s="7">
        <v>3.3786785099999999</v>
      </c>
      <c r="F625" s="9" t="str">
        <f t="shared" si="4"/>
        <v>Direct</v>
      </c>
      <c r="G625" s="7" t="s">
        <v>11</v>
      </c>
    </row>
    <row r="626" spans="1:7" x14ac:dyDescent="0.2">
      <c r="A626" s="6" t="s">
        <v>8</v>
      </c>
      <c r="B626" s="7" t="s">
        <v>9</v>
      </c>
      <c r="C626" s="7" t="s">
        <v>915</v>
      </c>
      <c r="D626" s="7">
        <v>-3.8989400000000001</v>
      </c>
      <c r="E626" s="7">
        <v>-1.2175940000000001</v>
      </c>
      <c r="F626" s="9" t="str">
        <f t="shared" si="4"/>
        <v>Direct</v>
      </c>
      <c r="G626" s="7" t="s">
        <v>11</v>
      </c>
    </row>
    <row r="627" spans="1:7" x14ac:dyDescent="0.2">
      <c r="A627" s="6" t="s">
        <v>8</v>
      </c>
      <c r="B627" s="7" t="s">
        <v>9</v>
      </c>
      <c r="C627" s="7" t="s">
        <v>916</v>
      </c>
      <c r="D627" s="7">
        <v>-1.3076608999999999</v>
      </c>
      <c r="E627" s="7">
        <v>-2.6279659</v>
      </c>
      <c r="F627" s="9" t="str">
        <f t="shared" si="4"/>
        <v>Direct</v>
      </c>
      <c r="G627" s="7" t="s">
        <v>11</v>
      </c>
    </row>
    <row r="628" spans="1:7" x14ac:dyDescent="0.2">
      <c r="A628" s="6" t="s">
        <v>8</v>
      </c>
      <c r="B628" s="7" t="s">
        <v>9</v>
      </c>
      <c r="C628" s="7" t="s">
        <v>917</v>
      </c>
      <c r="D628" s="7">
        <v>-2.1418754</v>
      </c>
      <c r="E628" s="7">
        <v>-3.6114236000000002</v>
      </c>
      <c r="F628" s="9" t="str">
        <f t="shared" si="4"/>
        <v>Direct</v>
      </c>
      <c r="G628" s="7" t="s">
        <v>11</v>
      </c>
    </row>
    <row r="629" spans="1:7" x14ac:dyDescent="0.2">
      <c r="A629" s="6" t="s">
        <v>8</v>
      </c>
      <c r="B629" s="7" t="s">
        <v>9</v>
      </c>
      <c r="C629" s="7" t="s">
        <v>918</v>
      </c>
      <c r="D629" s="7">
        <v>-2.2939679000000002</v>
      </c>
      <c r="E629" s="7">
        <v>-6.0024027999999996</v>
      </c>
      <c r="F629" s="9" t="str">
        <f t="shared" si="4"/>
        <v>Direct</v>
      </c>
      <c r="G629" s="7" t="s">
        <v>919</v>
      </c>
    </row>
    <row r="630" spans="1:7" x14ac:dyDescent="0.2">
      <c r="A630" s="6" t="s">
        <v>8</v>
      </c>
      <c r="B630" s="7" t="s">
        <v>9</v>
      </c>
      <c r="C630" s="7" t="s">
        <v>920</v>
      </c>
      <c r="D630" s="7">
        <v>2.0015612300000001</v>
      </c>
      <c r="E630" s="7">
        <v>2.6605399900000002</v>
      </c>
      <c r="F630" s="9" t="str">
        <f t="shared" si="4"/>
        <v>Direct</v>
      </c>
      <c r="G630" s="7" t="s">
        <v>248</v>
      </c>
    </row>
    <row r="631" spans="1:7" x14ac:dyDescent="0.2">
      <c r="A631" s="6" t="s">
        <v>8</v>
      </c>
      <c r="B631" s="7" t="s">
        <v>9</v>
      </c>
      <c r="C631" s="7" t="s">
        <v>921</v>
      </c>
      <c r="D631" s="7">
        <v>2.5098414</v>
      </c>
      <c r="E631" s="7">
        <v>-2.1916145</v>
      </c>
      <c r="F631" s="9" t="str">
        <f t="shared" si="4"/>
        <v>Inverse</v>
      </c>
      <c r="G631" s="7" t="s">
        <v>11</v>
      </c>
    </row>
    <row r="632" spans="1:7" x14ac:dyDescent="0.2">
      <c r="A632" s="6" t="s">
        <v>8</v>
      </c>
      <c r="B632" s="7" t="s">
        <v>9</v>
      </c>
      <c r="C632" s="7" t="s">
        <v>922</v>
      </c>
      <c r="D632" s="7">
        <v>1.8680080699999999</v>
      </c>
      <c r="E632" s="7">
        <v>3.2438064799999999</v>
      </c>
      <c r="F632" s="9" t="str">
        <f t="shared" si="4"/>
        <v>Direct</v>
      </c>
      <c r="G632" s="7" t="s">
        <v>923</v>
      </c>
    </row>
    <row r="633" spans="1:7" x14ac:dyDescent="0.2">
      <c r="A633" s="6" t="s">
        <v>8</v>
      </c>
      <c r="B633" s="7" t="s">
        <v>9</v>
      </c>
      <c r="C633" s="7" t="s">
        <v>924</v>
      </c>
      <c r="D633" s="7">
        <v>1.8023459500000001</v>
      </c>
      <c r="E633" s="7">
        <v>6.93916252</v>
      </c>
      <c r="F633" s="9" t="str">
        <f t="shared" si="4"/>
        <v>Direct</v>
      </c>
      <c r="G633" s="7" t="s">
        <v>11</v>
      </c>
    </row>
    <row r="634" spans="1:7" x14ac:dyDescent="0.2">
      <c r="A634" s="6" t="s">
        <v>8</v>
      </c>
      <c r="B634" s="7" t="s">
        <v>9</v>
      </c>
      <c r="C634" s="7" t="s">
        <v>925</v>
      </c>
      <c r="D634" s="7">
        <v>3.2130570199999999</v>
      </c>
      <c r="E634" s="7">
        <v>4.1255456099999996</v>
      </c>
      <c r="F634" s="9" t="str">
        <f t="shared" si="4"/>
        <v>Direct</v>
      </c>
      <c r="G634" s="7" t="s">
        <v>926</v>
      </c>
    </row>
    <row r="635" spans="1:7" x14ac:dyDescent="0.2">
      <c r="A635" s="6" t="s">
        <v>8</v>
      </c>
      <c r="B635" s="7" t="s">
        <v>9</v>
      </c>
      <c r="C635" s="7" t="s">
        <v>927</v>
      </c>
      <c r="D635" s="7">
        <v>1.70448556</v>
      </c>
      <c r="E635" s="7">
        <v>3.8073765700000002</v>
      </c>
      <c r="F635" s="9" t="str">
        <f t="shared" si="4"/>
        <v>Direct</v>
      </c>
      <c r="G635" s="7" t="s">
        <v>11</v>
      </c>
    </row>
    <row r="636" spans="1:7" x14ac:dyDescent="0.2">
      <c r="A636" s="6" t="s">
        <v>8</v>
      </c>
      <c r="B636" s="7" t="s">
        <v>9</v>
      </c>
      <c r="C636" s="7" t="s">
        <v>928</v>
      </c>
      <c r="D636" s="7">
        <v>1.0330288000000001</v>
      </c>
      <c r="E636" s="7">
        <v>1.9775375799999999</v>
      </c>
      <c r="F636" s="9" t="str">
        <f t="shared" si="4"/>
        <v>Direct</v>
      </c>
      <c r="G636" s="7" t="s">
        <v>929</v>
      </c>
    </row>
    <row r="637" spans="1:7" x14ac:dyDescent="0.2">
      <c r="A637" s="6" t="s">
        <v>8</v>
      </c>
      <c r="B637" s="7" t="s">
        <v>9</v>
      </c>
      <c r="C637" s="7" t="s">
        <v>930</v>
      </c>
      <c r="D637" s="7">
        <v>1.9603067700000001</v>
      </c>
      <c r="E637" s="7">
        <v>6.1698373399999999</v>
      </c>
      <c r="F637" s="9" t="str">
        <f t="shared" si="4"/>
        <v>Direct</v>
      </c>
      <c r="G637" s="7" t="s">
        <v>11</v>
      </c>
    </row>
    <row r="638" spans="1:7" x14ac:dyDescent="0.2">
      <c r="A638" s="6" t="s">
        <v>8</v>
      </c>
      <c r="B638" s="7" t="s">
        <v>9</v>
      </c>
      <c r="C638" s="7" t="s">
        <v>931</v>
      </c>
      <c r="D638" s="7">
        <v>-1.5059100000000001</v>
      </c>
      <c r="E638" s="7">
        <v>-1.5357627</v>
      </c>
      <c r="F638" s="9" t="str">
        <f t="shared" si="4"/>
        <v>Direct</v>
      </c>
      <c r="G638" s="7" t="s">
        <v>11</v>
      </c>
    </row>
    <row r="639" spans="1:7" x14ac:dyDescent="0.2">
      <c r="A639" s="6" t="s">
        <v>8</v>
      </c>
      <c r="B639" s="7" t="s">
        <v>9</v>
      </c>
      <c r="C639" s="7" t="s">
        <v>932</v>
      </c>
      <c r="D639" s="7">
        <v>4.74875238</v>
      </c>
      <c r="E639" s="7">
        <v>1.34221167</v>
      </c>
      <c r="F639" s="9" t="str">
        <f t="shared" si="4"/>
        <v>Direct</v>
      </c>
      <c r="G639" s="7" t="s">
        <v>11</v>
      </c>
    </row>
    <row r="640" spans="1:7" x14ac:dyDescent="0.2">
      <c r="A640" s="6" t="s">
        <v>8</v>
      </c>
      <c r="B640" s="7" t="s">
        <v>9</v>
      </c>
      <c r="C640" s="7" t="s">
        <v>933</v>
      </c>
      <c r="D640" s="7">
        <v>2.5148940999999998</v>
      </c>
      <c r="E640" s="7">
        <v>8.0951174600000009</v>
      </c>
      <c r="F640" s="9" t="str">
        <f t="shared" si="4"/>
        <v>Direct</v>
      </c>
      <c r="G640" s="7" t="s">
        <v>11</v>
      </c>
    </row>
    <row r="641" spans="1:7" x14ac:dyDescent="0.2">
      <c r="A641" s="6" t="s">
        <v>8</v>
      </c>
      <c r="B641" s="7" t="s">
        <v>9</v>
      </c>
      <c r="C641" s="7" t="s">
        <v>934</v>
      </c>
      <c r="D641" s="7">
        <v>-1.5531045000000001</v>
      </c>
      <c r="E641" s="7">
        <v>-2.9925717999999999</v>
      </c>
      <c r="F641" s="9" t="str">
        <f t="shared" si="4"/>
        <v>Direct</v>
      </c>
      <c r="G641" s="7" t="s">
        <v>11</v>
      </c>
    </row>
    <row r="642" spans="1:7" x14ac:dyDescent="0.2">
      <c r="A642" s="6" t="s">
        <v>8</v>
      </c>
      <c r="B642" s="7" t="s">
        <v>9</v>
      </c>
      <c r="C642" s="7" t="s">
        <v>935</v>
      </c>
      <c r="D642" s="7">
        <v>1.4153232</v>
      </c>
      <c r="E642" s="7">
        <v>4.8934641499999998</v>
      </c>
      <c r="F642" s="9" t="str">
        <f t="shared" si="4"/>
        <v>Direct</v>
      </c>
      <c r="G642" s="7" t="s">
        <v>936</v>
      </c>
    </row>
    <row r="643" spans="1:7" x14ac:dyDescent="0.2">
      <c r="A643" s="6" t="s">
        <v>8</v>
      </c>
      <c r="B643" s="7" t="s">
        <v>9</v>
      </c>
      <c r="C643" s="7" t="s">
        <v>937</v>
      </c>
      <c r="D643" s="7">
        <v>4.6126474999999996</v>
      </c>
      <c r="E643" s="7">
        <v>14.3779217</v>
      </c>
      <c r="F643" s="9" t="str">
        <f t="shared" si="4"/>
        <v>Direct</v>
      </c>
      <c r="G643" s="7" t="s">
        <v>11</v>
      </c>
    </row>
    <row r="644" spans="1:7" x14ac:dyDescent="0.2">
      <c r="A644" s="6" t="s">
        <v>8</v>
      </c>
      <c r="B644" s="7" t="s">
        <v>9</v>
      </c>
      <c r="C644" s="7" t="s">
        <v>938</v>
      </c>
      <c r="D644" s="7">
        <v>-1.3848503000000001</v>
      </c>
      <c r="E644" s="7">
        <v>-4.2062971999999998</v>
      </c>
      <c r="F644" s="9" t="str">
        <f t="shared" si="4"/>
        <v>Direct</v>
      </c>
      <c r="G644" s="7" t="s">
        <v>11</v>
      </c>
    </row>
    <row r="645" spans="1:7" x14ac:dyDescent="0.2">
      <c r="A645" s="6" t="s">
        <v>8</v>
      </c>
      <c r="B645" s="7" t="s">
        <v>9</v>
      </c>
      <c r="C645" s="7" t="s">
        <v>939</v>
      </c>
      <c r="D645" s="7">
        <v>1.67981384</v>
      </c>
      <c r="E645" s="7">
        <v>1.0319018099999999</v>
      </c>
      <c r="F645" s="9" t="str">
        <f t="shared" si="4"/>
        <v>Direct</v>
      </c>
      <c r="G645" s="7" t="s">
        <v>11</v>
      </c>
    </row>
    <row r="646" spans="1:7" x14ac:dyDescent="0.2">
      <c r="A646" s="6" t="s">
        <v>8</v>
      </c>
      <c r="B646" s="7" t="s">
        <v>9</v>
      </c>
      <c r="C646" s="7" t="s">
        <v>940</v>
      </c>
      <c r="D646" s="7">
        <v>-1.3898204000000001</v>
      </c>
      <c r="E646" s="7">
        <v>-7.4529306000000002</v>
      </c>
      <c r="F646" s="9" t="str">
        <f t="shared" si="4"/>
        <v>Direct</v>
      </c>
      <c r="G646" s="7" t="s">
        <v>631</v>
      </c>
    </row>
    <row r="647" spans="1:7" x14ac:dyDescent="0.2">
      <c r="A647" s="6" t="s">
        <v>8</v>
      </c>
      <c r="B647" s="7" t="s">
        <v>9</v>
      </c>
      <c r="C647" s="7" t="s">
        <v>941</v>
      </c>
      <c r="D647" s="7">
        <v>-2.1340127</v>
      </c>
      <c r="E647" s="7">
        <v>-2.9371529000000001</v>
      </c>
      <c r="F647" s="9" t="str">
        <f t="shared" si="4"/>
        <v>Direct</v>
      </c>
      <c r="G647" s="7" t="s">
        <v>942</v>
      </c>
    </row>
    <row r="648" spans="1:7" x14ac:dyDescent="0.2">
      <c r="A648" s="6" t="s">
        <v>8</v>
      </c>
      <c r="B648" s="7" t="s">
        <v>9</v>
      </c>
      <c r="C648" s="7" t="s">
        <v>943</v>
      </c>
      <c r="D648" s="7">
        <v>-1.5295326</v>
      </c>
      <c r="E648" s="7">
        <v>-2.9459293999999998</v>
      </c>
      <c r="F648" s="9" t="str">
        <f t="shared" si="4"/>
        <v>Direct</v>
      </c>
      <c r="G648" s="7" t="s">
        <v>590</v>
      </c>
    </row>
    <row r="649" spans="1:7" x14ac:dyDescent="0.2">
      <c r="A649" s="6" t="s">
        <v>8</v>
      </c>
      <c r="B649" s="7" t="s">
        <v>9</v>
      </c>
      <c r="C649" s="7" t="s">
        <v>944</v>
      </c>
      <c r="D649" s="7">
        <v>-2.5129804</v>
      </c>
      <c r="E649" s="7">
        <v>-1.9870475000000001</v>
      </c>
      <c r="F649" s="9" t="str">
        <f t="shared" si="4"/>
        <v>Direct</v>
      </c>
      <c r="G649" s="7" t="s">
        <v>11</v>
      </c>
    </row>
    <row r="650" spans="1:7" x14ac:dyDescent="0.2">
      <c r="A650" s="6" t="s">
        <v>8</v>
      </c>
      <c r="B650" s="7" t="s">
        <v>9</v>
      </c>
      <c r="C650" s="7" t="s">
        <v>945</v>
      </c>
      <c r="D650" s="7">
        <v>-2.2773626</v>
      </c>
      <c r="E650" s="7">
        <v>-2.7133995</v>
      </c>
      <c r="F650" s="9" t="str">
        <f t="shared" si="4"/>
        <v>Direct</v>
      </c>
      <c r="G650" s="7" t="s">
        <v>946</v>
      </c>
    </row>
    <row r="651" spans="1:7" x14ac:dyDescent="0.2">
      <c r="A651" s="6" t="s">
        <v>8</v>
      </c>
      <c r="B651" s="7" t="s">
        <v>9</v>
      </c>
      <c r="C651" s="7" t="s">
        <v>947</v>
      </c>
      <c r="D651" s="7">
        <v>1.33118695</v>
      </c>
      <c r="E651" s="7">
        <v>1.9121308400000001</v>
      </c>
      <c r="F651" s="9" t="str">
        <f t="shared" si="4"/>
        <v>Direct</v>
      </c>
      <c r="G651" s="7" t="s">
        <v>948</v>
      </c>
    </row>
    <row r="652" spans="1:7" x14ac:dyDescent="0.2">
      <c r="A652" s="6" t="s">
        <v>8</v>
      </c>
      <c r="B652" s="7" t="s">
        <v>9</v>
      </c>
      <c r="C652" s="7" t="s">
        <v>949</v>
      </c>
      <c r="D652" s="7">
        <v>1.11478436</v>
      </c>
      <c r="E652" s="7">
        <v>3.70107586</v>
      </c>
      <c r="F652" s="9" t="str">
        <f t="shared" si="4"/>
        <v>Direct</v>
      </c>
      <c r="G652" s="7" t="s">
        <v>950</v>
      </c>
    </row>
    <row r="653" spans="1:7" x14ac:dyDescent="0.2">
      <c r="A653" s="6" t="s">
        <v>8</v>
      </c>
      <c r="B653" s="7" t="s">
        <v>9</v>
      </c>
      <c r="C653" s="7" t="s">
        <v>951</v>
      </c>
      <c r="D653" s="7">
        <v>1.1698308500000001</v>
      </c>
      <c r="E653" s="7">
        <v>9.1252521800000004</v>
      </c>
      <c r="F653" s="9" t="str">
        <f t="shared" si="4"/>
        <v>Direct</v>
      </c>
      <c r="G653" s="7" t="s">
        <v>952</v>
      </c>
    </row>
    <row r="654" spans="1:7" x14ac:dyDescent="0.2">
      <c r="A654" s="6" t="s">
        <v>8</v>
      </c>
      <c r="B654" s="7" t="s">
        <v>9</v>
      </c>
      <c r="C654" s="7" t="s">
        <v>953</v>
      </c>
      <c r="D654" s="7">
        <v>-2.0930666000000002</v>
      </c>
      <c r="E654" s="7">
        <v>-3.3884059999999998</v>
      </c>
      <c r="F654" s="9" t="str">
        <f t="shared" si="4"/>
        <v>Direct</v>
      </c>
      <c r="G654" s="7" t="s">
        <v>11</v>
      </c>
    </row>
    <row r="655" spans="1:7" x14ac:dyDescent="0.2">
      <c r="A655" s="6" t="s">
        <v>8</v>
      </c>
      <c r="B655" s="7" t="s">
        <v>9</v>
      </c>
      <c r="C655" s="7" t="s">
        <v>954</v>
      </c>
      <c r="D655" s="7">
        <v>3.7477662999999999</v>
      </c>
      <c r="E655" s="7">
        <v>1.7964493100000001</v>
      </c>
      <c r="F655" s="9" t="str">
        <f t="shared" si="4"/>
        <v>Direct</v>
      </c>
      <c r="G655" s="7" t="s">
        <v>11</v>
      </c>
    </row>
    <row r="656" spans="1:7" x14ac:dyDescent="0.2">
      <c r="A656" s="6" t="s">
        <v>8</v>
      </c>
      <c r="B656" s="7" t="s">
        <v>9</v>
      </c>
      <c r="C656" s="7" t="s">
        <v>955</v>
      </c>
      <c r="D656" s="7">
        <v>1.9059719900000001</v>
      </c>
      <c r="E656" s="7">
        <v>1.6284055200000001</v>
      </c>
      <c r="F656" s="9" t="str">
        <f t="shared" si="4"/>
        <v>Direct</v>
      </c>
      <c r="G656" s="7" t="s">
        <v>956</v>
      </c>
    </row>
    <row r="657" spans="1:7" x14ac:dyDescent="0.2">
      <c r="A657" s="6" t="s">
        <v>8</v>
      </c>
      <c r="B657" s="7" t="s">
        <v>9</v>
      </c>
      <c r="C657" s="7" t="s">
        <v>957</v>
      </c>
      <c r="D657" s="7">
        <v>2.8586807799999998</v>
      </c>
      <c r="E657" s="7">
        <v>8.1120879699999993</v>
      </c>
      <c r="F657" s="9" t="str">
        <f t="shared" si="4"/>
        <v>Direct</v>
      </c>
      <c r="G657" s="7" t="s">
        <v>958</v>
      </c>
    </row>
    <row r="658" spans="1:7" x14ac:dyDescent="0.2">
      <c r="A658" s="6" t="s">
        <v>8</v>
      </c>
      <c r="B658" s="7" t="s">
        <v>9</v>
      </c>
      <c r="C658" s="7" t="s">
        <v>959</v>
      </c>
      <c r="D658" s="7">
        <v>4.0485510299999996</v>
      </c>
      <c r="E658" s="7">
        <v>2.3730246899999998</v>
      </c>
      <c r="F658" s="9" t="str">
        <f t="shared" si="4"/>
        <v>Direct</v>
      </c>
      <c r="G658" s="7" t="s">
        <v>11</v>
      </c>
    </row>
    <row r="659" spans="1:7" x14ac:dyDescent="0.2">
      <c r="A659" s="6" t="s">
        <v>8</v>
      </c>
      <c r="B659" s="7" t="s">
        <v>9</v>
      </c>
      <c r="C659" s="7" t="s">
        <v>960</v>
      </c>
      <c r="D659" s="7">
        <v>1.4987687999999999</v>
      </c>
      <c r="E659" s="7">
        <v>1.92210938</v>
      </c>
      <c r="F659" s="9" t="str">
        <f t="shared" si="4"/>
        <v>Direct</v>
      </c>
      <c r="G659" s="7" t="s">
        <v>961</v>
      </c>
    </row>
    <row r="660" spans="1:7" x14ac:dyDescent="0.2">
      <c r="A660" s="6" t="s">
        <v>8</v>
      </c>
      <c r="B660" s="7" t="s">
        <v>9</v>
      </c>
      <c r="C660" s="7" t="s">
        <v>962</v>
      </c>
      <c r="D660" s="7">
        <v>1.7848343</v>
      </c>
      <c r="E660" s="7">
        <v>1.1030340000000001</v>
      </c>
      <c r="F660" s="9" t="str">
        <f t="shared" si="4"/>
        <v>Direct</v>
      </c>
      <c r="G660" s="7" t="s">
        <v>963</v>
      </c>
    </row>
    <row r="661" spans="1:7" x14ac:dyDescent="0.2">
      <c r="A661" s="6" t="s">
        <v>8</v>
      </c>
      <c r="B661" s="7" t="s">
        <v>9</v>
      </c>
      <c r="C661" s="7" t="s">
        <v>964</v>
      </c>
      <c r="D661" s="7">
        <v>1.49401915</v>
      </c>
      <c r="E661" s="7">
        <v>6.2650144799999996</v>
      </c>
      <c r="F661" s="9" t="str">
        <f t="shared" si="4"/>
        <v>Direct</v>
      </c>
      <c r="G661" s="7" t="s">
        <v>965</v>
      </c>
    </row>
    <row r="662" spans="1:7" x14ac:dyDescent="0.2">
      <c r="A662" s="6" t="s">
        <v>8</v>
      </c>
      <c r="B662" s="7" t="s">
        <v>9</v>
      </c>
      <c r="C662" s="7" t="s">
        <v>966</v>
      </c>
      <c r="D662" s="7">
        <v>1.40694736</v>
      </c>
      <c r="E662" s="7">
        <v>4.32537371</v>
      </c>
      <c r="F662" s="9" t="str">
        <f t="shared" si="4"/>
        <v>Direct</v>
      </c>
      <c r="G662" s="7" t="s">
        <v>11</v>
      </c>
    </row>
    <row r="663" spans="1:7" x14ac:dyDescent="0.2">
      <c r="A663" s="6" t="s">
        <v>8</v>
      </c>
      <c r="B663" s="7" t="s">
        <v>9</v>
      </c>
      <c r="C663" s="7" t="s">
        <v>967</v>
      </c>
      <c r="D663" s="7">
        <v>2.9861724500000002</v>
      </c>
      <c r="E663" s="7">
        <v>7.3759209200000004</v>
      </c>
      <c r="F663" s="9" t="str">
        <f t="shared" si="4"/>
        <v>Direct</v>
      </c>
      <c r="G663" s="7" t="s">
        <v>11</v>
      </c>
    </row>
    <row r="664" spans="1:7" x14ac:dyDescent="0.2">
      <c r="A664" s="6" t="s">
        <v>8</v>
      </c>
      <c r="B664" s="7" t="s">
        <v>9</v>
      </c>
      <c r="C664" s="7" t="s">
        <v>968</v>
      </c>
      <c r="D664" s="7">
        <v>1.21164355</v>
      </c>
      <c r="E664" s="7">
        <v>3.7260220199999998</v>
      </c>
      <c r="F664" s="9" t="str">
        <f t="shared" si="4"/>
        <v>Direct</v>
      </c>
      <c r="G664" s="7" t="s">
        <v>961</v>
      </c>
    </row>
    <row r="665" spans="1:7" x14ac:dyDescent="0.2">
      <c r="A665" s="6" t="s">
        <v>8</v>
      </c>
      <c r="B665" s="7" t="s">
        <v>9</v>
      </c>
      <c r="C665" s="7" t="s">
        <v>969</v>
      </c>
      <c r="D665" s="7">
        <v>1.46506479</v>
      </c>
      <c r="E665" s="7">
        <v>1.34434626</v>
      </c>
      <c r="F665" s="9" t="str">
        <f t="shared" si="4"/>
        <v>Direct</v>
      </c>
      <c r="G665" s="7" t="s">
        <v>970</v>
      </c>
    </row>
    <row r="666" spans="1:7" x14ac:dyDescent="0.2">
      <c r="A666" s="6" t="s">
        <v>8</v>
      </c>
      <c r="B666" s="7" t="s">
        <v>9</v>
      </c>
      <c r="C666" s="7" t="s">
        <v>971</v>
      </c>
      <c r="D666" s="7">
        <v>-2.7135286999999999</v>
      </c>
      <c r="E666" s="7">
        <v>-5.9542874000000001</v>
      </c>
      <c r="F666" s="9" t="str">
        <f t="shared" si="4"/>
        <v>Direct</v>
      </c>
      <c r="G666" s="7" t="s">
        <v>11</v>
      </c>
    </row>
    <row r="667" spans="1:7" x14ac:dyDescent="0.2">
      <c r="A667" s="6" t="s">
        <v>8</v>
      </c>
      <c r="B667" s="7" t="s">
        <v>9</v>
      </c>
      <c r="C667" s="7" t="s">
        <v>972</v>
      </c>
      <c r="D667" s="7">
        <v>1.87057396</v>
      </c>
      <c r="E667" s="7">
        <v>4.7187467200000004</v>
      </c>
      <c r="F667" s="9" t="str">
        <f t="shared" si="4"/>
        <v>Direct</v>
      </c>
      <c r="G667" s="7" t="s">
        <v>11</v>
      </c>
    </row>
    <row r="668" spans="1:7" x14ac:dyDescent="0.2">
      <c r="A668" s="6" t="s">
        <v>8</v>
      </c>
      <c r="B668" s="7" t="s">
        <v>9</v>
      </c>
      <c r="C668" s="7" t="s">
        <v>973</v>
      </c>
      <c r="D668" s="7">
        <v>-1.5697892</v>
      </c>
      <c r="E668" s="7">
        <v>-2.7221123</v>
      </c>
      <c r="F668" s="9" t="str">
        <f t="shared" si="4"/>
        <v>Direct</v>
      </c>
      <c r="G668" s="7" t="s">
        <v>11</v>
      </c>
    </row>
    <row r="669" spans="1:7" x14ac:dyDescent="0.2">
      <c r="A669" s="6" t="s">
        <v>8</v>
      </c>
      <c r="B669" s="7" t="s">
        <v>9</v>
      </c>
      <c r="C669" s="7" t="s">
        <v>974</v>
      </c>
      <c r="D669" s="7">
        <v>-1.4625208999999999</v>
      </c>
      <c r="E669" s="7">
        <v>-1.8201113</v>
      </c>
      <c r="F669" s="9" t="str">
        <f t="shared" si="4"/>
        <v>Direct</v>
      </c>
      <c r="G669" s="7" t="s">
        <v>11</v>
      </c>
    </row>
    <row r="670" spans="1:7" x14ac:dyDescent="0.2">
      <c r="A670" s="6" t="s">
        <v>8</v>
      </c>
      <c r="B670" s="7" t="s">
        <v>9</v>
      </c>
      <c r="C670" s="7" t="s">
        <v>975</v>
      </c>
      <c r="D670" s="7">
        <v>-3.7137804999999999</v>
      </c>
      <c r="E670" s="7">
        <v>-4.4101952999999998</v>
      </c>
      <c r="F670" s="9" t="str">
        <f t="shared" si="4"/>
        <v>Direct</v>
      </c>
      <c r="G670" s="7" t="s">
        <v>11</v>
      </c>
    </row>
    <row r="671" spans="1:7" x14ac:dyDescent="0.2">
      <c r="A671" s="6" t="s">
        <v>8</v>
      </c>
      <c r="B671" s="7" t="s">
        <v>9</v>
      </c>
      <c r="C671" s="7" t="s">
        <v>976</v>
      </c>
      <c r="D671" s="7">
        <v>-1.1108408999999999</v>
      </c>
      <c r="E671" s="7">
        <v>-1.4124705</v>
      </c>
      <c r="F671" s="9" t="str">
        <f t="shared" si="4"/>
        <v>Direct</v>
      </c>
      <c r="G671" s="7" t="s">
        <v>977</v>
      </c>
    </row>
    <row r="672" spans="1:7" x14ac:dyDescent="0.2">
      <c r="A672" s="6" t="s">
        <v>8</v>
      </c>
      <c r="B672" s="7" t="s">
        <v>9</v>
      </c>
      <c r="C672" s="7" t="s">
        <v>978</v>
      </c>
      <c r="D672" s="7">
        <v>1.3076609100000001</v>
      </c>
      <c r="E672" s="7">
        <v>1.3348157</v>
      </c>
      <c r="F672" s="9" t="str">
        <f t="shared" si="4"/>
        <v>Direct</v>
      </c>
      <c r="G672" s="7" t="s">
        <v>979</v>
      </c>
    </row>
    <row r="673" spans="1:7" x14ac:dyDescent="0.2">
      <c r="A673" s="6" t="s">
        <v>8</v>
      </c>
      <c r="B673" s="7" t="s">
        <v>9</v>
      </c>
      <c r="C673" s="7" t="s">
        <v>980</v>
      </c>
      <c r="D673" s="7">
        <v>-1.1877378999999999</v>
      </c>
      <c r="E673" s="7">
        <v>-1.2807166000000001</v>
      </c>
      <c r="F673" s="9" t="str">
        <f t="shared" si="4"/>
        <v>Direct</v>
      </c>
      <c r="G673" s="7" t="s">
        <v>981</v>
      </c>
    </row>
    <row r="674" spans="1:7" x14ac:dyDescent="0.2">
      <c r="A674" s="6" t="s">
        <v>8</v>
      </c>
      <c r="B674" s="7" t="s">
        <v>9</v>
      </c>
      <c r="C674" s="7" t="s">
        <v>982</v>
      </c>
      <c r="D674" s="7">
        <v>-4.1179528999999997</v>
      </c>
      <c r="E674" s="7">
        <v>-3.8130901000000001</v>
      </c>
      <c r="F674" s="9" t="str">
        <f t="shared" si="4"/>
        <v>Direct</v>
      </c>
      <c r="G674" s="7" t="s">
        <v>11</v>
      </c>
    </row>
    <row r="675" spans="1:7" x14ac:dyDescent="0.2">
      <c r="A675" s="6" t="s">
        <v>8</v>
      </c>
      <c r="B675" s="7" t="s">
        <v>9</v>
      </c>
      <c r="C675" s="7" t="s">
        <v>983</v>
      </c>
      <c r="D675" s="7">
        <v>-1.7243086000000001</v>
      </c>
      <c r="E675" s="7">
        <v>-3.7587959</v>
      </c>
      <c r="F675" s="9" t="str">
        <f t="shared" si="4"/>
        <v>Direct</v>
      </c>
      <c r="G675" s="7" t="s">
        <v>11</v>
      </c>
    </row>
    <row r="676" spans="1:7" x14ac:dyDescent="0.2">
      <c r="A676" s="6" t="s">
        <v>8</v>
      </c>
      <c r="B676" s="7" t="s">
        <v>9</v>
      </c>
      <c r="C676" s="7" t="s">
        <v>984</v>
      </c>
      <c r="D676" s="7">
        <v>1.04110883</v>
      </c>
      <c r="E676" s="7">
        <v>-1.5578882999999999</v>
      </c>
      <c r="F676" s="9" t="str">
        <f t="shared" si="4"/>
        <v>Inverse</v>
      </c>
      <c r="G676" s="7" t="s">
        <v>11</v>
      </c>
    </row>
    <row r="677" spans="1:7" x14ac:dyDescent="0.2">
      <c r="A677" s="6" t="s">
        <v>8</v>
      </c>
      <c r="B677" s="7" t="s">
        <v>9</v>
      </c>
      <c r="C677" s="7" t="s">
        <v>985</v>
      </c>
      <c r="D677" s="7">
        <v>-5.1148103999999996</v>
      </c>
      <c r="E677" s="7">
        <v>-4.5902652000000002</v>
      </c>
      <c r="F677" s="9" t="str">
        <f t="shared" si="4"/>
        <v>Direct</v>
      </c>
      <c r="G677" s="7" t="s">
        <v>11</v>
      </c>
    </row>
    <row r="678" spans="1:7" x14ac:dyDescent="0.2">
      <c r="A678" s="6" t="s">
        <v>8</v>
      </c>
      <c r="B678" s="7" t="s">
        <v>9</v>
      </c>
      <c r="C678" s="7" t="s">
        <v>986</v>
      </c>
      <c r="D678" s="7">
        <v>1.5443544199999999</v>
      </c>
      <c r="E678" s="7">
        <v>6.3424048800000001</v>
      </c>
      <c r="F678" s="9" t="str">
        <f t="shared" si="4"/>
        <v>Direct</v>
      </c>
      <c r="G678" s="7" t="s">
        <v>11</v>
      </c>
    </row>
    <row r="679" spans="1:7" x14ac:dyDescent="0.2">
      <c r="A679" s="6" t="s">
        <v>8</v>
      </c>
      <c r="B679" s="7" t="s">
        <v>9</v>
      </c>
      <c r="C679" s="7" t="s">
        <v>987</v>
      </c>
      <c r="D679" s="7">
        <v>2.6986138500000001</v>
      </c>
      <c r="E679" s="7">
        <v>5.0665423699999996</v>
      </c>
      <c r="F679" s="9" t="str">
        <f t="shared" si="4"/>
        <v>Direct</v>
      </c>
      <c r="G679" s="7" t="s">
        <v>11</v>
      </c>
    </row>
    <row r="680" spans="1:7" x14ac:dyDescent="0.2">
      <c r="A680" s="6" t="s">
        <v>8</v>
      </c>
      <c r="B680" s="7" t="s">
        <v>9</v>
      </c>
      <c r="C680" s="7" t="s">
        <v>988</v>
      </c>
      <c r="D680" s="7">
        <v>-2.9715753</v>
      </c>
      <c r="E680" s="7">
        <v>-1.2091787000000001</v>
      </c>
      <c r="F680" s="9" t="str">
        <f t="shared" si="4"/>
        <v>Direct</v>
      </c>
      <c r="G680" s="7" t="s">
        <v>11</v>
      </c>
    </row>
    <row r="681" spans="1:7" x14ac:dyDescent="0.2">
      <c r="A681" s="6" t="s">
        <v>8</v>
      </c>
      <c r="B681" s="7" t="s">
        <v>9</v>
      </c>
      <c r="C681" s="7" t="s">
        <v>989</v>
      </c>
      <c r="D681" s="7">
        <v>-1.1634625999999999</v>
      </c>
      <c r="E681" s="7">
        <v>-1.4602491</v>
      </c>
      <c r="F681" s="9" t="str">
        <f t="shared" si="4"/>
        <v>Direct</v>
      </c>
      <c r="G681" s="7" t="s">
        <v>11</v>
      </c>
    </row>
    <row r="682" spans="1:7" x14ac:dyDescent="0.2">
      <c r="A682" s="6" t="s">
        <v>8</v>
      </c>
      <c r="B682" s="7" t="s">
        <v>9</v>
      </c>
      <c r="C682" s="7" t="s">
        <v>990</v>
      </c>
      <c r="D682" s="7">
        <v>-1.3956529</v>
      </c>
      <c r="E682" s="7">
        <v>-1.2297693999999999</v>
      </c>
      <c r="F682" s="9" t="str">
        <f t="shared" si="4"/>
        <v>Direct</v>
      </c>
      <c r="G682" s="7" t="s">
        <v>11</v>
      </c>
    </row>
    <row r="683" spans="1:7" x14ac:dyDescent="0.2">
      <c r="A683" s="6" t="s">
        <v>8</v>
      </c>
      <c r="B683" s="7" t="s">
        <v>9</v>
      </c>
      <c r="C683" s="7" t="s">
        <v>991</v>
      </c>
      <c r="D683" s="7">
        <v>1.8793090800000001</v>
      </c>
      <c r="E683" s="7">
        <v>1.8060616599999999</v>
      </c>
      <c r="F683" s="9" t="str">
        <f t="shared" si="4"/>
        <v>Direct</v>
      </c>
      <c r="G683" s="7" t="s">
        <v>11</v>
      </c>
    </row>
    <row r="684" spans="1:7" x14ac:dyDescent="0.2">
      <c r="A684" s="6" t="s">
        <v>8</v>
      </c>
      <c r="B684" s="7" t="s">
        <v>9</v>
      </c>
      <c r="C684" s="7" t="s">
        <v>992</v>
      </c>
      <c r="D684" s="7">
        <v>1.4918331899999999</v>
      </c>
      <c r="E684" s="7">
        <v>1.35651678</v>
      </c>
      <c r="F684" s="9" t="str">
        <f t="shared" si="4"/>
        <v>Direct</v>
      </c>
      <c r="G684" s="7" t="s">
        <v>11</v>
      </c>
    </row>
    <row r="685" spans="1:7" x14ac:dyDescent="0.2">
      <c r="A685" s="6" t="s">
        <v>8</v>
      </c>
      <c r="B685" s="7" t="s">
        <v>9</v>
      </c>
      <c r="C685" s="7" t="s">
        <v>993</v>
      </c>
      <c r="D685" s="7">
        <v>4.1788827099999999</v>
      </c>
      <c r="E685" s="7">
        <v>1.96190899</v>
      </c>
      <c r="F685" s="9" t="str">
        <f t="shared" si="4"/>
        <v>Direct</v>
      </c>
      <c r="G685" s="7" t="s">
        <v>11</v>
      </c>
    </row>
    <row r="686" spans="1:7" x14ac:dyDescent="0.2">
      <c r="A686" s="6" t="s">
        <v>8</v>
      </c>
      <c r="B686" s="7" t="s">
        <v>9</v>
      </c>
      <c r="C686" s="7" t="s">
        <v>994</v>
      </c>
      <c r="D686" s="7">
        <v>-3.7137804999999999</v>
      </c>
      <c r="E686" s="7">
        <v>-2.8405073999999999</v>
      </c>
      <c r="F686" s="9" t="str">
        <f t="shared" si="4"/>
        <v>Direct</v>
      </c>
      <c r="G686" s="7" t="s">
        <v>995</v>
      </c>
    </row>
    <row r="687" spans="1:7" x14ac:dyDescent="0.2">
      <c r="A687" s="6" t="s">
        <v>8</v>
      </c>
      <c r="B687" s="7" t="s">
        <v>9</v>
      </c>
      <c r="C687" s="7" t="s">
        <v>996</v>
      </c>
      <c r="D687" s="7">
        <v>-1.4153232</v>
      </c>
      <c r="E687" s="7">
        <v>-2.3691122999999998</v>
      </c>
      <c r="F687" s="9" t="str">
        <f t="shared" si="4"/>
        <v>Direct</v>
      </c>
      <c r="G687" s="7" t="s">
        <v>11</v>
      </c>
    </row>
    <row r="688" spans="1:7" x14ac:dyDescent="0.2">
      <c r="A688" s="6" t="s">
        <v>8</v>
      </c>
      <c r="B688" s="7" t="s">
        <v>9</v>
      </c>
      <c r="C688" s="7" t="s">
        <v>997</v>
      </c>
      <c r="D688" s="7">
        <v>1.45404044</v>
      </c>
      <c r="E688" s="7">
        <v>4.2054940800000002</v>
      </c>
      <c r="F688" s="9" t="str">
        <f t="shared" si="4"/>
        <v>Direct</v>
      </c>
      <c r="G688" s="7" t="s">
        <v>998</v>
      </c>
    </row>
    <row r="689" spans="1:7" x14ac:dyDescent="0.2">
      <c r="A689" s="6" t="s">
        <v>8</v>
      </c>
      <c r="B689" s="7" t="s">
        <v>9</v>
      </c>
      <c r="C689" s="7" t="s">
        <v>999</v>
      </c>
      <c r="D689" s="7">
        <v>1.60073223</v>
      </c>
      <c r="E689" s="7">
        <v>1.7897204900000001</v>
      </c>
      <c r="F689" s="9" t="str">
        <f t="shared" si="4"/>
        <v>Direct</v>
      </c>
      <c r="G689" s="7" t="s">
        <v>693</v>
      </c>
    </row>
    <row r="690" spans="1:7" x14ac:dyDescent="0.2">
      <c r="A690" s="6" t="s">
        <v>8</v>
      </c>
      <c r="B690" s="7" t="s">
        <v>9</v>
      </c>
      <c r="C690" s="7" t="s">
        <v>1000</v>
      </c>
      <c r="D690" s="7">
        <v>1.8571526</v>
      </c>
      <c r="E690" s="7">
        <v>2.6933962600000001</v>
      </c>
      <c r="F690" s="9" t="str">
        <f t="shared" si="4"/>
        <v>Direct</v>
      </c>
      <c r="G690" s="7" t="s">
        <v>693</v>
      </c>
    </row>
    <row r="691" spans="1:7" x14ac:dyDescent="0.2">
      <c r="A691" s="6" t="s">
        <v>8</v>
      </c>
      <c r="B691" s="7" t="s">
        <v>9</v>
      </c>
      <c r="C691" s="7" t="s">
        <v>1001</v>
      </c>
      <c r="D691" s="7">
        <v>-1.0025786000000001</v>
      </c>
      <c r="E691" s="7">
        <v>-6.1826235</v>
      </c>
      <c r="F691" s="9" t="str">
        <f t="shared" si="4"/>
        <v>Direct</v>
      </c>
      <c r="G691" s="7" t="s">
        <v>11</v>
      </c>
    </row>
    <row r="692" spans="1:7" x14ac:dyDescent="0.2">
      <c r="A692" s="6" t="s">
        <v>8</v>
      </c>
      <c r="B692" s="7" t="s">
        <v>9</v>
      </c>
      <c r="C692" s="7" t="s">
        <v>1002</v>
      </c>
      <c r="D692" s="7">
        <v>-1.1336982</v>
      </c>
      <c r="E692" s="7">
        <v>-2.4276087999999998</v>
      </c>
      <c r="F692" s="9" t="str">
        <f t="shared" si="4"/>
        <v>Direct</v>
      </c>
      <c r="G692" s="7" t="s">
        <v>11</v>
      </c>
    </row>
    <row r="693" spans="1:7" x14ac:dyDescent="0.2">
      <c r="A693" s="6" t="s">
        <v>8</v>
      </c>
      <c r="B693" s="7" t="s">
        <v>9</v>
      </c>
      <c r="C693" s="7" t="s">
        <v>1003</v>
      </c>
      <c r="D693" s="7">
        <v>-1.6852210000000001</v>
      </c>
      <c r="E693" s="7">
        <v>-1.6899291000000001</v>
      </c>
      <c r="F693" s="9" t="str">
        <f t="shared" si="4"/>
        <v>Direct</v>
      </c>
      <c r="G693" s="7" t="s">
        <v>11</v>
      </c>
    </row>
    <row r="694" spans="1:7" x14ac:dyDescent="0.2">
      <c r="A694" s="6" t="s">
        <v>8</v>
      </c>
      <c r="B694" s="7" t="s">
        <v>9</v>
      </c>
      <c r="C694" s="7" t="s">
        <v>1004</v>
      </c>
      <c r="D694" s="7">
        <v>-2.0242732000000001</v>
      </c>
      <c r="E694" s="7">
        <v>-2.0968897000000002</v>
      </c>
      <c r="F694" s="9" t="str">
        <f t="shared" si="4"/>
        <v>Direct</v>
      </c>
      <c r="G694" s="7" t="s">
        <v>11</v>
      </c>
    </row>
    <row r="695" spans="1:7" x14ac:dyDescent="0.2">
      <c r="A695" s="6" t="s">
        <v>8</v>
      </c>
      <c r="B695" s="7" t="s">
        <v>9</v>
      </c>
      <c r="C695" s="7" t="s">
        <v>1005</v>
      </c>
      <c r="D695" s="7">
        <v>-1.9722036999999999</v>
      </c>
      <c r="E695" s="7">
        <v>-7.5389714999999997</v>
      </c>
      <c r="F695" s="9" t="str">
        <f t="shared" si="4"/>
        <v>Direct</v>
      </c>
      <c r="G695" s="7" t="s">
        <v>11</v>
      </c>
    </row>
    <row r="696" spans="1:7" x14ac:dyDescent="0.2">
      <c r="A696" s="6" t="s">
        <v>8</v>
      </c>
      <c r="B696" s="7" t="s">
        <v>9</v>
      </c>
      <c r="C696" s="7" t="s">
        <v>1006</v>
      </c>
      <c r="D696" s="7">
        <v>-3.9630938000000002</v>
      </c>
      <c r="E696" s="7">
        <v>-6.3706253000000004</v>
      </c>
      <c r="F696" s="9" t="str">
        <f t="shared" si="4"/>
        <v>Direct</v>
      </c>
      <c r="G696" s="7" t="s">
        <v>11</v>
      </c>
    </row>
    <row r="697" spans="1:7" x14ac:dyDescent="0.2">
      <c r="A697" s="6" t="s">
        <v>8</v>
      </c>
      <c r="B697" s="7" t="s">
        <v>9</v>
      </c>
      <c r="C697" s="7" t="s">
        <v>1007</v>
      </c>
      <c r="D697" s="7">
        <v>-1.6641858</v>
      </c>
      <c r="E697" s="7">
        <v>-5.5898725999999996</v>
      </c>
      <c r="F697" s="9" t="str">
        <f t="shared" si="4"/>
        <v>Direct</v>
      </c>
      <c r="G697" s="7" t="s">
        <v>200</v>
      </c>
    </row>
    <row r="698" spans="1:7" x14ac:dyDescent="0.2">
      <c r="A698" s="6" t="s">
        <v>8</v>
      </c>
      <c r="B698" s="7" t="s">
        <v>9</v>
      </c>
      <c r="C698" s="7" t="s">
        <v>1008</v>
      </c>
      <c r="D698" s="7">
        <v>-1.6091599000000001</v>
      </c>
      <c r="E698" s="7">
        <v>-6.9685812</v>
      </c>
      <c r="F698" s="9" t="str">
        <f t="shared" si="4"/>
        <v>Direct</v>
      </c>
      <c r="G698" s="7" t="s">
        <v>200</v>
      </c>
    </row>
    <row r="699" spans="1:7" x14ac:dyDescent="0.2">
      <c r="A699" s="6" t="s">
        <v>8</v>
      </c>
      <c r="B699" s="7" t="s">
        <v>9</v>
      </c>
      <c r="C699" s="7" t="s">
        <v>1009</v>
      </c>
      <c r="D699" s="7">
        <v>-1.6734</v>
      </c>
      <c r="E699" s="7">
        <v>-4.0880482999999996</v>
      </c>
      <c r="F699" s="9" t="str">
        <f t="shared" si="4"/>
        <v>Direct</v>
      </c>
      <c r="G699" s="7" t="s">
        <v>11</v>
      </c>
    </row>
    <row r="700" spans="1:7" x14ac:dyDescent="0.2">
      <c r="A700" s="6" t="s">
        <v>8</v>
      </c>
      <c r="B700" s="7" t="s">
        <v>9</v>
      </c>
      <c r="C700" s="7" t="s">
        <v>1010</v>
      </c>
      <c r="D700" s="7">
        <v>-2.1812182</v>
      </c>
      <c r="E700" s="7">
        <v>-1.2909761</v>
      </c>
      <c r="F700" s="9" t="str">
        <f t="shared" si="4"/>
        <v>Direct</v>
      </c>
      <c r="G700" s="7" t="s">
        <v>995</v>
      </c>
    </row>
    <row r="701" spans="1:7" x14ac:dyDescent="0.2">
      <c r="A701" s="6" t="s">
        <v>8</v>
      </c>
      <c r="B701" s="7" t="s">
        <v>9</v>
      </c>
      <c r="C701" s="7" t="s">
        <v>1011</v>
      </c>
      <c r="D701" s="7">
        <v>1.72565327</v>
      </c>
      <c r="E701" s="7">
        <v>2.1210403200000001</v>
      </c>
      <c r="F701" s="9" t="str">
        <f t="shared" si="4"/>
        <v>Direct</v>
      </c>
      <c r="G701" s="7" t="s">
        <v>11</v>
      </c>
    </row>
    <row r="702" spans="1:7" x14ac:dyDescent="0.2">
      <c r="A702" s="6" t="s">
        <v>8</v>
      </c>
      <c r="B702" s="7" t="s">
        <v>9</v>
      </c>
      <c r="C702" s="7" t="s">
        <v>1012</v>
      </c>
      <c r="D702" s="7">
        <v>-1.787037</v>
      </c>
      <c r="E702" s="7">
        <v>-1.1645589999999999</v>
      </c>
      <c r="F702" s="9" t="str">
        <f t="shared" si="4"/>
        <v>Direct</v>
      </c>
      <c r="G702" s="7" t="s">
        <v>11</v>
      </c>
    </row>
    <row r="703" spans="1:7" x14ac:dyDescent="0.2">
      <c r="A703" s="6" t="s">
        <v>8</v>
      </c>
      <c r="B703" s="7" t="s">
        <v>9</v>
      </c>
      <c r="C703" s="7" t="s">
        <v>1013</v>
      </c>
      <c r="D703" s="7">
        <v>-3.3140355000000001</v>
      </c>
      <c r="E703" s="7">
        <v>-1.9609209999999999</v>
      </c>
      <c r="F703" s="9" t="str">
        <f t="shared" si="4"/>
        <v>Direct</v>
      </c>
      <c r="G703" s="7" t="s">
        <v>11</v>
      </c>
    </row>
    <row r="704" spans="1:7" x14ac:dyDescent="0.2">
      <c r="A704" s="6" t="s">
        <v>8</v>
      </c>
      <c r="B704" s="7" t="s">
        <v>9</v>
      </c>
      <c r="C704" s="7" t="s">
        <v>1014</v>
      </c>
      <c r="D704" s="7">
        <v>-1.5043508999999999</v>
      </c>
      <c r="E704" s="7">
        <v>-2.0283446999999999</v>
      </c>
      <c r="F704" s="9" t="str">
        <f t="shared" si="4"/>
        <v>Direct</v>
      </c>
      <c r="G704" s="7" t="s">
        <v>1015</v>
      </c>
    </row>
    <row r="705" spans="1:7" x14ac:dyDescent="0.2">
      <c r="A705" s="6" t="s">
        <v>8</v>
      </c>
      <c r="B705" s="7" t="s">
        <v>9</v>
      </c>
      <c r="C705" s="7" t="s">
        <v>1016</v>
      </c>
      <c r="D705" s="7">
        <v>1.5871231400000001</v>
      </c>
      <c r="E705" s="7">
        <v>8.8981764999999999</v>
      </c>
      <c r="F705" s="9" t="str">
        <f t="shared" si="4"/>
        <v>Direct</v>
      </c>
      <c r="G705" s="7" t="s">
        <v>11</v>
      </c>
    </row>
    <row r="706" spans="1:7" x14ac:dyDescent="0.2">
      <c r="A706" s="6" t="s">
        <v>8</v>
      </c>
      <c r="B706" s="7" t="s">
        <v>9</v>
      </c>
      <c r="C706" s="7" t="s">
        <v>1017</v>
      </c>
      <c r="D706" s="7">
        <v>-1.1680721999999999</v>
      </c>
      <c r="E706" s="7">
        <v>-1.7456497</v>
      </c>
      <c r="F706" s="9" t="str">
        <f t="shared" si="4"/>
        <v>Direct</v>
      </c>
      <c r="G706" s="7" t="s">
        <v>11</v>
      </c>
    </row>
    <row r="707" spans="1:7" x14ac:dyDescent="0.2">
      <c r="A707" s="6" t="s">
        <v>8</v>
      </c>
      <c r="B707" s="7" t="s">
        <v>9</v>
      </c>
      <c r="C707" s="7" t="s">
        <v>1018</v>
      </c>
      <c r="D707" s="7">
        <v>2.4358924499999999</v>
      </c>
      <c r="E707" s="7">
        <v>2.5745478199999998</v>
      </c>
      <c r="F707" s="9" t="str">
        <f t="shared" si="4"/>
        <v>Direct</v>
      </c>
      <c r="G707" s="7" t="s">
        <v>11</v>
      </c>
    </row>
    <row r="708" spans="1:7" x14ac:dyDescent="0.2">
      <c r="A708" s="6" t="s">
        <v>8</v>
      </c>
      <c r="B708" s="7" t="s">
        <v>9</v>
      </c>
      <c r="C708" s="7" t="s">
        <v>1019</v>
      </c>
      <c r="D708" s="7">
        <v>1.0477375499999999</v>
      </c>
      <c r="E708" s="7">
        <v>1.2253899399999999</v>
      </c>
      <c r="F708" s="9" t="str">
        <f t="shared" si="4"/>
        <v>Direct</v>
      </c>
      <c r="G708" s="7" t="s">
        <v>1020</v>
      </c>
    </row>
    <row r="709" spans="1:7" x14ac:dyDescent="0.2">
      <c r="A709" s="6" t="s">
        <v>8</v>
      </c>
      <c r="B709" s="7" t="s">
        <v>9</v>
      </c>
      <c r="C709" s="7" t="s">
        <v>1021</v>
      </c>
      <c r="D709" s="7">
        <v>-1.359731</v>
      </c>
      <c r="E709" s="7">
        <v>-5.9340324000000004</v>
      </c>
      <c r="F709" s="9" t="str">
        <f t="shared" si="4"/>
        <v>Direct</v>
      </c>
      <c r="G709" s="7" t="s">
        <v>1022</v>
      </c>
    </row>
    <row r="710" spans="1:7" x14ac:dyDescent="0.2">
      <c r="A710" s="6" t="s">
        <v>8</v>
      </c>
      <c r="B710" s="7" t="s">
        <v>9</v>
      </c>
      <c r="C710" s="7" t="s">
        <v>1023</v>
      </c>
      <c r="D710" s="7">
        <v>-1.5707154000000001</v>
      </c>
      <c r="E710" s="7">
        <v>-1.4159983</v>
      </c>
      <c r="F710" s="9" t="str">
        <f t="shared" si="4"/>
        <v>Direct</v>
      </c>
      <c r="G710" s="7" t="s">
        <v>11</v>
      </c>
    </row>
    <row r="711" spans="1:7" x14ac:dyDescent="0.2">
      <c r="A711" s="6" t="s">
        <v>8</v>
      </c>
      <c r="B711" s="7" t="s">
        <v>9</v>
      </c>
      <c r="C711" s="7" t="s">
        <v>1024</v>
      </c>
      <c r="D711" s="7">
        <v>-1.5059100000000001</v>
      </c>
      <c r="E711" s="7">
        <v>-1.1066454999999999</v>
      </c>
      <c r="F711" s="9" t="str">
        <f t="shared" si="4"/>
        <v>Direct</v>
      </c>
      <c r="G711" s="7" t="s">
        <v>11</v>
      </c>
    </row>
    <row r="712" spans="1:7" x14ac:dyDescent="0.2">
      <c r="A712" s="6" t="s">
        <v>8</v>
      </c>
      <c r="B712" s="7" t="s">
        <v>9</v>
      </c>
      <c r="C712" s="7" t="s">
        <v>1025</v>
      </c>
      <c r="D712" s="7">
        <v>1.4401134200000001</v>
      </c>
      <c r="E712" s="7">
        <v>4.60265784</v>
      </c>
      <c r="F712" s="9" t="str">
        <f t="shared" si="4"/>
        <v>Direct</v>
      </c>
      <c r="G712" s="7" t="s">
        <v>1026</v>
      </c>
    </row>
    <row r="713" spans="1:7" x14ac:dyDescent="0.2">
      <c r="A713" s="6" t="s">
        <v>8</v>
      </c>
      <c r="B713" s="7" t="s">
        <v>9</v>
      </c>
      <c r="C713" s="7" t="s">
        <v>1027</v>
      </c>
      <c r="D713" s="7">
        <v>1.80445437</v>
      </c>
      <c r="E713" s="7">
        <v>1.37965088</v>
      </c>
      <c r="F713" s="9" t="str">
        <f t="shared" si="4"/>
        <v>Direct</v>
      </c>
      <c r="G713" s="7" t="s">
        <v>11</v>
      </c>
    </row>
    <row r="714" spans="1:7" x14ac:dyDescent="0.2">
      <c r="A714" s="6" t="s">
        <v>8</v>
      </c>
      <c r="B714" s="7" t="s">
        <v>9</v>
      </c>
      <c r="C714" s="7" t="s">
        <v>1028</v>
      </c>
      <c r="D714" s="7">
        <v>1.56965581</v>
      </c>
      <c r="E714" s="7">
        <v>3.7274306799999999</v>
      </c>
      <c r="F714" s="9" t="str">
        <f t="shared" si="4"/>
        <v>Direct</v>
      </c>
      <c r="G714" s="7" t="s">
        <v>11</v>
      </c>
    </row>
    <row r="715" spans="1:7" x14ac:dyDescent="0.2">
      <c r="A715" s="6" t="s">
        <v>8</v>
      </c>
      <c r="B715" s="7" t="s">
        <v>9</v>
      </c>
      <c r="C715" s="7" t="s">
        <v>1029</v>
      </c>
      <c r="D715" s="7">
        <v>1.7820461700000001</v>
      </c>
      <c r="E715" s="7">
        <v>7.8279283599999996</v>
      </c>
      <c r="F715" s="9" t="str">
        <f t="shared" si="4"/>
        <v>Direct</v>
      </c>
      <c r="G715" s="7" t="s">
        <v>1030</v>
      </c>
    </row>
    <row r="716" spans="1:7" x14ac:dyDescent="0.2">
      <c r="A716" s="6" t="s">
        <v>8</v>
      </c>
      <c r="B716" s="7" t="s">
        <v>9</v>
      </c>
      <c r="C716" s="7" t="s">
        <v>1031</v>
      </c>
      <c r="D716" s="7">
        <v>1.09865002</v>
      </c>
      <c r="E716" s="7">
        <v>5.8076129999999999</v>
      </c>
      <c r="F716" s="9" t="str">
        <f t="shared" si="4"/>
        <v>Direct</v>
      </c>
      <c r="G716" s="7" t="s">
        <v>1032</v>
      </c>
    </row>
    <row r="717" spans="1:7" x14ac:dyDescent="0.2">
      <c r="A717" s="6" t="s">
        <v>8</v>
      </c>
      <c r="B717" s="7" t="s">
        <v>9</v>
      </c>
      <c r="C717" s="7" t="s">
        <v>1033</v>
      </c>
      <c r="D717" s="7">
        <v>2.1812181599999998</v>
      </c>
      <c r="E717" s="7">
        <v>2.8881213099999998</v>
      </c>
      <c r="F717" s="9" t="str">
        <f t="shared" si="4"/>
        <v>Direct</v>
      </c>
      <c r="G717" s="7" t="s">
        <v>11</v>
      </c>
    </row>
    <row r="718" spans="1:7" x14ac:dyDescent="0.2">
      <c r="A718" s="6" t="s">
        <v>8</v>
      </c>
      <c r="B718" s="7" t="s">
        <v>9</v>
      </c>
      <c r="C718" s="7" t="s">
        <v>1034</v>
      </c>
      <c r="D718" s="7">
        <v>1.09012424</v>
      </c>
      <c r="E718" s="7">
        <v>1.6026117</v>
      </c>
      <c r="F718" s="9" t="str">
        <f t="shared" si="4"/>
        <v>Direct</v>
      </c>
      <c r="G718" s="7" t="s">
        <v>11</v>
      </c>
    </row>
    <row r="719" spans="1:7" x14ac:dyDescent="0.2">
      <c r="A719" s="6" t="s">
        <v>8</v>
      </c>
      <c r="B719" s="7" t="s">
        <v>9</v>
      </c>
      <c r="C719" s="7" t="s">
        <v>1035</v>
      </c>
      <c r="D719" s="7">
        <v>-4.7850672000000003</v>
      </c>
      <c r="E719" s="7">
        <v>-6.8263958999999996</v>
      </c>
      <c r="F719" s="9" t="str">
        <f t="shared" si="4"/>
        <v>Direct</v>
      </c>
      <c r="G719" s="7" t="s">
        <v>11</v>
      </c>
    </row>
    <row r="720" spans="1:7" x14ac:dyDescent="0.2">
      <c r="A720" s="6" t="s">
        <v>8</v>
      </c>
      <c r="B720" s="7" t="s">
        <v>9</v>
      </c>
      <c r="C720" s="7" t="s">
        <v>1036</v>
      </c>
      <c r="D720" s="7">
        <v>1.10374039</v>
      </c>
      <c r="E720" s="7">
        <v>1.82384708</v>
      </c>
      <c r="F720" s="9" t="str">
        <f t="shared" si="4"/>
        <v>Direct</v>
      </c>
      <c r="G720" s="7" t="s">
        <v>11</v>
      </c>
    </row>
    <row r="721" spans="1:7" x14ac:dyDescent="0.2">
      <c r="A721" s="6" t="s">
        <v>8</v>
      </c>
      <c r="B721" s="7" t="s">
        <v>9</v>
      </c>
      <c r="C721" s="7" t="s">
        <v>1037</v>
      </c>
      <c r="D721" s="7">
        <v>1.5707154000000001</v>
      </c>
      <c r="E721" s="7">
        <v>3.5526430699999998</v>
      </c>
      <c r="F721" s="9" t="str">
        <f t="shared" si="4"/>
        <v>Direct</v>
      </c>
      <c r="G721" s="7" t="s">
        <v>35</v>
      </c>
    </row>
    <row r="722" spans="1:7" x14ac:dyDescent="0.2">
      <c r="A722" s="6" t="s">
        <v>8</v>
      </c>
      <c r="B722" s="7" t="s">
        <v>9</v>
      </c>
      <c r="C722" s="7" t="s">
        <v>1038</v>
      </c>
      <c r="D722" s="7">
        <v>1.9163257300000001</v>
      </c>
      <c r="E722" s="7">
        <v>6.9609973099999998</v>
      </c>
      <c r="F722" s="9" t="str">
        <f t="shared" si="4"/>
        <v>Direct</v>
      </c>
      <c r="G722" s="7" t="s">
        <v>1039</v>
      </c>
    </row>
    <row r="723" spans="1:7" x14ac:dyDescent="0.2">
      <c r="A723" s="6" t="s">
        <v>8</v>
      </c>
      <c r="B723" s="7" t="s">
        <v>9</v>
      </c>
      <c r="C723" s="7" t="s">
        <v>1040</v>
      </c>
      <c r="D723" s="7">
        <v>-2.1801526999999998</v>
      </c>
      <c r="E723" s="7">
        <v>-1.9647265</v>
      </c>
      <c r="F723" s="9" t="str">
        <f t="shared" si="4"/>
        <v>Direct</v>
      </c>
      <c r="G723" s="7" t="s">
        <v>11</v>
      </c>
    </row>
    <row r="724" spans="1:7" x14ac:dyDescent="0.2">
      <c r="A724" s="6" t="s">
        <v>8</v>
      </c>
      <c r="B724" s="7" t="s">
        <v>9</v>
      </c>
      <c r="C724" s="7" t="s">
        <v>1041</v>
      </c>
      <c r="D724" s="7">
        <v>-2.0994003999999999</v>
      </c>
      <c r="E724" s="7">
        <v>-3.4890873</v>
      </c>
      <c r="F724" s="9" t="str">
        <f t="shared" si="4"/>
        <v>Direct</v>
      </c>
      <c r="G724" s="7" t="s">
        <v>11</v>
      </c>
    </row>
    <row r="725" spans="1:7" x14ac:dyDescent="0.2">
      <c r="A725" s="6" t="s">
        <v>8</v>
      </c>
      <c r="B725" s="7" t="s">
        <v>9</v>
      </c>
      <c r="C725" s="7" t="s">
        <v>1042</v>
      </c>
      <c r="D725" s="7">
        <v>1.6685492399999999</v>
      </c>
      <c r="E725" s="7">
        <v>8.0832162499999995</v>
      </c>
      <c r="F725" s="9" t="str">
        <f t="shared" si="4"/>
        <v>Direct</v>
      </c>
      <c r="G725" s="7" t="s">
        <v>11</v>
      </c>
    </row>
    <row r="726" spans="1:7" x14ac:dyDescent="0.2">
      <c r="A726" s="6" t="s">
        <v>8</v>
      </c>
      <c r="B726" s="7" t="s">
        <v>9</v>
      </c>
      <c r="C726" s="7" t="s">
        <v>1043</v>
      </c>
      <c r="D726" s="7">
        <v>-1.2877965</v>
      </c>
      <c r="E726" s="7">
        <v>-1.2790062</v>
      </c>
      <c r="F726" s="9" t="str">
        <f t="shared" si="4"/>
        <v>Direct</v>
      </c>
      <c r="G726" s="7" t="s">
        <v>11</v>
      </c>
    </row>
    <row r="727" spans="1:7" x14ac:dyDescent="0.2">
      <c r="A727" s="6" t="s">
        <v>8</v>
      </c>
      <c r="B727" s="7" t="s">
        <v>9</v>
      </c>
      <c r="C727" s="7" t="s">
        <v>1044</v>
      </c>
      <c r="D727" s="7">
        <v>1.01984995</v>
      </c>
      <c r="E727" s="7">
        <v>1.2091414599999999</v>
      </c>
      <c r="F727" s="9" t="str">
        <f t="shared" si="4"/>
        <v>Direct</v>
      </c>
      <c r="G727" s="7" t="s">
        <v>11</v>
      </c>
    </row>
    <row r="728" spans="1:7" x14ac:dyDescent="0.2">
      <c r="A728" s="6" t="s">
        <v>8</v>
      </c>
      <c r="B728" s="7" t="s">
        <v>9</v>
      </c>
      <c r="C728" s="7" t="s">
        <v>1045</v>
      </c>
      <c r="D728" s="7">
        <v>2.49536574</v>
      </c>
      <c r="E728" s="7">
        <v>2.9918141399999998</v>
      </c>
      <c r="F728" s="9" t="str">
        <f t="shared" si="4"/>
        <v>Direct</v>
      </c>
      <c r="G728" s="7" t="s">
        <v>1046</v>
      </c>
    </row>
    <row r="729" spans="1:7" x14ac:dyDescent="0.2">
      <c r="A729" s="6" t="s">
        <v>8</v>
      </c>
      <c r="B729" s="7" t="s">
        <v>9</v>
      </c>
      <c r="C729" s="7" t="s">
        <v>1047</v>
      </c>
      <c r="D729" s="7">
        <v>-1.1065833</v>
      </c>
      <c r="E729" s="7">
        <v>-2.4061111999999998</v>
      </c>
      <c r="F729" s="9" t="str">
        <f t="shared" si="4"/>
        <v>Direct</v>
      </c>
      <c r="G729" s="7" t="s">
        <v>11</v>
      </c>
    </row>
    <row r="730" spans="1:7" x14ac:dyDescent="0.2">
      <c r="A730" s="6" t="s">
        <v>8</v>
      </c>
      <c r="B730" s="7" t="s">
        <v>9</v>
      </c>
      <c r="C730" s="7" t="s">
        <v>1048</v>
      </c>
      <c r="D730" s="7">
        <v>1.4440334500000001</v>
      </c>
      <c r="E730" s="7">
        <v>1.97311232</v>
      </c>
      <c r="F730" s="9" t="str">
        <f t="shared" si="4"/>
        <v>Direct</v>
      </c>
      <c r="G730" s="7" t="s">
        <v>11</v>
      </c>
    </row>
    <row r="731" spans="1:7" x14ac:dyDescent="0.2">
      <c r="A731" s="6" t="s">
        <v>8</v>
      </c>
      <c r="B731" s="7" t="s">
        <v>9</v>
      </c>
      <c r="C731" s="7" t="s">
        <v>1049</v>
      </c>
      <c r="D731" s="7">
        <v>1.0942340800000001</v>
      </c>
      <c r="E731" s="7">
        <v>4.96416974</v>
      </c>
      <c r="F731" s="9" t="str">
        <f t="shared" si="4"/>
        <v>Direct</v>
      </c>
      <c r="G731" s="7" t="s">
        <v>11</v>
      </c>
    </row>
    <row r="732" spans="1:7" x14ac:dyDescent="0.2">
      <c r="A732" s="6" t="s">
        <v>8</v>
      </c>
      <c r="B732" s="7" t="s">
        <v>9</v>
      </c>
      <c r="C732" s="7" t="s">
        <v>1050</v>
      </c>
      <c r="D732" s="7">
        <v>-1.1873229000000001</v>
      </c>
      <c r="E732" s="7">
        <v>-1.6738407</v>
      </c>
      <c r="F732" s="9" t="str">
        <f t="shared" si="4"/>
        <v>Direct</v>
      </c>
      <c r="G732" s="7" t="s">
        <v>11</v>
      </c>
    </row>
    <row r="733" spans="1:7" x14ac:dyDescent="0.2">
      <c r="A733" s="6" t="s">
        <v>8</v>
      </c>
      <c r="B733" s="7" t="s">
        <v>9</v>
      </c>
      <c r="C733" s="7" t="s">
        <v>1051</v>
      </c>
      <c r="D733" s="7">
        <v>2.25218505</v>
      </c>
      <c r="E733" s="7">
        <v>2.60256401</v>
      </c>
      <c r="F733" s="9" t="str">
        <f t="shared" si="4"/>
        <v>Direct</v>
      </c>
      <c r="G733" s="7" t="s">
        <v>200</v>
      </c>
    </row>
    <row r="734" spans="1:7" x14ac:dyDescent="0.2">
      <c r="A734" s="6" t="s">
        <v>8</v>
      </c>
      <c r="B734" s="7" t="s">
        <v>9</v>
      </c>
      <c r="C734" s="7" t="s">
        <v>1052</v>
      </c>
      <c r="D734" s="7">
        <v>1.86137643</v>
      </c>
      <c r="E734" s="7">
        <v>2.91495952</v>
      </c>
      <c r="F734" s="9" t="str">
        <f t="shared" si="4"/>
        <v>Direct</v>
      </c>
      <c r="G734" s="7" t="s">
        <v>11</v>
      </c>
    </row>
    <row r="735" spans="1:7" x14ac:dyDescent="0.2">
      <c r="A735" s="6" t="s">
        <v>8</v>
      </c>
      <c r="B735" s="7" t="s">
        <v>9</v>
      </c>
      <c r="C735" s="7" t="s">
        <v>1053</v>
      </c>
      <c r="D735" s="7">
        <v>2.1340126700000002</v>
      </c>
      <c r="E735" s="7">
        <v>6.1918543799999997</v>
      </c>
      <c r="F735" s="9" t="str">
        <f t="shared" si="4"/>
        <v>Direct</v>
      </c>
      <c r="G735" s="7" t="s">
        <v>11</v>
      </c>
    </row>
    <row r="736" spans="1:7" x14ac:dyDescent="0.2">
      <c r="A736" s="6" t="s">
        <v>8</v>
      </c>
      <c r="B736" s="7" t="s">
        <v>9</v>
      </c>
      <c r="C736" s="7" t="s">
        <v>1054</v>
      </c>
      <c r="D736" s="7">
        <v>1.1890845999999999</v>
      </c>
      <c r="E736" s="7">
        <v>2.0481116799999999</v>
      </c>
      <c r="F736" s="9" t="str">
        <f t="shared" si="4"/>
        <v>Direct</v>
      </c>
      <c r="G736" s="7" t="s">
        <v>11</v>
      </c>
    </row>
    <row r="737" spans="1:7" x14ac:dyDescent="0.2">
      <c r="A737" s="6" t="s">
        <v>8</v>
      </c>
      <c r="B737" s="7" t="s">
        <v>9</v>
      </c>
      <c r="C737" s="7" t="s">
        <v>1055</v>
      </c>
      <c r="D737" s="7">
        <v>1.3651442300000001</v>
      </c>
      <c r="E737" s="7">
        <v>3.3845828400000002</v>
      </c>
      <c r="F737" s="9" t="str">
        <f t="shared" si="4"/>
        <v>Direct</v>
      </c>
      <c r="G737" s="7" t="s">
        <v>11</v>
      </c>
    </row>
    <row r="738" spans="1:7" x14ac:dyDescent="0.2">
      <c r="A738" s="6" t="s">
        <v>8</v>
      </c>
      <c r="B738" s="7" t="s">
        <v>9</v>
      </c>
      <c r="C738" s="7" t="s">
        <v>1056</v>
      </c>
      <c r="D738" s="7">
        <v>-1.2422662</v>
      </c>
      <c r="E738" s="7">
        <v>-7.8389752000000001</v>
      </c>
      <c r="F738" s="9" t="str">
        <f t="shared" si="4"/>
        <v>Direct</v>
      </c>
      <c r="G738" s="7" t="s">
        <v>1057</v>
      </c>
    </row>
    <row r="739" spans="1:7" x14ac:dyDescent="0.2">
      <c r="A739" s="6" t="s">
        <v>8</v>
      </c>
      <c r="B739" s="7" t="s">
        <v>9</v>
      </c>
      <c r="C739" s="7" t="s">
        <v>1058</v>
      </c>
      <c r="D739" s="7">
        <v>1.43588991</v>
      </c>
      <c r="E739" s="7">
        <v>10.259726000000001</v>
      </c>
      <c r="F739" s="9" t="str">
        <f t="shared" si="4"/>
        <v>Direct</v>
      </c>
      <c r="G739" s="7" t="s">
        <v>11</v>
      </c>
    </row>
    <row r="740" spans="1:7" x14ac:dyDescent="0.2">
      <c r="A740" s="6" t="s">
        <v>8</v>
      </c>
      <c r="B740" s="7" t="s">
        <v>9</v>
      </c>
      <c r="C740" s="7" t="s">
        <v>1059</v>
      </c>
      <c r="D740" s="7">
        <v>-1.3995664999999999</v>
      </c>
      <c r="E740" s="7">
        <v>-1.5293333</v>
      </c>
      <c r="F740" s="9" t="str">
        <f t="shared" si="4"/>
        <v>Direct</v>
      </c>
      <c r="G740" s="7" t="s">
        <v>11</v>
      </c>
    </row>
    <row r="741" spans="1:7" x14ac:dyDescent="0.2">
      <c r="A741" s="6" t="s">
        <v>8</v>
      </c>
      <c r="B741" s="7" t="s">
        <v>9</v>
      </c>
      <c r="C741" s="7" t="s">
        <v>1060</v>
      </c>
      <c r="D741" s="7">
        <v>-1.4422059</v>
      </c>
      <c r="E741" s="7">
        <v>-3.8964235999999999</v>
      </c>
      <c r="F741" s="9" t="str">
        <f t="shared" si="4"/>
        <v>Direct</v>
      </c>
      <c r="G741" s="7" t="s">
        <v>11</v>
      </c>
    </row>
    <row r="742" spans="1:7" x14ac:dyDescent="0.2">
      <c r="A742" s="6" t="s">
        <v>8</v>
      </c>
      <c r="B742" s="7" t="s">
        <v>13</v>
      </c>
      <c r="C742" s="7" t="s">
        <v>1061</v>
      </c>
      <c r="D742" s="7">
        <v>-1.1753131000000001</v>
      </c>
      <c r="E742" s="7">
        <v>-2.7385307000000001</v>
      </c>
      <c r="F742" s="9" t="str">
        <f t="shared" si="4"/>
        <v>Direct</v>
      </c>
      <c r="G742" s="7" t="s">
        <v>510</v>
      </c>
    </row>
    <row r="743" spans="1:7" x14ac:dyDescent="0.2">
      <c r="A743" s="6" t="s">
        <v>8</v>
      </c>
      <c r="B743" s="7" t="s">
        <v>13</v>
      </c>
      <c r="C743" s="7" t="s">
        <v>1062</v>
      </c>
      <c r="D743" s="7">
        <v>2.42669296</v>
      </c>
      <c r="E743" s="7">
        <v>2.2281205100000001</v>
      </c>
      <c r="F743" s="9" t="str">
        <f t="shared" si="4"/>
        <v>Direct</v>
      </c>
      <c r="G743" s="7" t="s">
        <v>1063</v>
      </c>
    </row>
    <row r="744" spans="1:7" x14ac:dyDescent="0.2">
      <c r="A744" s="6" t="s">
        <v>8</v>
      </c>
      <c r="B744" s="7" t="s">
        <v>13</v>
      </c>
      <c r="C744" s="7" t="s">
        <v>1064</v>
      </c>
      <c r="D744" s="7">
        <v>2.3061800200000002</v>
      </c>
      <c r="E744" s="7">
        <v>2.5368333299999999</v>
      </c>
      <c r="F744" s="9" t="str">
        <f t="shared" si="4"/>
        <v>Direct</v>
      </c>
      <c r="G744" s="7" t="s">
        <v>11</v>
      </c>
    </row>
    <row r="745" spans="1:7" x14ac:dyDescent="0.2">
      <c r="A745" s="6" t="s">
        <v>8</v>
      </c>
      <c r="B745" s="7" t="s">
        <v>13</v>
      </c>
      <c r="C745" s="7" t="s">
        <v>1065</v>
      </c>
      <c r="D745" s="7">
        <v>-1.1841273999999999</v>
      </c>
      <c r="E745" s="7">
        <v>-5.3472695000000003</v>
      </c>
      <c r="F745" s="9" t="str">
        <f t="shared" si="4"/>
        <v>Direct</v>
      </c>
      <c r="G745" s="7" t="s">
        <v>1066</v>
      </c>
    </row>
    <row r="746" spans="1:7" x14ac:dyDescent="0.2">
      <c r="A746" s="6" t="s">
        <v>8</v>
      </c>
      <c r="B746" s="7" t="s">
        <v>13</v>
      </c>
      <c r="C746" s="7" t="s">
        <v>1067</v>
      </c>
      <c r="D746" s="7">
        <v>-1.2169481</v>
      </c>
      <c r="E746" s="7">
        <v>-1.5030454</v>
      </c>
      <c r="F746" s="9" t="str">
        <f t="shared" si="4"/>
        <v>Direct</v>
      </c>
      <c r="G746" s="7" t="s">
        <v>11</v>
      </c>
    </row>
    <row r="747" spans="1:7" x14ac:dyDescent="0.2">
      <c r="A747" s="6" t="s">
        <v>8</v>
      </c>
      <c r="B747" s="7" t="s">
        <v>13</v>
      </c>
      <c r="C747" s="7" t="s">
        <v>1068</v>
      </c>
      <c r="D747" s="7">
        <v>-3.0864202999999999</v>
      </c>
      <c r="E747" s="7">
        <v>-4.6114271000000002</v>
      </c>
      <c r="F747" s="9" t="str">
        <f t="shared" si="4"/>
        <v>Direct</v>
      </c>
      <c r="G747" s="7" t="s">
        <v>11</v>
      </c>
    </row>
    <row r="748" spans="1:7" x14ac:dyDescent="0.2">
      <c r="A748" s="6" t="s">
        <v>8</v>
      </c>
      <c r="B748" s="7" t="s">
        <v>13</v>
      </c>
      <c r="C748" s="7" t="s">
        <v>1069</v>
      </c>
      <c r="D748" s="7">
        <v>-1.3021014</v>
      </c>
      <c r="E748" s="7">
        <v>-4.2170373000000003</v>
      </c>
      <c r="F748" s="9" t="str">
        <f t="shared" si="4"/>
        <v>Direct</v>
      </c>
      <c r="G748" s="7" t="s">
        <v>1070</v>
      </c>
    </row>
    <row r="749" spans="1:7" x14ac:dyDescent="0.2">
      <c r="A749" s="6" t="s">
        <v>8</v>
      </c>
      <c r="B749" s="7" t="s">
        <v>13</v>
      </c>
      <c r="C749" s="7" t="s">
        <v>1071</v>
      </c>
      <c r="D749" s="7">
        <v>1.03663303</v>
      </c>
      <c r="E749" s="7">
        <v>2.16408215</v>
      </c>
      <c r="F749" s="9" t="str">
        <f t="shared" si="4"/>
        <v>Direct</v>
      </c>
      <c r="G749" s="7" t="s">
        <v>1072</v>
      </c>
    </row>
    <row r="750" spans="1:7" x14ac:dyDescent="0.2">
      <c r="A750" s="6" t="s">
        <v>8</v>
      </c>
      <c r="B750" s="7" t="s">
        <v>13</v>
      </c>
      <c r="C750" s="7" t="s">
        <v>1073</v>
      </c>
      <c r="D750" s="7">
        <v>1.00645702</v>
      </c>
      <c r="E750" s="7">
        <v>2.5055251200000002</v>
      </c>
      <c r="F750" s="9" t="str">
        <f t="shared" si="4"/>
        <v>Direct</v>
      </c>
      <c r="G750" s="7" t="s">
        <v>1074</v>
      </c>
    </row>
    <row r="751" spans="1:7" x14ac:dyDescent="0.2">
      <c r="A751" s="6" t="s">
        <v>8</v>
      </c>
      <c r="B751" s="7" t="s">
        <v>13</v>
      </c>
      <c r="C751" s="7" t="s">
        <v>1075</v>
      </c>
      <c r="D751" s="7">
        <v>-2.7193458000000001</v>
      </c>
      <c r="E751" s="7">
        <v>-1.9089233999999999</v>
      </c>
      <c r="F751" s="9" t="str">
        <f t="shared" si="4"/>
        <v>Direct</v>
      </c>
      <c r="G751" s="7" t="s">
        <v>11</v>
      </c>
    </row>
    <row r="752" spans="1:7" x14ac:dyDescent="0.2">
      <c r="A752" s="6" t="s">
        <v>8</v>
      </c>
      <c r="B752" s="7" t="s">
        <v>13</v>
      </c>
      <c r="C752" s="7" t="s">
        <v>19</v>
      </c>
      <c r="D752" s="7">
        <v>1.7611323299999999</v>
      </c>
      <c r="E752" s="7">
        <v>2.1399794000000001</v>
      </c>
      <c r="F752" s="9" t="str">
        <f t="shared" si="4"/>
        <v>Direct</v>
      </c>
      <c r="G752" s="7" t="s">
        <v>11</v>
      </c>
    </row>
    <row r="753" spans="1:7" x14ac:dyDescent="0.2">
      <c r="A753" s="6" t="s">
        <v>8</v>
      </c>
      <c r="B753" s="7" t="s">
        <v>13</v>
      </c>
      <c r="C753" s="7" t="s">
        <v>1076</v>
      </c>
      <c r="D753" s="7">
        <v>2.0722476900000002</v>
      </c>
      <c r="E753" s="7">
        <v>1.6178205299999999</v>
      </c>
      <c r="F753" s="9" t="str">
        <f t="shared" si="4"/>
        <v>Direct</v>
      </c>
      <c r="G753" s="7" t="s">
        <v>11</v>
      </c>
    </row>
    <row r="754" spans="1:7" x14ac:dyDescent="0.2">
      <c r="A754" s="6" t="s">
        <v>8</v>
      </c>
      <c r="B754" s="7" t="s">
        <v>13</v>
      </c>
      <c r="C754" s="7" t="s">
        <v>1077</v>
      </c>
      <c r="D754" s="7">
        <v>1.38890939</v>
      </c>
      <c r="E754" s="7">
        <v>9.0923901600000008</v>
      </c>
      <c r="F754" s="9" t="str">
        <f t="shared" si="4"/>
        <v>Direct</v>
      </c>
      <c r="G754" s="7" t="s">
        <v>11</v>
      </c>
    </row>
    <row r="755" spans="1:7" x14ac:dyDescent="0.2">
      <c r="A755" s="6" t="s">
        <v>8</v>
      </c>
      <c r="B755" s="7" t="s">
        <v>13</v>
      </c>
      <c r="C755" s="7" t="s">
        <v>1078</v>
      </c>
      <c r="D755" s="7">
        <v>-1.8294075999999999</v>
      </c>
      <c r="E755" s="7">
        <v>-3.4716429999999998</v>
      </c>
      <c r="F755" s="9" t="str">
        <f t="shared" si="4"/>
        <v>Direct</v>
      </c>
      <c r="G755" s="7" t="s">
        <v>1079</v>
      </c>
    </row>
    <row r="756" spans="1:7" x14ac:dyDescent="0.2">
      <c r="A756" s="6" t="s">
        <v>8</v>
      </c>
      <c r="B756" s="7" t="s">
        <v>13</v>
      </c>
      <c r="C756" s="7" t="s">
        <v>1080</v>
      </c>
      <c r="D756" s="7">
        <v>1.0796405</v>
      </c>
      <c r="E756" s="7">
        <v>2.0230184800000002</v>
      </c>
      <c r="F756" s="9" t="str">
        <f t="shared" si="4"/>
        <v>Direct</v>
      </c>
      <c r="G756" s="7" t="s">
        <v>1081</v>
      </c>
    </row>
    <row r="757" spans="1:7" x14ac:dyDescent="0.2">
      <c r="A757" s="6" t="s">
        <v>8</v>
      </c>
      <c r="B757" s="7" t="s">
        <v>13</v>
      </c>
      <c r="C757" s="7" t="s">
        <v>1082</v>
      </c>
      <c r="D757" s="7">
        <v>1.0391944500000001</v>
      </c>
      <c r="E757" s="7">
        <v>2.3170581299999999</v>
      </c>
      <c r="F757" s="9" t="str">
        <f t="shared" si="4"/>
        <v>Direct</v>
      </c>
      <c r="G757" s="7" t="s">
        <v>1083</v>
      </c>
    </row>
    <row r="758" spans="1:7" x14ac:dyDescent="0.2">
      <c r="A758" s="6" t="s">
        <v>8</v>
      </c>
      <c r="B758" s="7" t="s">
        <v>13</v>
      </c>
      <c r="C758" s="7" t="s">
        <v>1084</v>
      </c>
      <c r="D758" s="7">
        <v>2.5940509500000002</v>
      </c>
      <c r="E758" s="7">
        <v>2.9041281200000002</v>
      </c>
      <c r="F758" s="9" t="str">
        <f t="shared" si="4"/>
        <v>Direct</v>
      </c>
      <c r="G758" s="7" t="s">
        <v>11</v>
      </c>
    </row>
    <row r="759" spans="1:7" x14ac:dyDescent="0.2">
      <c r="A759" s="6" t="s">
        <v>8</v>
      </c>
      <c r="B759" s="7" t="s">
        <v>13</v>
      </c>
      <c r="C759" s="7" t="s">
        <v>1085</v>
      </c>
      <c r="D759" s="7">
        <v>-1.5396224000000001</v>
      </c>
      <c r="E759" s="7">
        <v>-5.0170643000000004</v>
      </c>
      <c r="F759" s="9" t="str">
        <f t="shared" si="4"/>
        <v>Direct</v>
      </c>
      <c r="G759" s="7" t="s">
        <v>838</v>
      </c>
    </row>
    <row r="760" spans="1:7" x14ac:dyDescent="0.2">
      <c r="A760" s="6" t="s">
        <v>8</v>
      </c>
      <c r="B760" s="7" t="s">
        <v>13</v>
      </c>
      <c r="C760" s="7" t="s">
        <v>29</v>
      </c>
      <c r="D760" s="7">
        <v>1.0398261900000001</v>
      </c>
      <c r="E760" s="7">
        <v>2.8983883399999999</v>
      </c>
      <c r="F760" s="9" t="str">
        <f t="shared" si="4"/>
        <v>Direct</v>
      </c>
      <c r="G760" s="7" t="s">
        <v>11</v>
      </c>
    </row>
    <row r="761" spans="1:7" x14ac:dyDescent="0.2">
      <c r="A761" s="6" t="s">
        <v>8</v>
      </c>
      <c r="B761" s="7" t="s">
        <v>13</v>
      </c>
      <c r="C761" s="7" t="s">
        <v>1086</v>
      </c>
      <c r="D761" s="7">
        <v>-1.0445253000000001</v>
      </c>
      <c r="E761" s="7">
        <v>-1.9486106000000001</v>
      </c>
      <c r="F761" s="9" t="str">
        <f t="shared" si="4"/>
        <v>Direct</v>
      </c>
      <c r="G761" s="7" t="s">
        <v>1087</v>
      </c>
    </row>
    <row r="762" spans="1:7" x14ac:dyDescent="0.2">
      <c r="A762" s="6" t="s">
        <v>8</v>
      </c>
      <c r="B762" s="7" t="s">
        <v>13</v>
      </c>
      <c r="C762" s="7" t="s">
        <v>1088</v>
      </c>
      <c r="D762" s="7">
        <v>1.13234721</v>
      </c>
      <c r="E762" s="7">
        <v>1.9604942999999999</v>
      </c>
      <c r="F762" s="9" t="str">
        <f t="shared" si="4"/>
        <v>Direct</v>
      </c>
      <c r="G762" s="7" t="s">
        <v>11</v>
      </c>
    </row>
    <row r="763" spans="1:7" x14ac:dyDescent="0.2">
      <c r="A763" s="6" t="s">
        <v>8</v>
      </c>
      <c r="B763" s="7" t="s">
        <v>13</v>
      </c>
      <c r="C763" s="7" t="s">
        <v>1089</v>
      </c>
      <c r="D763" s="7">
        <v>1.0564435000000001</v>
      </c>
      <c r="E763" s="7">
        <v>1.59558567</v>
      </c>
      <c r="F763" s="9" t="str">
        <f t="shared" si="4"/>
        <v>Direct</v>
      </c>
      <c r="G763" s="7" t="s">
        <v>413</v>
      </c>
    </row>
    <row r="764" spans="1:7" x14ac:dyDescent="0.2">
      <c r="A764" s="6" t="s">
        <v>8</v>
      </c>
      <c r="B764" s="7" t="s">
        <v>13</v>
      </c>
      <c r="C764" s="7" t="s">
        <v>1090</v>
      </c>
      <c r="D764" s="7">
        <v>-3.6812144</v>
      </c>
      <c r="E764" s="7">
        <v>-4.0080558000000002</v>
      </c>
      <c r="F764" s="9" t="str">
        <f t="shared" si="4"/>
        <v>Direct</v>
      </c>
      <c r="G764" s="7" t="s">
        <v>11</v>
      </c>
    </row>
    <row r="765" spans="1:7" x14ac:dyDescent="0.2">
      <c r="A765" s="6" t="s">
        <v>8</v>
      </c>
      <c r="B765" s="7" t="s">
        <v>13</v>
      </c>
      <c r="C765" s="7" t="s">
        <v>1091</v>
      </c>
      <c r="D765" s="7">
        <v>2.42669296</v>
      </c>
      <c r="E765" s="7">
        <v>5.00613755</v>
      </c>
      <c r="F765" s="9" t="str">
        <f t="shared" si="4"/>
        <v>Direct</v>
      </c>
      <c r="G765" s="7" t="s">
        <v>1092</v>
      </c>
    </row>
    <row r="766" spans="1:7" x14ac:dyDescent="0.2">
      <c r="A766" s="6" t="s">
        <v>8</v>
      </c>
      <c r="B766" s="7" t="s">
        <v>13</v>
      </c>
      <c r="C766" s="7" t="s">
        <v>1093</v>
      </c>
      <c r="D766" s="7">
        <v>1.0732123</v>
      </c>
      <c r="E766" s="7">
        <v>2.0370273399999999</v>
      </c>
      <c r="F766" s="9" t="str">
        <f t="shared" si="4"/>
        <v>Direct</v>
      </c>
      <c r="G766" s="7" t="s">
        <v>1094</v>
      </c>
    </row>
    <row r="767" spans="1:7" x14ac:dyDescent="0.2">
      <c r="A767" s="6" t="s">
        <v>8</v>
      </c>
      <c r="B767" s="7" t="s">
        <v>13</v>
      </c>
      <c r="C767" s="7" t="s">
        <v>1095</v>
      </c>
      <c r="D767" s="7">
        <v>1.0854244799999999</v>
      </c>
      <c r="E767" s="7">
        <v>4.7773363099999999</v>
      </c>
      <c r="F767" s="9" t="str">
        <f t="shared" ref="F767:F1021" si="5">IF(OR(AND(D767&gt;0,E767&gt;0),AND(D767&lt;0,E767&lt;0)),"Direct","Inverse")</f>
        <v>Direct</v>
      </c>
      <c r="G767" s="7" t="s">
        <v>1096</v>
      </c>
    </row>
    <row r="768" spans="1:7" x14ac:dyDescent="0.2">
      <c r="A768" s="6" t="s">
        <v>8</v>
      </c>
      <c r="B768" s="7" t="s">
        <v>13</v>
      </c>
      <c r="C768" s="7" t="s">
        <v>39</v>
      </c>
      <c r="D768" s="7">
        <v>2.39666194</v>
      </c>
      <c r="E768" s="7">
        <v>1.38645836</v>
      </c>
      <c r="F768" s="9" t="str">
        <f t="shared" si="5"/>
        <v>Direct</v>
      </c>
      <c r="G768" s="7" t="s">
        <v>11</v>
      </c>
    </row>
    <row r="769" spans="1:7" x14ac:dyDescent="0.2">
      <c r="A769" s="6" t="s">
        <v>8</v>
      </c>
      <c r="B769" s="7" t="s">
        <v>13</v>
      </c>
      <c r="C769" s="7" t="s">
        <v>1097</v>
      </c>
      <c r="D769" s="7">
        <v>-1.0671168</v>
      </c>
      <c r="E769" s="7">
        <v>-1.4091256000000001</v>
      </c>
      <c r="F769" s="9" t="str">
        <f t="shared" si="5"/>
        <v>Direct</v>
      </c>
      <c r="G769" s="7" t="s">
        <v>1098</v>
      </c>
    </row>
    <row r="770" spans="1:7" x14ac:dyDescent="0.2">
      <c r="A770" s="6" t="s">
        <v>8</v>
      </c>
      <c r="B770" s="7" t="s">
        <v>13</v>
      </c>
      <c r="C770" s="7" t="s">
        <v>1099</v>
      </c>
      <c r="D770" s="7">
        <v>1.26184137</v>
      </c>
      <c r="E770" s="7">
        <v>1.11831221</v>
      </c>
      <c r="F770" s="9" t="str">
        <f t="shared" si="5"/>
        <v>Direct</v>
      </c>
      <c r="G770" s="7" t="s">
        <v>1100</v>
      </c>
    </row>
    <row r="771" spans="1:7" x14ac:dyDescent="0.2">
      <c r="A771" s="6" t="s">
        <v>8</v>
      </c>
      <c r="B771" s="7" t="s">
        <v>13</v>
      </c>
      <c r="C771" s="7" t="s">
        <v>1101</v>
      </c>
      <c r="D771" s="7">
        <v>-3.0415663999999998</v>
      </c>
      <c r="E771" s="7">
        <v>-6.7561532</v>
      </c>
      <c r="F771" s="9" t="str">
        <f t="shared" si="5"/>
        <v>Direct</v>
      </c>
      <c r="G771" s="7" t="s">
        <v>11</v>
      </c>
    </row>
    <row r="772" spans="1:7" x14ac:dyDescent="0.2">
      <c r="A772" s="6" t="s">
        <v>8</v>
      </c>
      <c r="B772" s="7" t="s">
        <v>13</v>
      </c>
      <c r="C772" s="7" t="s">
        <v>1102</v>
      </c>
      <c r="D772" s="7">
        <v>1.15818416</v>
      </c>
      <c r="E772" s="7">
        <v>3.3352932900000001</v>
      </c>
      <c r="F772" s="9" t="str">
        <f t="shared" si="5"/>
        <v>Direct</v>
      </c>
      <c r="G772" s="7" t="s">
        <v>1103</v>
      </c>
    </row>
    <row r="773" spans="1:7" x14ac:dyDescent="0.2">
      <c r="A773" s="6" t="s">
        <v>8</v>
      </c>
      <c r="B773" s="7" t="s">
        <v>13</v>
      </c>
      <c r="C773" s="7" t="s">
        <v>1104</v>
      </c>
      <c r="D773" s="7">
        <v>1.57814275</v>
      </c>
      <c r="E773" s="7">
        <v>2.2041195899999999</v>
      </c>
      <c r="F773" s="9" t="str">
        <f t="shared" si="5"/>
        <v>Direct</v>
      </c>
      <c r="G773" s="7" t="s">
        <v>1105</v>
      </c>
    </row>
    <row r="774" spans="1:7" x14ac:dyDescent="0.2">
      <c r="A774" s="6" t="s">
        <v>8</v>
      </c>
      <c r="B774" s="7" t="s">
        <v>13</v>
      </c>
      <c r="C774" s="7" t="s">
        <v>1106</v>
      </c>
      <c r="D774" s="7">
        <v>-1.4704611999999999</v>
      </c>
      <c r="E774" s="7">
        <v>-2.7028162</v>
      </c>
      <c r="F774" s="9" t="str">
        <f t="shared" si="5"/>
        <v>Direct</v>
      </c>
      <c r="G774" s="7" t="s">
        <v>11</v>
      </c>
    </row>
    <row r="775" spans="1:7" x14ac:dyDescent="0.2">
      <c r="A775" s="6" t="s">
        <v>8</v>
      </c>
      <c r="B775" s="7" t="s">
        <v>13</v>
      </c>
      <c r="C775" s="7" t="s">
        <v>44</v>
      </c>
      <c r="D775" s="7">
        <v>1.1935765</v>
      </c>
      <c r="E775" s="7">
        <v>6.63626044</v>
      </c>
      <c r="F775" s="9" t="str">
        <f t="shared" si="5"/>
        <v>Direct</v>
      </c>
      <c r="G775" s="7" t="s">
        <v>45</v>
      </c>
    </row>
    <row r="776" spans="1:7" x14ac:dyDescent="0.2">
      <c r="A776" s="6" t="s">
        <v>8</v>
      </c>
      <c r="B776" s="7" t="s">
        <v>13</v>
      </c>
      <c r="C776" s="7" t="s">
        <v>1107</v>
      </c>
      <c r="D776" s="7">
        <v>-1.6497078000000001</v>
      </c>
      <c r="E776" s="7">
        <v>-9.1687969999999996</v>
      </c>
      <c r="F776" s="9" t="str">
        <f t="shared" si="5"/>
        <v>Direct</v>
      </c>
      <c r="G776" s="7" t="s">
        <v>11</v>
      </c>
    </row>
    <row r="777" spans="1:7" x14ac:dyDescent="0.2">
      <c r="A777" s="6" t="s">
        <v>8</v>
      </c>
      <c r="B777" s="7" t="s">
        <v>13</v>
      </c>
      <c r="C777" s="7" t="s">
        <v>48</v>
      </c>
      <c r="D777" s="7">
        <v>1.31552699</v>
      </c>
      <c r="E777" s="7">
        <v>2.3233425099999998</v>
      </c>
      <c r="F777" s="9" t="str">
        <f t="shared" si="5"/>
        <v>Direct</v>
      </c>
      <c r="G777" s="7" t="s">
        <v>49</v>
      </c>
    </row>
    <row r="778" spans="1:7" x14ac:dyDescent="0.2">
      <c r="A778" s="6" t="s">
        <v>8</v>
      </c>
      <c r="B778" s="7" t="s">
        <v>13</v>
      </c>
      <c r="C778" s="7" t="s">
        <v>50</v>
      </c>
      <c r="D778" s="7">
        <v>-1.1932659000000001</v>
      </c>
      <c r="E778" s="7">
        <v>-2.5419808000000002</v>
      </c>
      <c r="F778" s="9" t="str">
        <f t="shared" si="5"/>
        <v>Direct</v>
      </c>
      <c r="G778" s="7" t="s">
        <v>51</v>
      </c>
    </row>
    <row r="779" spans="1:7" x14ac:dyDescent="0.2">
      <c r="A779" s="6" t="s">
        <v>8</v>
      </c>
      <c r="B779" s="7" t="s">
        <v>13</v>
      </c>
      <c r="C779" s="7" t="s">
        <v>1108</v>
      </c>
      <c r="D779" s="7">
        <v>-2.3061799999999999</v>
      </c>
      <c r="E779" s="7">
        <v>-1.0365181999999999</v>
      </c>
      <c r="F779" s="9" t="str">
        <f t="shared" si="5"/>
        <v>Direct</v>
      </c>
      <c r="G779" s="7" t="s">
        <v>977</v>
      </c>
    </row>
    <row r="780" spans="1:7" x14ac:dyDescent="0.2">
      <c r="A780" s="6" t="s">
        <v>8</v>
      </c>
      <c r="B780" s="7" t="s">
        <v>13</v>
      </c>
      <c r="C780" s="7" t="s">
        <v>1109</v>
      </c>
      <c r="D780" s="7">
        <v>1.9100883200000001</v>
      </c>
      <c r="E780" s="7">
        <v>1.24723019</v>
      </c>
      <c r="F780" s="9" t="str">
        <f t="shared" si="5"/>
        <v>Direct</v>
      </c>
      <c r="G780" s="7" t="s">
        <v>1110</v>
      </c>
    </row>
    <row r="781" spans="1:7" x14ac:dyDescent="0.2">
      <c r="A781" s="6" t="s">
        <v>8</v>
      </c>
      <c r="B781" s="7" t="s">
        <v>13</v>
      </c>
      <c r="C781" s="7" t="s">
        <v>1111</v>
      </c>
      <c r="D781" s="7">
        <v>-1.1438295999999999</v>
      </c>
      <c r="E781" s="7">
        <v>-3.0038969999999998</v>
      </c>
      <c r="F781" s="9" t="str">
        <f t="shared" si="5"/>
        <v>Direct</v>
      </c>
      <c r="G781" s="7" t="s">
        <v>977</v>
      </c>
    </row>
    <row r="782" spans="1:7" x14ac:dyDescent="0.2">
      <c r="A782" s="6" t="s">
        <v>8</v>
      </c>
      <c r="B782" s="7" t="s">
        <v>13</v>
      </c>
      <c r="C782" s="7" t="s">
        <v>1112</v>
      </c>
      <c r="D782" s="7">
        <v>-1.4420337999999999</v>
      </c>
      <c r="E782" s="7">
        <v>-1.4893091000000001</v>
      </c>
      <c r="F782" s="9" t="str">
        <f t="shared" si="5"/>
        <v>Direct</v>
      </c>
      <c r="G782" s="7" t="s">
        <v>977</v>
      </c>
    </row>
    <row r="783" spans="1:7" x14ac:dyDescent="0.2">
      <c r="A783" s="6" t="s">
        <v>8</v>
      </c>
      <c r="B783" s="7" t="s">
        <v>13</v>
      </c>
      <c r="C783" s="7" t="s">
        <v>1113</v>
      </c>
      <c r="D783" s="7">
        <v>3.6925443599999999</v>
      </c>
      <c r="E783" s="7">
        <v>14.961532699999999</v>
      </c>
      <c r="F783" s="9" t="str">
        <f t="shared" si="5"/>
        <v>Direct</v>
      </c>
      <c r="G783" s="7" t="s">
        <v>11</v>
      </c>
    </row>
    <row r="784" spans="1:7" x14ac:dyDescent="0.2">
      <c r="A784" s="6" t="s">
        <v>8</v>
      </c>
      <c r="B784" s="7" t="s">
        <v>13</v>
      </c>
      <c r="C784" s="7" t="s">
        <v>1114</v>
      </c>
      <c r="D784" s="7">
        <v>1.13216618</v>
      </c>
      <c r="E784" s="7">
        <v>1.5086467400000001</v>
      </c>
      <c r="F784" s="9" t="str">
        <f t="shared" si="5"/>
        <v>Direct</v>
      </c>
      <c r="G784" s="7" t="s">
        <v>1115</v>
      </c>
    </row>
    <row r="785" spans="1:7" x14ac:dyDescent="0.2">
      <c r="A785" s="6" t="s">
        <v>8</v>
      </c>
      <c r="B785" s="7" t="s">
        <v>13</v>
      </c>
      <c r="C785" s="7" t="s">
        <v>1116</v>
      </c>
      <c r="D785" s="7">
        <v>-1.5908481999999999</v>
      </c>
      <c r="E785" s="7">
        <v>-3.0353278000000001</v>
      </c>
      <c r="F785" s="9" t="str">
        <f t="shared" si="5"/>
        <v>Direct</v>
      </c>
      <c r="G785" s="7" t="s">
        <v>11</v>
      </c>
    </row>
    <row r="786" spans="1:7" x14ac:dyDescent="0.2">
      <c r="A786" s="6" t="s">
        <v>8</v>
      </c>
      <c r="B786" s="7" t="s">
        <v>13</v>
      </c>
      <c r="C786" s="7" t="s">
        <v>1117</v>
      </c>
      <c r="D786" s="7">
        <v>3.6288102200000001</v>
      </c>
      <c r="E786" s="7">
        <v>4.6392447800000003</v>
      </c>
      <c r="F786" s="9" t="str">
        <f t="shared" si="5"/>
        <v>Direct</v>
      </c>
      <c r="G786" s="7" t="s">
        <v>1118</v>
      </c>
    </row>
    <row r="787" spans="1:7" x14ac:dyDescent="0.2">
      <c r="A787" s="6" t="s">
        <v>8</v>
      </c>
      <c r="B787" s="7" t="s">
        <v>13</v>
      </c>
      <c r="C787" s="7" t="s">
        <v>1119</v>
      </c>
      <c r="D787" s="7">
        <v>-2.5753224000000001</v>
      </c>
      <c r="E787" s="7">
        <v>-7.3592215999999997</v>
      </c>
      <c r="F787" s="9" t="str">
        <f t="shared" si="5"/>
        <v>Direct</v>
      </c>
      <c r="G787" s="7" t="s">
        <v>1120</v>
      </c>
    </row>
    <row r="788" spans="1:7" x14ac:dyDescent="0.2">
      <c r="A788" s="6" t="s">
        <v>8</v>
      </c>
      <c r="B788" s="7" t="s">
        <v>13</v>
      </c>
      <c r="C788" s="7" t="s">
        <v>1121</v>
      </c>
      <c r="D788" s="7">
        <v>1.40816596</v>
      </c>
      <c r="E788" s="7">
        <v>1.5257619899999999</v>
      </c>
      <c r="F788" s="9" t="str">
        <f t="shared" si="5"/>
        <v>Direct</v>
      </c>
      <c r="G788" s="7" t="s">
        <v>1120</v>
      </c>
    </row>
    <row r="789" spans="1:7" x14ac:dyDescent="0.2">
      <c r="A789" s="6" t="s">
        <v>8</v>
      </c>
      <c r="B789" s="7" t="s">
        <v>13</v>
      </c>
      <c r="C789" s="7" t="s">
        <v>54</v>
      </c>
      <c r="D789" s="7">
        <v>-2.2336497</v>
      </c>
      <c r="E789" s="7">
        <v>-5.9684403000000001</v>
      </c>
      <c r="F789" s="9" t="str">
        <f t="shared" si="5"/>
        <v>Direct</v>
      </c>
      <c r="G789" s="7" t="s">
        <v>11</v>
      </c>
    </row>
    <row r="790" spans="1:7" x14ac:dyDescent="0.2">
      <c r="A790" s="6" t="s">
        <v>8</v>
      </c>
      <c r="B790" s="7" t="s">
        <v>13</v>
      </c>
      <c r="C790" s="7" t="s">
        <v>1122</v>
      </c>
      <c r="D790" s="7">
        <v>-1.4817393000000001</v>
      </c>
      <c r="E790" s="7">
        <v>-4.7114250999999996</v>
      </c>
      <c r="F790" s="9" t="str">
        <f t="shared" si="5"/>
        <v>Direct</v>
      </c>
      <c r="G790" s="7" t="s">
        <v>1123</v>
      </c>
    </row>
    <row r="791" spans="1:7" x14ac:dyDescent="0.2">
      <c r="A791" s="6" t="s">
        <v>8</v>
      </c>
      <c r="B791" s="7" t="s">
        <v>13</v>
      </c>
      <c r="C791" s="7" t="s">
        <v>1124</v>
      </c>
      <c r="D791" s="7">
        <v>1.9778184299999999</v>
      </c>
      <c r="E791" s="7">
        <v>1.07099188</v>
      </c>
      <c r="F791" s="9" t="str">
        <f t="shared" si="5"/>
        <v>Direct</v>
      </c>
      <c r="G791" s="7" t="s">
        <v>1125</v>
      </c>
    </row>
    <row r="792" spans="1:7" x14ac:dyDescent="0.2">
      <c r="A792" s="6" t="s">
        <v>8</v>
      </c>
      <c r="B792" s="7" t="s">
        <v>13</v>
      </c>
      <c r="C792" s="7" t="s">
        <v>1126</v>
      </c>
      <c r="D792" s="7">
        <v>1.00740885</v>
      </c>
      <c r="E792" s="7">
        <v>1.90859008</v>
      </c>
      <c r="F792" s="9" t="str">
        <f t="shared" si="5"/>
        <v>Direct</v>
      </c>
      <c r="G792" s="7" t="s">
        <v>1127</v>
      </c>
    </row>
    <row r="793" spans="1:7" x14ac:dyDescent="0.2">
      <c r="A793" s="6" t="s">
        <v>8</v>
      </c>
      <c r="B793" s="7" t="s">
        <v>13</v>
      </c>
      <c r="C793" s="7" t="s">
        <v>1128</v>
      </c>
      <c r="D793" s="7">
        <v>-1.0495125999999999</v>
      </c>
      <c r="E793" s="7">
        <v>-1.1447406</v>
      </c>
      <c r="F793" s="9" t="str">
        <f t="shared" si="5"/>
        <v>Direct</v>
      </c>
      <c r="G793" s="7" t="s">
        <v>1129</v>
      </c>
    </row>
    <row r="794" spans="1:7" x14ac:dyDescent="0.2">
      <c r="A794" s="6" t="s">
        <v>8</v>
      </c>
      <c r="B794" s="7" t="s">
        <v>13</v>
      </c>
      <c r="C794" s="7" t="s">
        <v>1130</v>
      </c>
      <c r="D794" s="7">
        <v>1.9100883200000001</v>
      </c>
      <c r="E794" s="7">
        <v>2.1204670399999999</v>
      </c>
      <c r="F794" s="9" t="str">
        <f t="shared" si="5"/>
        <v>Direct</v>
      </c>
      <c r="G794" s="7" t="s">
        <v>58</v>
      </c>
    </row>
    <row r="795" spans="1:7" x14ac:dyDescent="0.2">
      <c r="A795" s="6" t="s">
        <v>8</v>
      </c>
      <c r="B795" s="7" t="s">
        <v>13</v>
      </c>
      <c r="C795" s="7" t="s">
        <v>1131</v>
      </c>
      <c r="D795" s="7">
        <v>1.15767186</v>
      </c>
      <c r="E795" s="7">
        <v>2.2304605300000002</v>
      </c>
      <c r="F795" s="9" t="str">
        <f t="shared" si="5"/>
        <v>Direct</v>
      </c>
      <c r="G795" s="7" t="s">
        <v>11</v>
      </c>
    </row>
    <row r="796" spans="1:7" x14ac:dyDescent="0.2">
      <c r="A796" s="6" t="s">
        <v>8</v>
      </c>
      <c r="B796" s="7" t="s">
        <v>13</v>
      </c>
      <c r="C796" s="7" t="s">
        <v>59</v>
      </c>
      <c r="D796" s="7">
        <v>1.2707436599999999</v>
      </c>
      <c r="E796" s="7">
        <v>1.2528494100000001</v>
      </c>
      <c r="F796" s="9" t="str">
        <f t="shared" si="5"/>
        <v>Direct</v>
      </c>
      <c r="G796" s="7" t="s">
        <v>60</v>
      </c>
    </row>
    <row r="797" spans="1:7" x14ac:dyDescent="0.2">
      <c r="A797" s="6" t="s">
        <v>8</v>
      </c>
      <c r="B797" s="7" t="s">
        <v>13</v>
      </c>
      <c r="C797" s="7" t="s">
        <v>1132</v>
      </c>
      <c r="D797" s="7">
        <v>2.1943288399999998</v>
      </c>
      <c r="E797" s="7">
        <v>2.3601230200000001</v>
      </c>
      <c r="F797" s="9" t="str">
        <f t="shared" si="5"/>
        <v>Direct</v>
      </c>
      <c r="G797" s="7" t="s">
        <v>1133</v>
      </c>
    </row>
    <row r="798" spans="1:7" x14ac:dyDescent="0.2">
      <c r="A798" s="6" t="s">
        <v>8</v>
      </c>
      <c r="B798" s="7" t="s">
        <v>13</v>
      </c>
      <c r="C798" s="7" t="s">
        <v>1134</v>
      </c>
      <c r="D798" s="7">
        <v>1.41253896</v>
      </c>
      <c r="E798" s="7">
        <v>4.9535572300000004</v>
      </c>
      <c r="F798" s="9" t="str">
        <f t="shared" si="5"/>
        <v>Direct</v>
      </c>
      <c r="G798" s="7" t="s">
        <v>1135</v>
      </c>
    </row>
    <row r="799" spans="1:7" x14ac:dyDescent="0.2">
      <c r="A799" s="6" t="s">
        <v>8</v>
      </c>
      <c r="B799" s="7" t="s">
        <v>13</v>
      </c>
      <c r="C799" s="7" t="s">
        <v>1136</v>
      </c>
      <c r="D799" s="7">
        <v>-1.0532271</v>
      </c>
      <c r="E799" s="7">
        <v>-2.0953403000000002</v>
      </c>
      <c r="F799" s="9" t="str">
        <f t="shared" si="5"/>
        <v>Direct</v>
      </c>
      <c r="G799" s="7" t="s">
        <v>11</v>
      </c>
    </row>
    <row r="800" spans="1:7" x14ac:dyDescent="0.2">
      <c r="A800" s="6" t="s">
        <v>8</v>
      </c>
      <c r="B800" s="7" t="s">
        <v>13</v>
      </c>
      <c r="C800" s="7" t="s">
        <v>1137</v>
      </c>
      <c r="D800" s="7">
        <v>-1.3328082000000001</v>
      </c>
      <c r="E800" s="7">
        <v>-1.1539192</v>
      </c>
      <c r="F800" s="9" t="str">
        <f t="shared" si="5"/>
        <v>Direct</v>
      </c>
      <c r="G800" s="7" t="s">
        <v>1138</v>
      </c>
    </row>
    <row r="801" spans="1:7" x14ac:dyDescent="0.2">
      <c r="A801" s="6" t="s">
        <v>8</v>
      </c>
      <c r="B801" s="7" t="s">
        <v>13</v>
      </c>
      <c r="C801" s="7" t="s">
        <v>1139</v>
      </c>
      <c r="D801" s="7">
        <v>-1.5589592999999999</v>
      </c>
      <c r="E801" s="7">
        <v>-8.2841366000000001</v>
      </c>
      <c r="F801" s="9" t="str">
        <f t="shared" si="5"/>
        <v>Direct</v>
      </c>
      <c r="G801" s="7" t="s">
        <v>1140</v>
      </c>
    </row>
    <row r="802" spans="1:7" x14ac:dyDescent="0.2">
      <c r="A802" s="6" t="s">
        <v>8</v>
      </c>
      <c r="B802" s="7" t="s">
        <v>13</v>
      </c>
      <c r="C802" s="7" t="s">
        <v>1141</v>
      </c>
      <c r="D802" s="7">
        <v>1.07568072</v>
      </c>
      <c r="E802" s="7">
        <v>3.7838843799999999</v>
      </c>
      <c r="F802" s="9" t="str">
        <f t="shared" si="5"/>
        <v>Direct</v>
      </c>
      <c r="G802" s="7" t="s">
        <v>11</v>
      </c>
    </row>
    <row r="803" spans="1:7" x14ac:dyDescent="0.2">
      <c r="A803" s="6" t="s">
        <v>8</v>
      </c>
      <c r="B803" s="7" t="s">
        <v>13</v>
      </c>
      <c r="C803" s="7" t="s">
        <v>1142</v>
      </c>
      <c r="D803" s="7">
        <v>-1.0993630000000001</v>
      </c>
      <c r="E803" s="7">
        <v>-4.4880354999999996</v>
      </c>
      <c r="F803" s="9" t="str">
        <f t="shared" si="5"/>
        <v>Direct</v>
      </c>
      <c r="G803" s="7" t="s">
        <v>1143</v>
      </c>
    </row>
    <row r="804" spans="1:7" x14ac:dyDescent="0.2">
      <c r="A804" s="6" t="s">
        <v>8</v>
      </c>
      <c r="B804" s="7" t="s">
        <v>13</v>
      </c>
      <c r="C804" s="7" t="s">
        <v>1144</v>
      </c>
      <c r="D804" s="7">
        <v>1.69054221</v>
      </c>
      <c r="E804" s="7">
        <v>6.8104206200000004</v>
      </c>
      <c r="F804" s="9" t="str">
        <f t="shared" si="5"/>
        <v>Direct</v>
      </c>
      <c r="G804" s="7" t="s">
        <v>11</v>
      </c>
    </row>
    <row r="805" spans="1:7" x14ac:dyDescent="0.2">
      <c r="A805" s="6" t="s">
        <v>8</v>
      </c>
      <c r="B805" s="7" t="s">
        <v>13</v>
      </c>
      <c r="C805" s="7" t="s">
        <v>1145</v>
      </c>
      <c r="D805" s="7">
        <v>2.1658129800000001</v>
      </c>
      <c r="E805" s="7">
        <v>5.9875770599999996</v>
      </c>
      <c r="F805" s="9" t="str">
        <f t="shared" si="5"/>
        <v>Direct</v>
      </c>
      <c r="G805" s="7" t="s">
        <v>1146</v>
      </c>
    </row>
    <row r="806" spans="1:7" x14ac:dyDescent="0.2">
      <c r="A806" s="6" t="s">
        <v>8</v>
      </c>
      <c r="B806" s="7" t="s">
        <v>13</v>
      </c>
      <c r="C806" s="7" t="s">
        <v>61</v>
      </c>
      <c r="D806" s="7">
        <v>-1.3033496</v>
      </c>
      <c r="E806" s="7">
        <v>-3.9630076999999999</v>
      </c>
      <c r="F806" s="9" t="str">
        <f t="shared" si="5"/>
        <v>Direct</v>
      </c>
      <c r="G806" s="7" t="s">
        <v>62</v>
      </c>
    </row>
    <row r="807" spans="1:7" x14ac:dyDescent="0.2">
      <c r="A807" s="6" t="s">
        <v>8</v>
      </c>
      <c r="B807" s="7" t="s">
        <v>13</v>
      </c>
      <c r="C807" s="7" t="s">
        <v>1147</v>
      </c>
      <c r="D807" s="7">
        <v>1.09884932</v>
      </c>
      <c r="E807" s="7">
        <v>1.0740566499999999</v>
      </c>
      <c r="F807" s="9" t="str">
        <f t="shared" si="5"/>
        <v>Direct</v>
      </c>
      <c r="G807" s="7" t="s">
        <v>1148</v>
      </c>
    </row>
    <row r="808" spans="1:7" x14ac:dyDescent="0.2">
      <c r="A808" s="6" t="s">
        <v>8</v>
      </c>
      <c r="B808" s="7" t="s">
        <v>13</v>
      </c>
      <c r="C808" s="7" t="s">
        <v>1149</v>
      </c>
      <c r="D808" s="7">
        <v>1.2617619600000001</v>
      </c>
      <c r="E808" s="7">
        <v>2.11410995</v>
      </c>
      <c r="F808" s="9" t="str">
        <f t="shared" si="5"/>
        <v>Direct</v>
      </c>
      <c r="G808" s="7" t="s">
        <v>1150</v>
      </c>
    </row>
    <row r="809" spans="1:7" x14ac:dyDescent="0.2">
      <c r="A809" s="6" t="s">
        <v>8</v>
      </c>
      <c r="B809" s="7" t="s">
        <v>13</v>
      </c>
      <c r="C809" s="7" t="s">
        <v>1151</v>
      </c>
      <c r="D809" s="7">
        <v>1.3483945399999999</v>
      </c>
      <c r="E809" s="7">
        <v>3.524289</v>
      </c>
      <c r="F809" s="9" t="str">
        <f t="shared" si="5"/>
        <v>Direct</v>
      </c>
      <c r="G809" s="7" t="s">
        <v>11</v>
      </c>
    </row>
    <row r="810" spans="1:7" x14ac:dyDescent="0.2">
      <c r="A810" s="6" t="s">
        <v>8</v>
      </c>
      <c r="B810" s="7" t="s">
        <v>13</v>
      </c>
      <c r="C810" s="7" t="s">
        <v>1152</v>
      </c>
      <c r="D810" s="7">
        <v>1.19644416</v>
      </c>
      <c r="E810" s="7">
        <v>2.4124654799999998</v>
      </c>
      <c r="F810" s="9" t="str">
        <f t="shared" si="5"/>
        <v>Direct</v>
      </c>
      <c r="G810" s="7" t="s">
        <v>11</v>
      </c>
    </row>
    <row r="811" spans="1:7" x14ac:dyDescent="0.2">
      <c r="A811" s="6" t="s">
        <v>8</v>
      </c>
      <c r="B811" s="7" t="s">
        <v>13</v>
      </c>
      <c r="C811" s="7" t="s">
        <v>1153</v>
      </c>
      <c r="D811" s="7">
        <v>1.4884404600000001</v>
      </c>
      <c r="E811" s="7">
        <v>3.8782914000000002</v>
      </c>
      <c r="F811" s="9" t="str">
        <f t="shared" si="5"/>
        <v>Direct</v>
      </c>
      <c r="G811" s="7" t="s">
        <v>11</v>
      </c>
    </row>
    <row r="812" spans="1:7" x14ac:dyDescent="0.2">
      <c r="A812" s="6" t="s">
        <v>8</v>
      </c>
      <c r="B812" s="7" t="s">
        <v>13</v>
      </c>
      <c r="C812" s="7" t="s">
        <v>1154</v>
      </c>
      <c r="D812" s="7">
        <v>1.23551265</v>
      </c>
      <c r="E812" s="7">
        <v>5.2196285800000002</v>
      </c>
      <c r="F812" s="9" t="str">
        <f t="shared" si="5"/>
        <v>Direct</v>
      </c>
      <c r="G812" s="7" t="s">
        <v>1155</v>
      </c>
    </row>
    <row r="813" spans="1:7" x14ac:dyDescent="0.2">
      <c r="A813" s="6" t="s">
        <v>8</v>
      </c>
      <c r="B813" s="7" t="s">
        <v>13</v>
      </c>
      <c r="C813" s="7" t="s">
        <v>63</v>
      </c>
      <c r="D813" s="7">
        <v>-1.5155789</v>
      </c>
      <c r="E813" s="7">
        <v>-3.6296655000000002</v>
      </c>
      <c r="F813" s="9" t="str">
        <f t="shared" si="5"/>
        <v>Direct</v>
      </c>
      <c r="G813" s="7" t="s">
        <v>11</v>
      </c>
    </row>
    <row r="814" spans="1:7" x14ac:dyDescent="0.2">
      <c r="A814" s="6" t="s">
        <v>8</v>
      </c>
      <c r="B814" s="7" t="s">
        <v>13</v>
      </c>
      <c r="C814" s="7" t="s">
        <v>64</v>
      </c>
      <c r="D814" s="7">
        <v>-1.6860295999999999</v>
      </c>
      <c r="E814" s="7">
        <v>-1.3272226</v>
      </c>
      <c r="F814" s="9" t="str">
        <f t="shared" si="5"/>
        <v>Direct</v>
      </c>
      <c r="G814" s="7" t="s">
        <v>65</v>
      </c>
    </row>
    <row r="815" spans="1:7" x14ac:dyDescent="0.2">
      <c r="A815" s="6" t="s">
        <v>8</v>
      </c>
      <c r="B815" s="7" t="s">
        <v>13</v>
      </c>
      <c r="C815" s="7" t="s">
        <v>1156</v>
      </c>
      <c r="D815" s="7">
        <v>1.59892751</v>
      </c>
      <c r="E815" s="7">
        <v>1.7071832499999999</v>
      </c>
      <c r="F815" s="9" t="str">
        <f t="shared" si="5"/>
        <v>Direct</v>
      </c>
      <c r="G815" s="7" t="s">
        <v>11</v>
      </c>
    </row>
    <row r="816" spans="1:7" x14ac:dyDescent="0.2">
      <c r="A816" s="6" t="s">
        <v>8</v>
      </c>
      <c r="B816" s="7" t="s">
        <v>13</v>
      </c>
      <c r="C816" s="7" t="s">
        <v>1157</v>
      </c>
      <c r="D816" s="7">
        <v>-1.8729161000000001</v>
      </c>
      <c r="E816" s="7">
        <v>-1.2383306999999999</v>
      </c>
      <c r="F816" s="9" t="str">
        <f t="shared" si="5"/>
        <v>Direct</v>
      </c>
      <c r="G816" s="7" t="s">
        <v>1140</v>
      </c>
    </row>
    <row r="817" spans="1:7" x14ac:dyDescent="0.2">
      <c r="A817" s="6" t="s">
        <v>8</v>
      </c>
      <c r="B817" s="7" t="s">
        <v>13</v>
      </c>
      <c r="C817" s="7" t="s">
        <v>1158</v>
      </c>
      <c r="D817" s="7">
        <v>-1.0104134</v>
      </c>
      <c r="E817" s="7">
        <v>-1.7309584</v>
      </c>
      <c r="F817" s="9" t="str">
        <f t="shared" si="5"/>
        <v>Direct</v>
      </c>
      <c r="G817" s="7" t="s">
        <v>1159</v>
      </c>
    </row>
    <row r="818" spans="1:7" x14ac:dyDescent="0.2">
      <c r="A818" s="6" t="s">
        <v>8</v>
      </c>
      <c r="B818" s="7" t="s">
        <v>13</v>
      </c>
      <c r="C818" s="7" t="s">
        <v>70</v>
      </c>
      <c r="D818" s="7">
        <v>1.5952124299999999</v>
      </c>
      <c r="E818" s="7">
        <v>3.70758849</v>
      </c>
      <c r="F818" s="9" t="str">
        <f t="shared" si="5"/>
        <v>Direct</v>
      </c>
      <c r="G818" s="7" t="s">
        <v>11</v>
      </c>
    </row>
    <row r="819" spans="1:7" x14ac:dyDescent="0.2">
      <c r="A819" s="6" t="s">
        <v>8</v>
      </c>
      <c r="B819" s="7" t="s">
        <v>13</v>
      </c>
      <c r="C819" s="7" t="s">
        <v>1160</v>
      </c>
      <c r="D819" s="7">
        <v>-1.0126698999999999</v>
      </c>
      <c r="E819" s="7">
        <v>-2.3466662999999999</v>
      </c>
      <c r="F819" s="9" t="str">
        <f t="shared" si="5"/>
        <v>Direct</v>
      </c>
      <c r="G819" s="7" t="s">
        <v>1161</v>
      </c>
    </row>
    <row r="820" spans="1:7" x14ac:dyDescent="0.2">
      <c r="A820" s="6" t="s">
        <v>8</v>
      </c>
      <c r="B820" s="7" t="s">
        <v>13</v>
      </c>
      <c r="C820" s="7" t="s">
        <v>1162</v>
      </c>
      <c r="D820" s="7">
        <v>1.0126698999999999</v>
      </c>
      <c r="E820" s="7">
        <v>3.3605802900000001</v>
      </c>
      <c r="F820" s="9" t="str">
        <f t="shared" si="5"/>
        <v>Direct</v>
      </c>
      <c r="G820" s="7" t="s">
        <v>11</v>
      </c>
    </row>
    <row r="821" spans="1:7" x14ac:dyDescent="0.2">
      <c r="A821" s="6" t="s">
        <v>8</v>
      </c>
      <c r="B821" s="7" t="s">
        <v>13</v>
      </c>
      <c r="C821" s="7" t="s">
        <v>71</v>
      </c>
      <c r="D821" s="7">
        <v>-1.8134429000000001</v>
      </c>
      <c r="E821" s="7">
        <v>-3.5415131</v>
      </c>
      <c r="F821" s="9" t="str">
        <f t="shared" si="5"/>
        <v>Direct</v>
      </c>
      <c r="G821" s="7" t="s">
        <v>72</v>
      </c>
    </row>
    <row r="822" spans="1:7" x14ac:dyDescent="0.2">
      <c r="A822" s="6" t="s">
        <v>8</v>
      </c>
      <c r="B822" s="7" t="s">
        <v>13</v>
      </c>
      <c r="C822" s="7" t="s">
        <v>1163</v>
      </c>
      <c r="D822" s="7">
        <v>-1.0993027</v>
      </c>
      <c r="E822" s="7">
        <v>-1.3787933999999999</v>
      </c>
      <c r="F822" s="9" t="str">
        <f t="shared" si="5"/>
        <v>Direct</v>
      </c>
      <c r="G822" s="7" t="s">
        <v>11</v>
      </c>
    </row>
    <row r="823" spans="1:7" x14ac:dyDescent="0.2">
      <c r="A823" s="6" t="s">
        <v>8</v>
      </c>
      <c r="B823" s="7" t="s">
        <v>13</v>
      </c>
      <c r="C823" s="7" t="s">
        <v>73</v>
      </c>
      <c r="D823" s="7">
        <v>1.5203831400000001</v>
      </c>
      <c r="E823" s="7">
        <v>1.7649666900000001</v>
      </c>
      <c r="F823" s="9" t="str">
        <f t="shared" si="5"/>
        <v>Direct</v>
      </c>
      <c r="G823" s="7" t="s">
        <v>74</v>
      </c>
    </row>
    <row r="824" spans="1:7" x14ac:dyDescent="0.2">
      <c r="A824" s="6" t="s">
        <v>8</v>
      </c>
      <c r="B824" s="7" t="s">
        <v>13</v>
      </c>
      <c r="C824" s="7" t="s">
        <v>1164</v>
      </c>
      <c r="D824" s="7">
        <v>1.8762515500000001</v>
      </c>
      <c r="E824" s="7">
        <v>3.1670210999999999</v>
      </c>
      <c r="F824" s="9" t="str">
        <f t="shared" si="5"/>
        <v>Direct</v>
      </c>
      <c r="G824" s="7" t="s">
        <v>875</v>
      </c>
    </row>
    <row r="825" spans="1:7" x14ac:dyDescent="0.2">
      <c r="A825" s="6" t="s">
        <v>8</v>
      </c>
      <c r="B825" s="7" t="s">
        <v>13</v>
      </c>
      <c r="C825" s="7" t="s">
        <v>1165</v>
      </c>
      <c r="D825" s="7">
        <v>1.2500296399999999</v>
      </c>
      <c r="E825" s="7">
        <v>1.0826238800000001</v>
      </c>
      <c r="F825" s="9" t="str">
        <f t="shared" si="5"/>
        <v>Direct</v>
      </c>
      <c r="G825" s="7" t="s">
        <v>1166</v>
      </c>
    </row>
    <row r="826" spans="1:7" x14ac:dyDescent="0.2">
      <c r="A826" s="6" t="s">
        <v>8</v>
      </c>
      <c r="B826" s="7" t="s">
        <v>13</v>
      </c>
      <c r="C826" s="7" t="s">
        <v>1167</v>
      </c>
      <c r="D826" s="7">
        <v>1.1827872800000001</v>
      </c>
      <c r="E826" s="7">
        <v>1.80693495</v>
      </c>
      <c r="F826" s="9" t="str">
        <f t="shared" si="5"/>
        <v>Direct</v>
      </c>
      <c r="G826" s="7" t="s">
        <v>1168</v>
      </c>
    </row>
    <row r="827" spans="1:7" x14ac:dyDescent="0.2">
      <c r="A827" s="6" t="s">
        <v>8</v>
      </c>
      <c r="B827" s="7" t="s">
        <v>13</v>
      </c>
      <c r="C827" s="7" t="s">
        <v>1169</v>
      </c>
      <c r="D827" s="7">
        <v>-1.0153333</v>
      </c>
      <c r="E827" s="7">
        <v>-1.964345</v>
      </c>
      <c r="F827" s="9" t="str">
        <f t="shared" si="5"/>
        <v>Direct</v>
      </c>
      <c r="G827" s="7" t="s">
        <v>11</v>
      </c>
    </row>
    <row r="828" spans="1:7" x14ac:dyDescent="0.2">
      <c r="A828" s="6" t="s">
        <v>8</v>
      </c>
      <c r="B828" s="7" t="s">
        <v>13</v>
      </c>
      <c r="C828" s="7" t="s">
        <v>1170</v>
      </c>
      <c r="D828" s="7">
        <v>1.0499708299999999</v>
      </c>
      <c r="E828" s="7">
        <v>1.5088809299999999</v>
      </c>
      <c r="F828" s="9" t="str">
        <f t="shared" si="5"/>
        <v>Direct</v>
      </c>
      <c r="G828" s="7" t="s">
        <v>11</v>
      </c>
    </row>
    <row r="829" spans="1:7" x14ac:dyDescent="0.2">
      <c r="A829" s="6" t="s">
        <v>8</v>
      </c>
      <c r="B829" s="7" t="s">
        <v>13</v>
      </c>
      <c r="C829" s="7" t="s">
        <v>1171</v>
      </c>
      <c r="D829" s="7">
        <v>1.26339264</v>
      </c>
      <c r="E829" s="7">
        <v>8.3341626699999996</v>
      </c>
      <c r="F829" s="9" t="str">
        <f t="shared" si="5"/>
        <v>Direct</v>
      </c>
      <c r="G829" s="7" t="s">
        <v>11</v>
      </c>
    </row>
    <row r="830" spans="1:7" x14ac:dyDescent="0.2">
      <c r="A830" s="6" t="s">
        <v>8</v>
      </c>
      <c r="B830" s="7" t="s">
        <v>13</v>
      </c>
      <c r="C830" s="7" t="s">
        <v>1172</v>
      </c>
      <c r="D830" s="7">
        <v>1.1297600400000001</v>
      </c>
      <c r="E830" s="7">
        <v>6.9972325199999998</v>
      </c>
      <c r="F830" s="9" t="str">
        <f t="shared" si="5"/>
        <v>Direct</v>
      </c>
      <c r="G830" s="7" t="s">
        <v>11</v>
      </c>
    </row>
    <row r="831" spans="1:7" x14ac:dyDescent="0.2">
      <c r="A831" s="6" t="s">
        <v>8</v>
      </c>
      <c r="B831" s="7" t="s">
        <v>13</v>
      </c>
      <c r="C831" s="7" t="s">
        <v>1173</v>
      </c>
      <c r="D831" s="7">
        <v>1.56513646</v>
      </c>
      <c r="E831" s="7">
        <v>8.9318157300000003</v>
      </c>
      <c r="F831" s="9" t="str">
        <f t="shared" si="5"/>
        <v>Direct</v>
      </c>
      <c r="G831" s="7" t="s">
        <v>11</v>
      </c>
    </row>
    <row r="832" spans="1:7" x14ac:dyDescent="0.2">
      <c r="A832" s="6" t="s">
        <v>8</v>
      </c>
      <c r="B832" s="7" t="s">
        <v>13</v>
      </c>
      <c r="C832" s="7" t="s">
        <v>1174</v>
      </c>
      <c r="D832" s="7">
        <v>-1.2096339</v>
      </c>
      <c r="E832" s="7">
        <v>-3.1403614000000002</v>
      </c>
      <c r="F832" s="9" t="str">
        <f t="shared" si="5"/>
        <v>Direct</v>
      </c>
      <c r="G832" s="7" t="s">
        <v>11</v>
      </c>
    </row>
    <row r="833" spans="1:7" x14ac:dyDescent="0.2">
      <c r="A833" s="6" t="s">
        <v>8</v>
      </c>
      <c r="B833" s="7" t="s">
        <v>13</v>
      </c>
      <c r="C833" s="7" t="s">
        <v>75</v>
      </c>
      <c r="D833" s="7">
        <v>1.68218939</v>
      </c>
      <c r="E833" s="7">
        <v>2.38035424</v>
      </c>
      <c r="F833" s="9" t="str">
        <f t="shared" si="5"/>
        <v>Direct</v>
      </c>
      <c r="G833" s="7" t="s">
        <v>76</v>
      </c>
    </row>
    <row r="834" spans="1:7" x14ac:dyDescent="0.2">
      <c r="A834" s="6" t="s">
        <v>8</v>
      </c>
      <c r="B834" s="7" t="s">
        <v>13</v>
      </c>
      <c r="C834" s="7" t="s">
        <v>1175</v>
      </c>
      <c r="D834" s="7">
        <v>-2.7733463</v>
      </c>
      <c r="E834" s="7">
        <v>-4.3944036999999998</v>
      </c>
      <c r="F834" s="9" t="str">
        <f t="shared" si="5"/>
        <v>Direct</v>
      </c>
      <c r="G834" s="7" t="s">
        <v>11</v>
      </c>
    </row>
    <row r="835" spans="1:7" x14ac:dyDescent="0.2">
      <c r="A835" s="6" t="s">
        <v>8</v>
      </c>
      <c r="B835" s="7" t="s">
        <v>13</v>
      </c>
      <c r="C835" s="7" t="s">
        <v>1176</v>
      </c>
      <c r="D835" s="7">
        <v>1.08652324</v>
      </c>
      <c r="E835" s="7">
        <v>5.7856253799999999</v>
      </c>
      <c r="F835" s="9" t="str">
        <f t="shared" si="5"/>
        <v>Direct</v>
      </c>
      <c r="G835" s="7" t="s">
        <v>11</v>
      </c>
    </row>
    <row r="836" spans="1:7" x14ac:dyDescent="0.2">
      <c r="A836" s="6" t="s">
        <v>8</v>
      </c>
      <c r="B836" s="7" t="s">
        <v>13</v>
      </c>
      <c r="C836" s="7" t="s">
        <v>1177</v>
      </c>
      <c r="D836" s="7">
        <v>2.6844822499999998</v>
      </c>
      <c r="E836" s="7">
        <v>2.7948346499999999</v>
      </c>
      <c r="F836" s="9" t="str">
        <f t="shared" si="5"/>
        <v>Direct</v>
      </c>
      <c r="G836" s="7" t="s">
        <v>1178</v>
      </c>
    </row>
    <row r="837" spans="1:7" x14ac:dyDescent="0.2">
      <c r="A837" s="6" t="s">
        <v>8</v>
      </c>
      <c r="B837" s="7" t="s">
        <v>13</v>
      </c>
      <c r="C837" s="7" t="s">
        <v>1179</v>
      </c>
      <c r="D837" s="7">
        <v>1.0127523300000001</v>
      </c>
      <c r="E837" s="7">
        <v>1.72182696</v>
      </c>
      <c r="F837" s="9" t="str">
        <f t="shared" si="5"/>
        <v>Direct</v>
      </c>
      <c r="G837" s="7" t="s">
        <v>1180</v>
      </c>
    </row>
    <row r="838" spans="1:7" x14ac:dyDescent="0.2">
      <c r="A838" s="6" t="s">
        <v>8</v>
      </c>
      <c r="B838" s="7" t="s">
        <v>13</v>
      </c>
      <c r="C838" s="7" t="s">
        <v>1181</v>
      </c>
      <c r="D838" s="7">
        <v>1.6512472300000001</v>
      </c>
      <c r="E838" s="7">
        <v>2.1782713899999999</v>
      </c>
      <c r="F838" s="9" t="str">
        <f t="shared" si="5"/>
        <v>Direct</v>
      </c>
      <c r="G838" s="7" t="s">
        <v>1182</v>
      </c>
    </row>
    <row r="839" spans="1:7" x14ac:dyDescent="0.2">
      <c r="A839" s="6" t="s">
        <v>8</v>
      </c>
      <c r="B839" s="7" t="s">
        <v>13</v>
      </c>
      <c r="C839" s="7" t="s">
        <v>1183</v>
      </c>
      <c r="D839" s="7">
        <v>-1.4278964999999999</v>
      </c>
      <c r="E839" s="7">
        <v>-1.2021974</v>
      </c>
      <c r="F839" s="9" t="str">
        <f t="shared" si="5"/>
        <v>Direct</v>
      </c>
      <c r="G839" s="7" t="s">
        <v>11</v>
      </c>
    </row>
    <row r="840" spans="1:7" x14ac:dyDescent="0.2">
      <c r="A840" s="6" t="s">
        <v>8</v>
      </c>
      <c r="B840" s="7" t="s">
        <v>13</v>
      </c>
      <c r="C840" s="7" t="s">
        <v>79</v>
      </c>
      <c r="D840" s="7">
        <v>1.7119764</v>
      </c>
      <c r="E840" s="7">
        <v>2.1574708500000002</v>
      </c>
      <c r="F840" s="9" t="str">
        <f t="shared" si="5"/>
        <v>Direct</v>
      </c>
      <c r="G840" s="7" t="s">
        <v>80</v>
      </c>
    </row>
    <row r="841" spans="1:7" x14ac:dyDescent="0.2">
      <c r="A841" s="6" t="s">
        <v>8</v>
      </c>
      <c r="B841" s="7" t="s">
        <v>13</v>
      </c>
      <c r="C841" s="7" t="s">
        <v>1184</v>
      </c>
      <c r="D841" s="7">
        <v>1.5605576699999999</v>
      </c>
      <c r="E841" s="7">
        <v>7.3006925899999997</v>
      </c>
      <c r="F841" s="9" t="str">
        <f t="shared" si="5"/>
        <v>Direct</v>
      </c>
      <c r="G841" s="7" t="s">
        <v>11</v>
      </c>
    </row>
    <row r="842" spans="1:7" x14ac:dyDescent="0.2">
      <c r="A842" s="6" t="s">
        <v>8</v>
      </c>
      <c r="B842" s="7" t="s">
        <v>13</v>
      </c>
      <c r="C842" s="7" t="s">
        <v>1185</v>
      </c>
      <c r="D842" s="7">
        <v>1.7482038600000001</v>
      </c>
      <c r="E842" s="7">
        <v>3.91486417</v>
      </c>
      <c r="F842" s="9" t="str">
        <f t="shared" si="5"/>
        <v>Direct</v>
      </c>
      <c r="G842" s="7" t="s">
        <v>35</v>
      </c>
    </row>
    <row r="843" spans="1:7" x14ac:dyDescent="0.2">
      <c r="A843" s="6" t="s">
        <v>8</v>
      </c>
      <c r="B843" s="7" t="s">
        <v>13</v>
      </c>
      <c r="C843" s="7" t="s">
        <v>1186</v>
      </c>
      <c r="D843" s="7">
        <v>2.3845005000000001</v>
      </c>
      <c r="E843" s="7">
        <v>9.25882848</v>
      </c>
      <c r="F843" s="9" t="str">
        <f t="shared" si="5"/>
        <v>Direct</v>
      </c>
      <c r="G843" s="7" t="s">
        <v>11</v>
      </c>
    </row>
    <row r="844" spans="1:7" x14ac:dyDescent="0.2">
      <c r="A844" s="6" t="s">
        <v>8</v>
      </c>
      <c r="B844" s="7" t="s">
        <v>13</v>
      </c>
      <c r="C844" s="7" t="s">
        <v>1187</v>
      </c>
      <c r="D844" s="7">
        <v>1.7482038600000001</v>
      </c>
      <c r="E844" s="7">
        <v>5.1036711800000001</v>
      </c>
      <c r="F844" s="9" t="str">
        <f t="shared" si="5"/>
        <v>Direct</v>
      </c>
      <c r="G844" s="7" t="s">
        <v>1188</v>
      </c>
    </row>
    <row r="845" spans="1:7" x14ac:dyDescent="0.2">
      <c r="A845" s="6" t="s">
        <v>8</v>
      </c>
      <c r="B845" s="7" t="s">
        <v>13</v>
      </c>
      <c r="C845" s="7" t="s">
        <v>1189</v>
      </c>
      <c r="D845" s="7">
        <v>-1.3057703000000001</v>
      </c>
      <c r="E845" s="7">
        <v>-1.822087</v>
      </c>
      <c r="F845" s="9" t="str">
        <f t="shared" si="5"/>
        <v>Direct</v>
      </c>
      <c r="G845" s="7" t="s">
        <v>1190</v>
      </c>
    </row>
    <row r="846" spans="1:7" x14ac:dyDescent="0.2">
      <c r="A846" s="6" t="s">
        <v>8</v>
      </c>
      <c r="B846" s="7" t="s">
        <v>13</v>
      </c>
      <c r="C846" s="7" t="s">
        <v>1191</v>
      </c>
      <c r="D846" s="7">
        <v>-16.927612</v>
      </c>
      <c r="E846" s="7">
        <v>1.3646178499999999</v>
      </c>
      <c r="F846" s="9" t="str">
        <f t="shared" si="5"/>
        <v>Inverse</v>
      </c>
      <c r="G846" s="7" t="s">
        <v>11</v>
      </c>
    </row>
    <row r="847" spans="1:7" x14ac:dyDescent="0.2">
      <c r="A847" s="6" t="s">
        <v>8</v>
      </c>
      <c r="B847" s="7" t="s">
        <v>13</v>
      </c>
      <c r="C847" s="7" t="s">
        <v>87</v>
      </c>
      <c r="D847" s="7">
        <v>-1.9471958</v>
      </c>
      <c r="E847" s="7">
        <v>-1.9694468999999999</v>
      </c>
      <c r="F847" s="9" t="str">
        <f t="shared" si="5"/>
        <v>Direct</v>
      </c>
      <c r="G847" s="7" t="s">
        <v>11</v>
      </c>
    </row>
    <row r="848" spans="1:7" x14ac:dyDescent="0.2">
      <c r="A848" s="6" t="s">
        <v>8</v>
      </c>
      <c r="B848" s="7" t="s">
        <v>13</v>
      </c>
      <c r="C848" s="7" t="s">
        <v>88</v>
      </c>
      <c r="D848" s="7">
        <v>-2.3042199000000001</v>
      </c>
      <c r="E848" s="7">
        <v>-3.4464782999999999</v>
      </c>
      <c r="F848" s="9" t="str">
        <f t="shared" si="5"/>
        <v>Direct</v>
      </c>
      <c r="G848" s="7" t="s">
        <v>11</v>
      </c>
    </row>
    <row r="849" spans="1:7" x14ac:dyDescent="0.2">
      <c r="A849" s="6" t="s">
        <v>8</v>
      </c>
      <c r="B849" s="7" t="s">
        <v>13</v>
      </c>
      <c r="C849" s="7" t="s">
        <v>1192</v>
      </c>
      <c r="D849" s="7">
        <v>-2.2583810999999998</v>
      </c>
      <c r="E849" s="7">
        <v>-3.2068922</v>
      </c>
      <c r="F849" s="9" t="str">
        <f t="shared" si="5"/>
        <v>Direct</v>
      </c>
      <c r="G849" s="7" t="s">
        <v>11</v>
      </c>
    </row>
    <row r="850" spans="1:7" x14ac:dyDescent="0.2">
      <c r="A850" s="6" t="s">
        <v>8</v>
      </c>
      <c r="B850" s="7" t="s">
        <v>13</v>
      </c>
      <c r="C850" s="7" t="s">
        <v>89</v>
      </c>
      <c r="D850" s="7">
        <v>-3.2697080999999999</v>
      </c>
      <c r="E850" s="7">
        <v>-2.7206674</v>
      </c>
      <c r="F850" s="9" t="str">
        <f t="shared" si="5"/>
        <v>Direct</v>
      </c>
      <c r="G850" s="7" t="s">
        <v>11</v>
      </c>
    </row>
    <row r="851" spans="1:7" x14ac:dyDescent="0.2">
      <c r="A851" s="6" t="s">
        <v>8</v>
      </c>
      <c r="B851" s="7" t="s">
        <v>13</v>
      </c>
      <c r="C851" s="7" t="s">
        <v>90</v>
      </c>
      <c r="D851" s="7">
        <v>-1.8852479</v>
      </c>
      <c r="E851" s="7">
        <v>-5.9095516000000003</v>
      </c>
      <c r="F851" s="9" t="str">
        <f t="shared" si="5"/>
        <v>Direct</v>
      </c>
      <c r="G851" s="7" t="s">
        <v>11</v>
      </c>
    </row>
    <row r="852" spans="1:7" x14ac:dyDescent="0.2">
      <c r="A852" s="6" t="s">
        <v>8</v>
      </c>
      <c r="B852" s="7" t="s">
        <v>13</v>
      </c>
      <c r="C852" s="7" t="s">
        <v>1193</v>
      </c>
      <c r="D852" s="7">
        <v>-1.1379572</v>
      </c>
      <c r="E852" s="7">
        <v>-1.8940709</v>
      </c>
      <c r="F852" s="9" t="str">
        <f t="shared" si="5"/>
        <v>Direct</v>
      </c>
      <c r="G852" s="7" t="s">
        <v>11</v>
      </c>
    </row>
    <row r="853" spans="1:7" x14ac:dyDescent="0.2">
      <c r="A853" s="6" t="s">
        <v>8</v>
      </c>
      <c r="B853" s="7" t="s">
        <v>13</v>
      </c>
      <c r="C853" s="7" t="s">
        <v>1194</v>
      </c>
      <c r="D853" s="7">
        <v>-1.3369093999999999</v>
      </c>
      <c r="E853" s="7">
        <v>-3.0745868999999999</v>
      </c>
      <c r="F853" s="9" t="str">
        <f t="shared" si="5"/>
        <v>Direct</v>
      </c>
      <c r="G853" s="7" t="s">
        <v>1195</v>
      </c>
    </row>
    <row r="854" spans="1:7" x14ac:dyDescent="0.2">
      <c r="A854" s="6" t="s">
        <v>8</v>
      </c>
      <c r="B854" s="7" t="s">
        <v>13</v>
      </c>
      <c r="C854" s="7" t="s">
        <v>1196</v>
      </c>
      <c r="D854" s="7">
        <v>-1.0788787</v>
      </c>
      <c r="E854" s="7">
        <v>-1.7212358000000001</v>
      </c>
      <c r="F854" s="9" t="str">
        <f t="shared" si="5"/>
        <v>Direct</v>
      </c>
      <c r="G854" s="7" t="s">
        <v>11</v>
      </c>
    </row>
    <row r="855" spans="1:7" x14ac:dyDescent="0.2">
      <c r="A855" s="6" t="s">
        <v>8</v>
      </c>
      <c r="B855" s="7" t="s">
        <v>13</v>
      </c>
      <c r="C855" s="7" t="s">
        <v>1197</v>
      </c>
      <c r="D855" s="7">
        <v>3.6347527500000001</v>
      </c>
      <c r="E855" s="7">
        <v>2.29924456</v>
      </c>
      <c r="F855" s="9" t="str">
        <f t="shared" si="5"/>
        <v>Direct</v>
      </c>
      <c r="G855" s="7" t="s">
        <v>11</v>
      </c>
    </row>
    <row r="856" spans="1:7" x14ac:dyDescent="0.2">
      <c r="A856" s="6" t="s">
        <v>8</v>
      </c>
      <c r="B856" s="7" t="s">
        <v>13</v>
      </c>
      <c r="C856" s="7" t="s">
        <v>1198</v>
      </c>
      <c r="D856" s="7">
        <v>-1.9011046</v>
      </c>
      <c r="E856" s="7">
        <v>-2.4632717</v>
      </c>
      <c r="F856" s="9" t="str">
        <f t="shared" si="5"/>
        <v>Direct</v>
      </c>
      <c r="G856" s="7" t="s">
        <v>11</v>
      </c>
    </row>
    <row r="857" spans="1:7" x14ac:dyDescent="0.2">
      <c r="A857" s="6" t="s">
        <v>8</v>
      </c>
      <c r="B857" s="7" t="s">
        <v>13</v>
      </c>
      <c r="C857" s="7" t="s">
        <v>1199</v>
      </c>
      <c r="D857" s="7">
        <v>2.6907001899999998</v>
      </c>
      <c r="E857" s="7">
        <v>5.6562963899999996</v>
      </c>
      <c r="F857" s="9" t="str">
        <f t="shared" si="5"/>
        <v>Direct</v>
      </c>
      <c r="G857" s="7" t="s">
        <v>1200</v>
      </c>
    </row>
    <row r="858" spans="1:7" x14ac:dyDescent="0.2">
      <c r="A858" s="6" t="s">
        <v>8</v>
      </c>
      <c r="B858" s="7" t="s">
        <v>13</v>
      </c>
      <c r="C858" s="7" t="s">
        <v>1201</v>
      </c>
      <c r="D858" s="7">
        <v>1.19745575</v>
      </c>
      <c r="E858" s="7">
        <v>1.8533600299999999</v>
      </c>
      <c r="F858" s="9" t="str">
        <f t="shared" si="5"/>
        <v>Direct</v>
      </c>
      <c r="G858" s="7" t="s">
        <v>11</v>
      </c>
    </row>
    <row r="859" spans="1:7" x14ac:dyDescent="0.2">
      <c r="A859" s="6" t="s">
        <v>8</v>
      </c>
      <c r="B859" s="7" t="s">
        <v>13</v>
      </c>
      <c r="C859" s="7" t="s">
        <v>1202</v>
      </c>
      <c r="D859" s="7">
        <v>1.8380902400000001</v>
      </c>
      <c r="E859" s="7">
        <v>3.3195673800000001</v>
      </c>
      <c r="F859" s="9" t="str">
        <f t="shared" si="5"/>
        <v>Direct</v>
      </c>
      <c r="G859" s="7" t="s">
        <v>11</v>
      </c>
    </row>
    <row r="860" spans="1:7" x14ac:dyDescent="0.2">
      <c r="A860" s="6" t="s">
        <v>8</v>
      </c>
      <c r="B860" s="7" t="s">
        <v>13</v>
      </c>
      <c r="C860" s="7" t="s">
        <v>96</v>
      </c>
      <c r="D860" s="7">
        <v>4.6776202500000004</v>
      </c>
      <c r="E860" s="7">
        <v>3.3605802900000001</v>
      </c>
      <c r="F860" s="9" t="str">
        <f t="shared" si="5"/>
        <v>Direct</v>
      </c>
      <c r="G860" s="7" t="s">
        <v>97</v>
      </c>
    </row>
    <row r="861" spans="1:7" x14ac:dyDescent="0.2">
      <c r="A861" s="6" t="s">
        <v>8</v>
      </c>
      <c r="B861" s="7" t="s">
        <v>13</v>
      </c>
      <c r="C861" s="7" t="s">
        <v>1203</v>
      </c>
      <c r="D861" s="7">
        <v>2.2289607199999999</v>
      </c>
      <c r="E861" s="7">
        <v>2.0627699100000001</v>
      </c>
      <c r="F861" s="9" t="str">
        <f t="shared" si="5"/>
        <v>Direct</v>
      </c>
      <c r="G861" s="7" t="s">
        <v>1204</v>
      </c>
    </row>
    <row r="862" spans="1:7" x14ac:dyDescent="0.2">
      <c r="A862" s="6" t="s">
        <v>8</v>
      </c>
      <c r="B862" s="7" t="s">
        <v>13</v>
      </c>
      <c r="C862" s="7" t="s">
        <v>1205</v>
      </c>
      <c r="D862" s="7">
        <v>1.39990339</v>
      </c>
      <c r="E862" s="7">
        <v>2.7396584000000002</v>
      </c>
      <c r="F862" s="9" t="str">
        <f t="shared" si="5"/>
        <v>Direct</v>
      </c>
      <c r="G862" s="7" t="s">
        <v>1206</v>
      </c>
    </row>
    <row r="863" spans="1:7" x14ac:dyDescent="0.2">
      <c r="A863" s="6" t="s">
        <v>8</v>
      </c>
      <c r="B863" s="7" t="s">
        <v>13</v>
      </c>
      <c r="C863" s="7" t="s">
        <v>1207</v>
      </c>
      <c r="D863" s="7">
        <v>1.63064589</v>
      </c>
      <c r="E863" s="7">
        <v>5.67925842</v>
      </c>
      <c r="F863" s="9" t="str">
        <f t="shared" si="5"/>
        <v>Direct</v>
      </c>
      <c r="G863" s="7" t="s">
        <v>1208</v>
      </c>
    </row>
    <row r="864" spans="1:7" x14ac:dyDescent="0.2">
      <c r="A864" s="6" t="s">
        <v>8</v>
      </c>
      <c r="B864" s="7" t="s">
        <v>13</v>
      </c>
      <c r="C864" s="7" t="s">
        <v>1209</v>
      </c>
      <c r="D864" s="7">
        <v>3.0305080499999999</v>
      </c>
      <c r="E864" s="7">
        <v>3.2509220299999999</v>
      </c>
      <c r="F864" s="9" t="str">
        <f t="shared" si="5"/>
        <v>Direct</v>
      </c>
      <c r="G864" s="7" t="s">
        <v>1210</v>
      </c>
    </row>
    <row r="865" spans="1:7" x14ac:dyDescent="0.2">
      <c r="A865" s="6" t="s">
        <v>8</v>
      </c>
      <c r="B865" s="7" t="s">
        <v>13</v>
      </c>
      <c r="C865" s="7" t="s">
        <v>1211</v>
      </c>
      <c r="D865" s="7">
        <v>-2.5485413000000001</v>
      </c>
      <c r="E865" s="7">
        <v>-1.713427</v>
      </c>
      <c r="F865" s="9" t="str">
        <f t="shared" si="5"/>
        <v>Direct</v>
      </c>
      <c r="G865" s="7" t="s">
        <v>11</v>
      </c>
    </row>
    <row r="866" spans="1:7" x14ac:dyDescent="0.2">
      <c r="A866" s="6" t="s">
        <v>8</v>
      </c>
      <c r="B866" s="7" t="s">
        <v>13</v>
      </c>
      <c r="C866" s="7" t="s">
        <v>1212</v>
      </c>
      <c r="D866" s="7">
        <v>-1.3495539999999999</v>
      </c>
      <c r="E866" s="7">
        <v>-4.0525719000000002</v>
      </c>
      <c r="F866" s="9" t="str">
        <f t="shared" si="5"/>
        <v>Direct</v>
      </c>
      <c r="G866" s="7" t="s">
        <v>1213</v>
      </c>
    </row>
    <row r="867" spans="1:7" x14ac:dyDescent="0.2">
      <c r="A867" s="6" t="s">
        <v>8</v>
      </c>
      <c r="B867" s="7" t="s">
        <v>13</v>
      </c>
      <c r="C867" s="7" t="s">
        <v>1214</v>
      </c>
      <c r="D867" s="7">
        <v>1.5157029799999999</v>
      </c>
      <c r="E867" s="7">
        <v>1.4732915799999999</v>
      </c>
      <c r="F867" s="9" t="str">
        <f t="shared" si="5"/>
        <v>Direct</v>
      </c>
      <c r="G867" s="7" t="s">
        <v>106</v>
      </c>
    </row>
    <row r="868" spans="1:7" x14ac:dyDescent="0.2">
      <c r="A868" s="6" t="s">
        <v>8</v>
      </c>
      <c r="B868" s="7" t="s">
        <v>13</v>
      </c>
      <c r="C868" s="7" t="s">
        <v>1215</v>
      </c>
      <c r="D868" s="7">
        <v>2.0967831499999998</v>
      </c>
      <c r="E868" s="7">
        <v>2.4324569399999998</v>
      </c>
      <c r="F868" s="9" t="str">
        <f t="shared" si="5"/>
        <v>Direct</v>
      </c>
      <c r="G868" s="7" t="s">
        <v>1216</v>
      </c>
    </row>
    <row r="869" spans="1:7" x14ac:dyDescent="0.2">
      <c r="A869" s="6" t="s">
        <v>8</v>
      </c>
      <c r="B869" s="7" t="s">
        <v>13</v>
      </c>
      <c r="C869" s="7" t="s">
        <v>1217</v>
      </c>
      <c r="D869" s="7">
        <v>-1.0116947000000001</v>
      </c>
      <c r="E869" s="7">
        <v>1.7490963900000001</v>
      </c>
      <c r="F869" s="9" t="str">
        <f t="shared" si="5"/>
        <v>Inverse</v>
      </c>
      <c r="G869" s="7" t="s">
        <v>11</v>
      </c>
    </row>
    <row r="870" spans="1:7" x14ac:dyDescent="0.2">
      <c r="A870" s="6" t="s">
        <v>8</v>
      </c>
      <c r="B870" s="7" t="s">
        <v>13</v>
      </c>
      <c r="C870" s="7" t="s">
        <v>1218</v>
      </c>
      <c r="D870" s="7">
        <v>2.1731677500000002</v>
      </c>
      <c r="E870" s="7">
        <v>1.22193486</v>
      </c>
      <c r="F870" s="9" t="str">
        <f t="shared" si="5"/>
        <v>Direct</v>
      </c>
      <c r="G870" s="7" t="s">
        <v>847</v>
      </c>
    </row>
    <row r="871" spans="1:7" x14ac:dyDescent="0.2">
      <c r="A871" s="6" t="s">
        <v>8</v>
      </c>
      <c r="B871" s="7" t="s">
        <v>13</v>
      </c>
      <c r="C871" s="7" t="s">
        <v>108</v>
      </c>
      <c r="D871" s="7">
        <v>-3.5222283999999999</v>
      </c>
      <c r="E871" s="7">
        <v>-3.8949243</v>
      </c>
      <c r="F871" s="9" t="str">
        <f t="shared" si="5"/>
        <v>Direct</v>
      </c>
      <c r="G871" s="7" t="s">
        <v>11</v>
      </c>
    </row>
    <row r="872" spans="1:7" x14ac:dyDescent="0.2">
      <c r="A872" s="6" t="s">
        <v>8</v>
      </c>
      <c r="B872" s="7" t="s">
        <v>13</v>
      </c>
      <c r="C872" s="7" t="s">
        <v>1219</v>
      </c>
      <c r="D872" s="7">
        <v>-1.4704611999999999</v>
      </c>
      <c r="E872" s="7">
        <v>-3.1198774</v>
      </c>
      <c r="F872" s="9" t="str">
        <f t="shared" si="5"/>
        <v>Direct</v>
      </c>
      <c r="G872" s="7" t="s">
        <v>11</v>
      </c>
    </row>
    <row r="873" spans="1:7" x14ac:dyDescent="0.2">
      <c r="A873" s="6" t="s">
        <v>8</v>
      </c>
      <c r="B873" s="7" t="s">
        <v>13</v>
      </c>
      <c r="C873" s="7" t="s">
        <v>1220</v>
      </c>
      <c r="D873" s="7">
        <v>1.58725614</v>
      </c>
      <c r="E873" s="7">
        <v>3.5196277500000002</v>
      </c>
      <c r="F873" s="9" t="str">
        <f t="shared" si="5"/>
        <v>Direct</v>
      </c>
      <c r="G873" s="7" t="s">
        <v>11</v>
      </c>
    </row>
    <row r="874" spans="1:7" x14ac:dyDescent="0.2">
      <c r="A874" s="6" t="s">
        <v>8</v>
      </c>
      <c r="B874" s="7" t="s">
        <v>13</v>
      </c>
      <c r="C874" s="7" t="s">
        <v>1221</v>
      </c>
      <c r="D874" s="7">
        <v>-2.8027734999999998</v>
      </c>
      <c r="E874" s="7">
        <v>-3.8991867</v>
      </c>
      <c r="F874" s="9" t="str">
        <f t="shared" si="5"/>
        <v>Direct</v>
      </c>
      <c r="G874" s="7" t="s">
        <v>11</v>
      </c>
    </row>
    <row r="875" spans="1:7" x14ac:dyDescent="0.2">
      <c r="A875" s="6" t="s">
        <v>8</v>
      </c>
      <c r="B875" s="7" t="s">
        <v>13</v>
      </c>
      <c r="C875" s="7" t="s">
        <v>1222</v>
      </c>
      <c r="D875" s="7">
        <v>1.38812471</v>
      </c>
      <c r="E875" s="7">
        <v>1.4256931900000001</v>
      </c>
      <c r="F875" s="9" t="str">
        <f t="shared" si="5"/>
        <v>Direct</v>
      </c>
      <c r="G875" s="7" t="s">
        <v>11</v>
      </c>
    </row>
    <row r="876" spans="1:7" x14ac:dyDescent="0.2">
      <c r="A876" s="6" t="s">
        <v>8</v>
      </c>
      <c r="B876" s="7" t="s">
        <v>13</v>
      </c>
      <c r="C876" s="7" t="s">
        <v>109</v>
      </c>
      <c r="D876" s="7">
        <v>-2.0390524999999999</v>
      </c>
      <c r="E876" s="7">
        <v>-4.4250537999999997</v>
      </c>
      <c r="F876" s="9" t="str">
        <f t="shared" si="5"/>
        <v>Direct</v>
      </c>
      <c r="G876" s="7" t="s">
        <v>11</v>
      </c>
    </row>
    <row r="877" spans="1:7" x14ac:dyDescent="0.2">
      <c r="A877" s="6" t="s">
        <v>8</v>
      </c>
      <c r="B877" s="7" t="s">
        <v>13</v>
      </c>
      <c r="C877" s="7" t="s">
        <v>110</v>
      </c>
      <c r="D877" s="7">
        <v>-1.8054559999999999</v>
      </c>
      <c r="E877" s="7">
        <v>-3.47357</v>
      </c>
      <c r="F877" s="9" t="str">
        <f t="shared" si="5"/>
        <v>Direct</v>
      </c>
      <c r="G877" s="7" t="s">
        <v>111</v>
      </c>
    </row>
    <row r="878" spans="1:7" x14ac:dyDescent="0.2">
      <c r="A878" s="6" t="s">
        <v>8</v>
      </c>
      <c r="B878" s="7" t="s">
        <v>13</v>
      </c>
      <c r="C878" s="7" t="s">
        <v>1223</v>
      </c>
      <c r="D878" s="7">
        <v>-1.5654870999999999</v>
      </c>
      <c r="E878" s="7">
        <v>-1.2542135000000001</v>
      </c>
      <c r="F878" s="9" t="str">
        <f t="shared" si="5"/>
        <v>Direct</v>
      </c>
      <c r="G878" s="7" t="s">
        <v>1224</v>
      </c>
    </row>
    <row r="879" spans="1:7" x14ac:dyDescent="0.2">
      <c r="A879" s="6" t="s">
        <v>8</v>
      </c>
      <c r="B879" s="7" t="s">
        <v>13</v>
      </c>
      <c r="C879" s="7" t="s">
        <v>1225</v>
      </c>
      <c r="D879" s="7">
        <v>1.2726136699999999</v>
      </c>
      <c r="E879" s="7">
        <v>3.4032838600000002</v>
      </c>
      <c r="F879" s="9" t="str">
        <f t="shared" si="5"/>
        <v>Direct</v>
      </c>
      <c r="G879" s="7" t="s">
        <v>1226</v>
      </c>
    </row>
    <row r="880" spans="1:7" x14ac:dyDescent="0.2">
      <c r="A880" s="6" t="s">
        <v>8</v>
      </c>
      <c r="B880" s="7" t="s">
        <v>13</v>
      </c>
      <c r="C880" s="7" t="s">
        <v>1227</v>
      </c>
      <c r="D880" s="7">
        <v>3.8837439900000001</v>
      </c>
      <c r="E880" s="7">
        <v>4.7641665900000003</v>
      </c>
      <c r="F880" s="9" t="str">
        <f t="shared" si="5"/>
        <v>Direct</v>
      </c>
      <c r="G880" s="7" t="s">
        <v>1228</v>
      </c>
    </row>
    <row r="881" spans="1:7" x14ac:dyDescent="0.2">
      <c r="A881" s="6" t="s">
        <v>8</v>
      </c>
      <c r="B881" s="7" t="s">
        <v>13</v>
      </c>
      <c r="C881" s="7" t="s">
        <v>1229</v>
      </c>
      <c r="D881" s="7">
        <v>1.5257596</v>
      </c>
      <c r="E881" s="7">
        <v>1.4306284300000001</v>
      </c>
      <c r="F881" s="9" t="str">
        <f t="shared" si="5"/>
        <v>Direct</v>
      </c>
      <c r="G881" s="7" t="s">
        <v>11</v>
      </c>
    </row>
    <row r="882" spans="1:7" x14ac:dyDescent="0.2">
      <c r="A882" s="6" t="s">
        <v>8</v>
      </c>
      <c r="B882" s="7" t="s">
        <v>13</v>
      </c>
      <c r="C882" s="7" t="s">
        <v>112</v>
      </c>
      <c r="D882" s="7">
        <v>2.1961075700000001</v>
      </c>
      <c r="E882" s="7">
        <v>2.8174893000000001</v>
      </c>
      <c r="F882" s="9" t="str">
        <f t="shared" si="5"/>
        <v>Direct</v>
      </c>
      <c r="G882" s="7" t="s">
        <v>113</v>
      </c>
    </row>
    <row r="883" spans="1:7" x14ac:dyDescent="0.2">
      <c r="A883" s="6" t="s">
        <v>8</v>
      </c>
      <c r="B883" s="7" t="s">
        <v>13</v>
      </c>
      <c r="C883" s="7" t="s">
        <v>1230</v>
      </c>
      <c r="D883" s="7">
        <v>1.17704667</v>
      </c>
      <c r="E883" s="7">
        <v>4.3288822900000001</v>
      </c>
      <c r="F883" s="9" t="str">
        <f t="shared" si="5"/>
        <v>Direct</v>
      </c>
      <c r="G883" s="7" t="s">
        <v>1231</v>
      </c>
    </row>
    <row r="884" spans="1:7" x14ac:dyDescent="0.2">
      <c r="A884" s="6" t="s">
        <v>8</v>
      </c>
      <c r="B884" s="7" t="s">
        <v>13</v>
      </c>
      <c r="C884" s="7" t="s">
        <v>1232</v>
      </c>
      <c r="D884" s="7">
        <v>2.7733463299999999</v>
      </c>
      <c r="E884" s="7">
        <v>6.4380442699999998</v>
      </c>
      <c r="F884" s="9" t="str">
        <f t="shared" si="5"/>
        <v>Direct</v>
      </c>
      <c r="G884" s="7" t="s">
        <v>11</v>
      </c>
    </row>
    <row r="885" spans="1:7" x14ac:dyDescent="0.2">
      <c r="A885" s="6" t="s">
        <v>8</v>
      </c>
      <c r="B885" s="7" t="s">
        <v>13</v>
      </c>
      <c r="C885" s="7" t="s">
        <v>1233</v>
      </c>
      <c r="D885" s="7">
        <v>1.04361474</v>
      </c>
      <c r="E885" s="7">
        <v>1.67721817</v>
      </c>
      <c r="F885" s="9" t="str">
        <f t="shared" si="5"/>
        <v>Direct</v>
      </c>
      <c r="G885" s="7" t="s">
        <v>11</v>
      </c>
    </row>
    <row r="886" spans="1:7" x14ac:dyDescent="0.2">
      <c r="A886" s="6" t="s">
        <v>8</v>
      </c>
      <c r="B886" s="7" t="s">
        <v>13</v>
      </c>
      <c r="C886" s="7" t="s">
        <v>114</v>
      </c>
      <c r="D886" s="7">
        <v>3.2386478699999999</v>
      </c>
      <c r="E886" s="7">
        <v>2.75836689</v>
      </c>
      <c r="F886" s="9" t="str">
        <f t="shared" si="5"/>
        <v>Direct</v>
      </c>
      <c r="G886" s="7" t="s">
        <v>11</v>
      </c>
    </row>
    <row r="887" spans="1:7" x14ac:dyDescent="0.2">
      <c r="A887" s="6" t="s">
        <v>8</v>
      </c>
      <c r="B887" s="7" t="s">
        <v>13</v>
      </c>
      <c r="C887" s="7" t="s">
        <v>1234</v>
      </c>
      <c r="D887" s="7">
        <v>1.8701922200000001</v>
      </c>
      <c r="E887" s="7">
        <v>7.7060488600000001</v>
      </c>
      <c r="F887" s="9" t="str">
        <f t="shared" si="5"/>
        <v>Direct</v>
      </c>
      <c r="G887" s="7" t="s">
        <v>11</v>
      </c>
    </row>
    <row r="888" spans="1:7" x14ac:dyDescent="0.2">
      <c r="A888" s="6" t="s">
        <v>8</v>
      </c>
      <c r="B888" s="7" t="s">
        <v>13</v>
      </c>
      <c r="C888" s="7" t="s">
        <v>1235</v>
      </c>
      <c r="D888" s="7">
        <v>-1.0499708000000001</v>
      </c>
      <c r="E888" s="7">
        <v>-1.5795440000000001</v>
      </c>
      <c r="F888" s="9" t="str">
        <f t="shared" si="5"/>
        <v>Direct</v>
      </c>
      <c r="G888" s="7" t="s">
        <v>11</v>
      </c>
    </row>
    <row r="889" spans="1:7" x14ac:dyDescent="0.2">
      <c r="A889" s="6" t="s">
        <v>8</v>
      </c>
      <c r="B889" s="7" t="s">
        <v>13</v>
      </c>
      <c r="C889" s="7" t="s">
        <v>1236</v>
      </c>
      <c r="D889" s="7">
        <v>1.0854244799999999</v>
      </c>
      <c r="E889" s="7">
        <v>3.9731580700000002</v>
      </c>
      <c r="F889" s="9" t="str">
        <f t="shared" si="5"/>
        <v>Direct</v>
      </c>
      <c r="G889" s="7" t="s">
        <v>11</v>
      </c>
    </row>
    <row r="890" spans="1:7" x14ac:dyDescent="0.2">
      <c r="A890" s="6" t="s">
        <v>8</v>
      </c>
      <c r="B890" s="7" t="s">
        <v>13</v>
      </c>
      <c r="C890" s="7" t="s">
        <v>1237</v>
      </c>
      <c r="D890" s="7">
        <v>1.2795563299999999</v>
      </c>
      <c r="E890" s="7">
        <v>1.8535263399999999</v>
      </c>
      <c r="F890" s="9" t="str">
        <f t="shared" si="5"/>
        <v>Direct</v>
      </c>
      <c r="G890" s="7" t="s">
        <v>11</v>
      </c>
    </row>
    <row r="891" spans="1:7" x14ac:dyDescent="0.2">
      <c r="A891" s="6" t="s">
        <v>8</v>
      </c>
      <c r="B891" s="7" t="s">
        <v>13</v>
      </c>
      <c r="C891" s="7" t="s">
        <v>1238</v>
      </c>
      <c r="D891" s="7">
        <v>-2.8105406999999998</v>
      </c>
      <c r="E891" s="7">
        <v>-1.1817898</v>
      </c>
      <c r="F891" s="9" t="str">
        <f t="shared" si="5"/>
        <v>Direct</v>
      </c>
      <c r="G891" s="7" t="s">
        <v>11</v>
      </c>
    </row>
    <row r="892" spans="1:7" x14ac:dyDescent="0.2">
      <c r="A892" s="6" t="s">
        <v>8</v>
      </c>
      <c r="B892" s="7" t="s">
        <v>13</v>
      </c>
      <c r="C892" s="7" t="s">
        <v>1239</v>
      </c>
      <c r="D892" s="7">
        <v>2.81575256</v>
      </c>
      <c r="E892" s="7">
        <v>3.72807815</v>
      </c>
      <c r="F892" s="9" t="str">
        <f t="shared" si="5"/>
        <v>Direct</v>
      </c>
      <c r="G892" s="7" t="s">
        <v>11</v>
      </c>
    </row>
    <row r="893" spans="1:7" x14ac:dyDescent="0.2">
      <c r="A893" s="6" t="s">
        <v>8</v>
      </c>
      <c r="B893" s="7" t="s">
        <v>13</v>
      </c>
      <c r="C893" s="7" t="s">
        <v>1240</v>
      </c>
      <c r="D893" s="7">
        <v>1.2848126600000001</v>
      </c>
      <c r="E893" s="7">
        <v>3.5014302599999998</v>
      </c>
      <c r="F893" s="9" t="str">
        <f t="shared" si="5"/>
        <v>Direct</v>
      </c>
      <c r="G893" s="7" t="s">
        <v>11</v>
      </c>
    </row>
    <row r="894" spans="1:7" x14ac:dyDescent="0.2">
      <c r="A894" s="6" t="s">
        <v>8</v>
      </c>
      <c r="B894" s="7" t="s">
        <v>13</v>
      </c>
      <c r="C894" s="7" t="s">
        <v>1241</v>
      </c>
      <c r="D894" s="7">
        <v>-1.3781504</v>
      </c>
      <c r="E894" s="7">
        <v>-1.2534506999999999</v>
      </c>
      <c r="F894" s="9" t="str">
        <f t="shared" si="5"/>
        <v>Direct</v>
      </c>
      <c r="G894" s="7" t="s">
        <v>11</v>
      </c>
    </row>
    <row r="895" spans="1:7" x14ac:dyDescent="0.2">
      <c r="A895" s="6" t="s">
        <v>8</v>
      </c>
      <c r="B895" s="7" t="s">
        <v>13</v>
      </c>
      <c r="C895" s="7" t="s">
        <v>1242</v>
      </c>
      <c r="D895" s="7">
        <v>2.86829789</v>
      </c>
      <c r="E895" s="7">
        <v>2.65515167</v>
      </c>
      <c r="F895" s="9" t="str">
        <f t="shared" si="5"/>
        <v>Direct</v>
      </c>
      <c r="G895" s="7" t="s">
        <v>1243</v>
      </c>
    </row>
    <row r="896" spans="1:7" x14ac:dyDescent="0.2">
      <c r="A896" s="6" t="s">
        <v>8</v>
      </c>
      <c r="B896" s="7" t="s">
        <v>13</v>
      </c>
      <c r="C896" s="7" t="s">
        <v>1244</v>
      </c>
      <c r="D896" s="7">
        <v>-1.0391945</v>
      </c>
      <c r="E896" s="7">
        <v>-1.4928831</v>
      </c>
      <c r="F896" s="9" t="str">
        <f t="shared" si="5"/>
        <v>Direct</v>
      </c>
      <c r="G896" s="7" t="s">
        <v>11</v>
      </c>
    </row>
    <row r="897" spans="1:7" x14ac:dyDescent="0.2">
      <c r="A897" s="6" t="s">
        <v>8</v>
      </c>
      <c r="B897" s="7" t="s">
        <v>13</v>
      </c>
      <c r="C897" s="7" t="s">
        <v>126</v>
      </c>
      <c r="D897" s="7">
        <v>2.1657337800000001</v>
      </c>
      <c r="E897" s="7">
        <v>4.0474173899999997</v>
      </c>
      <c r="F897" s="9" t="str">
        <f t="shared" si="5"/>
        <v>Direct</v>
      </c>
      <c r="G897" s="7" t="s">
        <v>127</v>
      </c>
    </row>
    <row r="898" spans="1:7" x14ac:dyDescent="0.2">
      <c r="A898" s="6" t="s">
        <v>8</v>
      </c>
      <c r="B898" s="7" t="s">
        <v>13</v>
      </c>
      <c r="C898" s="7" t="s">
        <v>128</v>
      </c>
      <c r="D898" s="7">
        <v>2.4009228</v>
      </c>
      <c r="E898" s="7">
        <v>10.1354559</v>
      </c>
      <c r="F898" s="9" t="str">
        <f t="shared" si="5"/>
        <v>Direct</v>
      </c>
      <c r="G898" s="7" t="s">
        <v>11</v>
      </c>
    </row>
    <row r="899" spans="1:7" x14ac:dyDescent="0.2">
      <c r="A899" s="6" t="s">
        <v>8</v>
      </c>
      <c r="B899" s="7" t="s">
        <v>13</v>
      </c>
      <c r="C899" s="7" t="s">
        <v>1245</v>
      </c>
      <c r="D899" s="7">
        <v>1.3426206599999999</v>
      </c>
      <c r="E899" s="7">
        <v>1.1002886000000001</v>
      </c>
      <c r="F899" s="9" t="str">
        <f t="shared" si="5"/>
        <v>Direct</v>
      </c>
      <c r="G899" s="7" t="s">
        <v>11</v>
      </c>
    </row>
    <row r="900" spans="1:7" x14ac:dyDescent="0.2">
      <c r="A900" s="6" t="s">
        <v>8</v>
      </c>
      <c r="B900" s="7" t="s">
        <v>13</v>
      </c>
      <c r="C900" s="7" t="s">
        <v>1246</v>
      </c>
      <c r="D900" s="7">
        <v>1.2509085600000001</v>
      </c>
      <c r="E900" s="7">
        <v>1.19597026</v>
      </c>
      <c r="F900" s="9" t="str">
        <f t="shared" si="5"/>
        <v>Direct</v>
      </c>
      <c r="G900" s="7" t="s">
        <v>1129</v>
      </c>
    </row>
    <row r="901" spans="1:7" x14ac:dyDescent="0.2">
      <c r="A901" s="6" t="s">
        <v>8</v>
      </c>
      <c r="B901" s="7" t="s">
        <v>13</v>
      </c>
      <c r="C901" s="7" t="s">
        <v>1247</v>
      </c>
      <c r="D901" s="7">
        <v>-2.1581218</v>
      </c>
      <c r="E901" s="7">
        <v>-4.2978097000000002</v>
      </c>
      <c r="F901" s="9" t="str">
        <f t="shared" si="5"/>
        <v>Direct</v>
      </c>
      <c r="G901" s="7" t="s">
        <v>1248</v>
      </c>
    </row>
    <row r="902" spans="1:7" x14ac:dyDescent="0.2">
      <c r="A902" s="6" t="s">
        <v>8</v>
      </c>
      <c r="B902" s="7" t="s">
        <v>13</v>
      </c>
      <c r="C902" s="7" t="s">
        <v>1249</v>
      </c>
      <c r="D902" s="7">
        <v>1.5430431200000001</v>
      </c>
      <c r="E902" s="7">
        <v>2.52148058</v>
      </c>
      <c r="F902" s="9" t="str">
        <f t="shared" si="5"/>
        <v>Direct</v>
      </c>
      <c r="G902" s="7" t="s">
        <v>1250</v>
      </c>
    </row>
    <row r="903" spans="1:7" x14ac:dyDescent="0.2">
      <c r="A903" s="6" t="s">
        <v>8</v>
      </c>
      <c r="B903" s="7" t="s">
        <v>13</v>
      </c>
      <c r="C903" s="7" t="s">
        <v>131</v>
      </c>
      <c r="D903" s="7">
        <v>2.70844321</v>
      </c>
      <c r="E903" s="7">
        <v>13.851672199999999</v>
      </c>
      <c r="F903" s="9" t="str">
        <f t="shared" si="5"/>
        <v>Direct</v>
      </c>
      <c r="G903" s="7" t="s">
        <v>11</v>
      </c>
    </row>
    <row r="904" spans="1:7" x14ac:dyDescent="0.2">
      <c r="A904" s="6" t="s">
        <v>8</v>
      </c>
      <c r="B904" s="7" t="s">
        <v>13</v>
      </c>
      <c r="C904" s="7" t="s">
        <v>132</v>
      </c>
      <c r="D904" s="7">
        <v>2.1331708900000002</v>
      </c>
      <c r="E904" s="7">
        <v>6.6601951599999998</v>
      </c>
      <c r="F904" s="9" t="str">
        <f t="shared" si="5"/>
        <v>Direct</v>
      </c>
      <c r="G904" s="7" t="s">
        <v>133</v>
      </c>
    </row>
    <row r="905" spans="1:7" x14ac:dyDescent="0.2">
      <c r="A905" s="6" t="s">
        <v>8</v>
      </c>
      <c r="B905" s="7" t="s">
        <v>13</v>
      </c>
      <c r="C905" s="7" t="s">
        <v>134</v>
      </c>
      <c r="D905" s="7">
        <v>1.03018316</v>
      </c>
      <c r="E905" s="7">
        <v>3.72404483</v>
      </c>
      <c r="F905" s="9" t="str">
        <f t="shared" si="5"/>
        <v>Direct</v>
      </c>
      <c r="G905" s="7" t="s">
        <v>135</v>
      </c>
    </row>
    <row r="906" spans="1:7" x14ac:dyDescent="0.2">
      <c r="A906" s="6" t="s">
        <v>8</v>
      </c>
      <c r="B906" s="7" t="s">
        <v>13</v>
      </c>
      <c r="C906" s="7" t="s">
        <v>136</v>
      </c>
      <c r="D906" s="7">
        <v>1.61602482</v>
      </c>
      <c r="E906" s="7">
        <v>7.5092022900000002</v>
      </c>
      <c r="F906" s="9" t="str">
        <f t="shared" si="5"/>
        <v>Direct</v>
      </c>
      <c r="G906" s="7" t="s">
        <v>137</v>
      </c>
    </row>
    <row r="907" spans="1:7" x14ac:dyDescent="0.2">
      <c r="A907" s="6" t="s">
        <v>8</v>
      </c>
      <c r="B907" s="7" t="s">
        <v>13</v>
      </c>
      <c r="C907" s="7" t="s">
        <v>1251</v>
      </c>
      <c r="D907" s="7">
        <v>1.6756531100000001</v>
      </c>
      <c r="E907" s="7">
        <v>7.9507875099999996</v>
      </c>
      <c r="F907" s="9" t="str">
        <f t="shared" si="5"/>
        <v>Direct</v>
      </c>
      <c r="G907" s="7" t="s">
        <v>1252</v>
      </c>
    </row>
    <row r="908" spans="1:7" x14ac:dyDescent="0.2">
      <c r="A908" s="6" t="s">
        <v>8</v>
      </c>
      <c r="B908" s="7" t="s">
        <v>13</v>
      </c>
      <c r="C908" s="7" t="s">
        <v>1253</v>
      </c>
      <c r="D908" s="7">
        <v>1.4753459799999999</v>
      </c>
      <c r="E908" s="7">
        <v>6.4785859500000003</v>
      </c>
      <c r="F908" s="9" t="str">
        <f t="shared" si="5"/>
        <v>Direct</v>
      </c>
      <c r="G908" s="7" t="s">
        <v>11</v>
      </c>
    </row>
    <row r="909" spans="1:7" x14ac:dyDescent="0.2">
      <c r="A909" s="6" t="s">
        <v>8</v>
      </c>
      <c r="B909" s="7" t="s">
        <v>13</v>
      </c>
      <c r="C909" s="7" t="s">
        <v>1254</v>
      </c>
      <c r="D909" s="7">
        <v>2.2920580199999998</v>
      </c>
      <c r="E909" s="7">
        <v>10.1594929</v>
      </c>
      <c r="F909" s="9" t="str">
        <f t="shared" si="5"/>
        <v>Direct</v>
      </c>
      <c r="G909" s="7" t="s">
        <v>11</v>
      </c>
    </row>
    <row r="910" spans="1:7" x14ac:dyDescent="0.2">
      <c r="A910" s="6" t="s">
        <v>8</v>
      </c>
      <c r="B910" s="7" t="s">
        <v>13</v>
      </c>
      <c r="C910" s="7" t="s">
        <v>1255</v>
      </c>
      <c r="D910" s="7">
        <v>-1.2251196</v>
      </c>
      <c r="E910" s="7">
        <v>-3.8130294</v>
      </c>
      <c r="F910" s="9" t="str">
        <f t="shared" si="5"/>
        <v>Direct</v>
      </c>
      <c r="G910" s="7" t="s">
        <v>1256</v>
      </c>
    </row>
    <row r="911" spans="1:7" x14ac:dyDescent="0.2">
      <c r="A911" s="6" t="s">
        <v>8</v>
      </c>
      <c r="B911" s="7" t="s">
        <v>13</v>
      </c>
      <c r="C911" s="7" t="s">
        <v>1257</v>
      </c>
      <c r="D911" s="7">
        <v>1.2450797300000001</v>
      </c>
      <c r="E911" s="7">
        <v>2.9224640499999999</v>
      </c>
      <c r="F911" s="9" t="str">
        <f t="shared" si="5"/>
        <v>Direct</v>
      </c>
      <c r="G911" s="7" t="s">
        <v>11</v>
      </c>
    </row>
    <row r="912" spans="1:7" x14ac:dyDescent="0.2">
      <c r="A912" s="6" t="s">
        <v>8</v>
      </c>
      <c r="B912" s="7" t="s">
        <v>13</v>
      </c>
      <c r="C912" s="7" t="s">
        <v>145</v>
      </c>
      <c r="D912" s="7">
        <v>-2.9271145999999999</v>
      </c>
      <c r="E912" s="7">
        <v>-4.8650660999999999</v>
      </c>
      <c r="F912" s="9" t="str">
        <f t="shared" si="5"/>
        <v>Direct</v>
      </c>
      <c r="G912" s="7" t="s">
        <v>146</v>
      </c>
    </row>
    <row r="913" spans="1:7" x14ac:dyDescent="0.2">
      <c r="A913" s="6" t="s">
        <v>8</v>
      </c>
      <c r="B913" s="7" t="s">
        <v>13</v>
      </c>
      <c r="C913" s="7" t="s">
        <v>1258</v>
      </c>
      <c r="D913" s="7">
        <v>-2.0207191</v>
      </c>
      <c r="E913" s="7">
        <v>-1.4683151000000001</v>
      </c>
      <c r="F913" s="9" t="str">
        <f t="shared" si="5"/>
        <v>Direct</v>
      </c>
      <c r="G913" s="7" t="s">
        <v>11</v>
      </c>
    </row>
    <row r="914" spans="1:7" x14ac:dyDescent="0.2">
      <c r="A914" s="6" t="s">
        <v>8</v>
      </c>
      <c r="B914" s="7" t="s">
        <v>13</v>
      </c>
      <c r="C914" s="7" t="s">
        <v>147</v>
      </c>
      <c r="D914" s="7">
        <v>1.96500115</v>
      </c>
      <c r="E914" s="7">
        <v>4.5544705900000002</v>
      </c>
      <c r="F914" s="9" t="str">
        <f t="shared" si="5"/>
        <v>Direct</v>
      </c>
      <c r="G914" s="7" t="s">
        <v>11</v>
      </c>
    </row>
    <row r="915" spans="1:7" x14ac:dyDescent="0.2">
      <c r="A915" s="6" t="s">
        <v>8</v>
      </c>
      <c r="B915" s="7" t="s">
        <v>13</v>
      </c>
      <c r="C915" s="7" t="s">
        <v>1259</v>
      </c>
      <c r="D915" s="7">
        <v>1.47398078</v>
      </c>
      <c r="E915" s="7">
        <v>1.5644095200000001</v>
      </c>
      <c r="F915" s="9" t="str">
        <f t="shared" si="5"/>
        <v>Direct</v>
      </c>
      <c r="G915" s="7" t="s">
        <v>11</v>
      </c>
    </row>
    <row r="916" spans="1:7" x14ac:dyDescent="0.2">
      <c r="A916" s="6" t="s">
        <v>8</v>
      </c>
      <c r="B916" s="7" t="s">
        <v>13</v>
      </c>
      <c r="C916" s="7" t="s">
        <v>1260</v>
      </c>
      <c r="D916" s="7">
        <v>-1.6821893999999999</v>
      </c>
      <c r="E916" s="7">
        <v>-2.2611644000000002</v>
      </c>
      <c r="F916" s="9" t="str">
        <f t="shared" si="5"/>
        <v>Direct</v>
      </c>
      <c r="G916" s="7" t="s">
        <v>11</v>
      </c>
    </row>
    <row r="917" spans="1:7" x14ac:dyDescent="0.2">
      <c r="A917" s="6" t="s">
        <v>8</v>
      </c>
      <c r="B917" s="7" t="s">
        <v>13</v>
      </c>
      <c r="C917" s="7" t="s">
        <v>1261</v>
      </c>
      <c r="D917" s="7">
        <v>-1.4048921999999999</v>
      </c>
      <c r="E917" s="7">
        <v>-3.2778879000000001</v>
      </c>
      <c r="F917" s="9" t="str">
        <f t="shared" si="5"/>
        <v>Direct</v>
      </c>
      <c r="G917" s="7" t="s">
        <v>1262</v>
      </c>
    </row>
    <row r="918" spans="1:7" x14ac:dyDescent="0.2">
      <c r="A918" s="6" t="s">
        <v>8</v>
      </c>
      <c r="B918" s="7" t="s">
        <v>13</v>
      </c>
      <c r="C918" s="7" t="s">
        <v>1263</v>
      </c>
      <c r="D918" s="7">
        <v>-1.6509801</v>
      </c>
      <c r="E918" s="7">
        <v>-1.5411096</v>
      </c>
      <c r="F918" s="9" t="str">
        <f t="shared" si="5"/>
        <v>Direct</v>
      </c>
      <c r="G918" s="7" t="s">
        <v>1264</v>
      </c>
    </row>
    <row r="919" spans="1:7" x14ac:dyDescent="0.2">
      <c r="A919" s="6" t="s">
        <v>8</v>
      </c>
      <c r="B919" s="7" t="s">
        <v>13</v>
      </c>
      <c r="C919" s="7" t="s">
        <v>1265</v>
      </c>
      <c r="D919" s="7">
        <v>1.74359587</v>
      </c>
      <c r="E919" s="7">
        <v>1.25318149</v>
      </c>
      <c r="F919" s="9" t="str">
        <f t="shared" si="5"/>
        <v>Direct</v>
      </c>
      <c r="G919" s="7" t="s">
        <v>1266</v>
      </c>
    </row>
    <row r="920" spans="1:7" x14ac:dyDescent="0.2">
      <c r="A920" s="6" t="s">
        <v>8</v>
      </c>
      <c r="B920" s="7" t="s">
        <v>13</v>
      </c>
      <c r="C920" s="7" t="s">
        <v>1267</v>
      </c>
      <c r="D920" s="7">
        <v>-2.8974954999999998</v>
      </c>
      <c r="E920" s="7">
        <v>-6.6397465999999996</v>
      </c>
      <c r="F920" s="9" t="str">
        <f t="shared" si="5"/>
        <v>Direct</v>
      </c>
      <c r="G920" s="7" t="s">
        <v>1266</v>
      </c>
    </row>
    <row r="921" spans="1:7" x14ac:dyDescent="0.2">
      <c r="A921" s="6" t="s">
        <v>8</v>
      </c>
      <c r="B921" s="7" t="s">
        <v>13</v>
      </c>
      <c r="C921" s="7" t="s">
        <v>1268</v>
      </c>
      <c r="D921" s="7">
        <v>-2.5801406999999998</v>
      </c>
      <c r="E921" s="7">
        <v>-2.0370273000000001</v>
      </c>
      <c r="F921" s="9" t="str">
        <f t="shared" si="5"/>
        <v>Direct</v>
      </c>
      <c r="G921" s="7" t="s">
        <v>11</v>
      </c>
    </row>
    <row r="922" spans="1:7" x14ac:dyDescent="0.2">
      <c r="A922" s="6" t="s">
        <v>8</v>
      </c>
      <c r="B922" s="7" t="s">
        <v>13</v>
      </c>
      <c r="C922" s="7" t="s">
        <v>1269</v>
      </c>
      <c r="D922" s="7">
        <v>-1.2677582000000001</v>
      </c>
      <c r="E922" s="7">
        <v>-1.551285</v>
      </c>
      <c r="F922" s="9" t="str">
        <f t="shared" si="5"/>
        <v>Direct</v>
      </c>
      <c r="G922" s="7" t="s">
        <v>1270</v>
      </c>
    </row>
    <row r="923" spans="1:7" x14ac:dyDescent="0.2">
      <c r="A923" s="6" t="s">
        <v>8</v>
      </c>
      <c r="B923" s="7" t="s">
        <v>13</v>
      </c>
      <c r="C923" s="7" t="s">
        <v>1271</v>
      </c>
      <c r="D923" s="7">
        <v>1.41041064</v>
      </c>
      <c r="E923" s="7">
        <v>1.33664049</v>
      </c>
      <c r="F923" s="9" t="str">
        <f t="shared" si="5"/>
        <v>Direct</v>
      </c>
      <c r="G923" s="7" t="s">
        <v>11</v>
      </c>
    </row>
    <row r="924" spans="1:7" x14ac:dyDescent="0.2">
      <c r="A924" s="6" t="s">
        <v>8</v>
      </c>
      <c r="B924" s="7" t="s">
        <v>13</v>
      </c>
      <c r="C924" s="7" t="s">
        <v>159</v>
      </c>
      <c r="D924" s="7">
        <v>-1.1788430999999999</v>
      </c>
      <c r="E924" s="7">
        <v>-3.7853563000000001</v>
      </c>
      <c r="F924" s="9" t="str">
        <f t="shared" si="5"/>
        <v>Direct</v>
      </c>
      <c r="G924" s="7" t="s">
        <v>11</v>
      </c>
    </row>
    <row r="925" spans="1:7" x14ac:dyDescent="0.2">
      <c r="A925" s="6" t="s">
        <v>8</v>
      </c>
      <c r="B925" s="7" t="s">
        <v>13</v>
      </c>
      <c r="C925" s="7" t="s">
        <v>160</v>
      </c>
      <c r="D925" s="7">
        <v>-2.2392569</v>
      </c>
      <c r="E925" s="7">
        <v>-5.9655012999999997</v>
      </c>
      <c r="F925" s="9" t="str">
        <f t="shared" si="5"/>
        <v>Direct</v>
      </c>
      <c r="G925" s="7" t="s">
        <v>11</v>
      </c>
    </row>
    <row r="926" spans="1:7" x14ac:dyDescent="0.2">
      <c r="A926" s="6" t="s">
        <v>8</v>
      </c>
      <c r="B926" s="7" t="s">
        <v>13</v>
      </c>
      <c r="C926" s="7" t="s">
        <v>1272</v>
      </c>
      <c r="D926" s="7">
        <v>1.5596857399999999</v>
      </c>
      <c r="E926" s="7">
        <v>1.06616388</v>
      </c>
      <c r="F926" s="9" t="str">
        <f t="shared" si="5"/>
        <v>Direct</v>
      </c>
      <c r="G926" s="7" t="s">
        <v>11</v>
      </c>
    </row>
    <row r="927" spans="1:7" x14ac:dyDescent="0.2">
      <c r="A927" s="6" t="s">
        <v>8</v>
      </c>
      <c r="B927" s="7" t="s">
        <v>13</v>
      </c>
      <c r="C927" s="7" t="s">
        <v>1273</v>
      </c>
      <c r="D927" s="7">
        <v>-2.3262100000000001</v>
      </c>
      <c r="E927" s="7">
        <v>-1.8151963</v>
      </c>
      <c r="F927" s="9" t="str">
        <f t="shared" si="5"/>
        <v>Direct</v>
      </c>
      <c r="G927" s="7" t="s">
        <v>11</v>
      </c>
    </row>
    <row r="928" spans="1:7" x14ac:dyDescent="0.2">
      <c r="A928" s="6" t="s">
        <v>8</v>
      </c>
      <c r="B928" s="7" t="s">
        <v>13</v>
      </c>
      <c r="C928" s="7" t="s">
        <v>164</v>
      </c>
      <c r="D928" s="7">
        <v>1.98474825</v>
      </c>
      <c r="E928" s="7">
        <v>4.38576459</v>
      </c>
      <c r="F928" s="9" t="str">
        <f t="shared" si="5"/>
        <v>Direct</v>
      </c>
      <c r="G928" s="7" t="s">
        <v>11</v>
      </c>
    </row>
    <row r="929" spans="1:7" x14ac:dyDescent="0.2">
      <c r="A929" s="6" t="s">
        <v>8</v>
      </c>
      <c r="B929" s="7" t="s">
        <v>13</v>
      </c>
      <c r="C929" s="7" t="s">
        <v>1274</v>
      </c>
      <c r="D929" s="7">
        <v>1.14490381</v>
      </c>
      <c r="E929" s="7">
        <v>1.7928037400000001</v>
      </c>
      <c r="F929" s="9" t="str">
        <f t="shared" si="5"/>
        <v>Direct</v>
      </c>
      <c r="G929" s="7" t="s">
        <v>11</v>
      </c>
    </row>
    <row r="930" spans="1:7" x14ac:dyDescent="0.2">
      <c r="A930" s="6" t="s">
        <v>8</v>
      </c>
      <c r="B930" s="7" t="s">
        <v>13</v>
      </c>
      <c r="C930" s="7" t="s">
        <v>166</v>
      </c>
      <c r="D930" s="7">
        <v>-1.7414466</v>
      </c>
      <c r="E930" s="7">
        <v>-1.1479182000000001</v>
      </c>
      <c r="F930" s="9" t="str">
        <f t="shared" si="5"/>
        <v>Direct</v>
      </c>
      <c r="G930" s="7" t="s">
        <v>167</v>
      </c>
    </row>
    <row r="931" spans="1:7" x14ac:dyDescent="0.2">
      <c r="A931" s="6" t="s">
        <v>8</v>
      </c>
      <c r="B931" s="7" t="s">
        <v>13</v>
      </c>
      <c r="C931" s="7" t="s">
        <v>1275</v>
      </c>
      <c r="D931" s="7">
        <v>2.1657337800000001</v>
      </c>
      <c r="E931" s="7">
        <v>3.2942667499999998</v>
      </c>
      <c r="F931" s="9" t="str">
        <f t="shared" si="5"/>
        <v>Direct</v>
      </c>
      <c r="G931" s="7" t="s">
        <v>1276</v>
      </c>
    </row>
    <row r="932" spans="1:7" x14ac:dyDescent="0.2">
      <c r="A932" s="6" t="s">
        <v>8</v>
      </c>
      <c r="B932" s="7" t="s">
        <v>13</v>
      </c>
      <c r="C932" s="7" t="s">
        <v>1277</v>
      </c>
      <c r="D932" s="7">
        <v>-1.623116</v>
      </c>
      <c r="E932" s="7">
        <v>-1.9092221</v>
      </c>
      <c r="F932" s="9" t="str">
        <f t="shared" si="5"/>
        <v>Direct</v>
      </c>
      <c r="G932" s="7" t="s">
        <v>11</v>
      </c>
    </row>
    <row r="933" spans="1:7" x14ac:dyDescent="0.2">
      <c r="A933" s="6" t="s">
        <v>8</v>
      </c>
      <c r="B933" s="7" t="s">
        <v>13</v>
      </c>
      <c r="C933" s="7" t="s">
        <v>1278</v>
      </c>
      <c r="D933" s="7">
        <v>-1.1131504999999999</v>
      </c>
      <c r="E933" s="7">
        <v>-1.7427808</v>
      </c>
      <c r="F933" s="9" t="str">
        <f t="shared" si="5"/>
        <v>Direct</v>
      </c>
      <c r="G933" s="7" t="s">
        <v>11</v>
      </c>
    </row>
    <row r="934" spans="1:7" x14ac:dyDescent="0.2">
      <c r="A934" s="6" t="s">
        <v>8</v>
      </c>
      <c r="B934" s="7" t="s">
        <v>13</v>
      </c>
      <c r="C934" s="7" t="s">
        <v>1279</v>
      </c>
      <c r="D934" s="7">
        <v>1.0942839900000001</v>
      </c>
      <c r="E934" s="7">
        <v>1.52227249</v>
      </c>
      <c r="F934" s="9" t="str">
        <f t="shared" si="5"/>
        <v>Direct</v>
      </c>
      <c r="G934" s="7" t="s">
        <v>11</v>
      </c>
    </row>
    <row r="935" spans="1:7" x14ac:dyDescent="0.2">
      <c r="A935" s="6" t="s">
        <v>8</v>
      </c>
      <c r="B935" s="7" t="s">
        <v>13</v>
      </c>
      <c r="C935" s="7" t="s">
        <v>169</v>
      </c>
      <c r="D935" s="7">
        <v>-1.6731187000000001</v>
      </c>
      <c r="E935" s="7">
        <v>-1.6094934000000001</v>
      </c>
      <c r="F935" s="9" t="str">
        <f t="shared" si="5"/>
        <v>Direct</v>
      </c>
      <c r="G935" s="7" t="s">
        <v>11</v>
      </c>
    </row>
    <row r="936" spans="1:7" x14ac:dyDescent="0.2">
      <c r="A936" s="6" t="s">
        <v>8</v>
      </c>
      <c r="B936" s="7" t="s">
        <v>13</v>
      </c>
      <c r="C936" s="7" t="s">
        <v>1280</v>
      </c>
      <c r="D936" s="7">
        <v>1.63127825</v>
      </c>
      <c r="E936" s="7">
        <v>1.3640322899999999</v>
      </c>
      <c r="F936" s="9" t="str">
        <f t="shared" si="5"/>
        <v>Direct</v>
      </c>
      <c r="G936" s="7" t="s">
        <v>1026</v>
      </c>
    </row>
    <row r="937" spans="1:7" x14ac:dyDescent="0.2">
      <c r="A937" s="6" t="s">
        <v>8</v>
      </c>
      <c r="B937" s="7" t="s">
        <v>13</v>
      </c>
      <c r="C937" s="7" t="s">
        <v>1281</v>
      </c>
      <c r="D937" s="7">
        <v>1.0924463200000001</v>
      </c>
      <c r="E937" s="7">
        <v>4.9330374399999997</v>
      </c>
      <c r="F937" s="9" t="str">
        <f t="shared" si="5"/>
        <v>Direct</v>
      </c>
      <c r="G937" s="7" t="s">
        <v>11</v>
      </c>
    </row>
    <row r="938" spans="1:7" x14ac:dyDescent="0.2">
      <c r="A938" s="6" t="s">
        <v>8</v>
      </c>
      <c r="B938" s="7" t="s">
        <v>13</v>
      </c>
      <c r="C938" s="7" t="s">
        <v>174</v>
      </c>
      <c r="D938" s="7">
        <v>-2.1702656999999999</v>
      </c>
      <c r="E938" s="7">
        <v>-3.5292645999999999</v>
      </c>
      <c r="F938" s="9" t="str">
        <f t="shared" si="5"/>
        <v>Direct</v>
      </c>
      <c r="G938" s="7" t="s">
        <v>11</v>
      </c>
    </row>
    <row r="939" spans="1:7" x14ac:dyDescent="0.2">
      <c r="A939" s="6" t="s">
        <v>8</v>
      </c>
      <c r="B939" s="7" t="s">
        <v>13</v>
      </c>
      <c r="C939" s="7" t="s">
        <v>175</v>
      </c>
      <c r="D939" s="7">
        <v>-1.408166</v>
      </c>
      <c r="E939" s="7">
        <v>-1.9248464000000001</v>
      </c>
      <c r="F939" s="9" t="str">
        <f t="shared" si="5"/>
        <v>Direct</v>
      </c>
      <c r="G939" s="7" t="s">
        <v>11</v>
      </c>
    </row>
    <row r="940" spans="1:7" x14ac:dyDescent="0.2">
      <c r="A940" s="6" t="s">
        <v>8</v>
      </c>
      <c r="B940" s="7" t="s">
        <v>13</v>
      </c>
      <c r="C940" s="7" t="s">
        <v>1282</v>
      </c>
      <c r="D940" s="7">
        <v>-3.5053768999999999</v>
      </c>
      <c r="E940" s="7">
        <v>-3.9677349999999998</v>
      </c>
      <c r="F940" s="9" t="str">
        <f t="shared" si="5"/>
        <v>Direct</v>
      </c>
      <c r="G940" s="7" t="s">
        <v>11</v>
      </c>
    </row>
    <row r="941" spans="1:7" x14ac:dyDescent="0.2">
      <c r="A941" s="6" t="s">
        <v>8</v>
      </c>
      <c r="B941" s="7" t="s">
        <v>13</v>
      </c>
      <c r="C941" s="7" t="s">
        <v>1283</v>
      </c>
      <c r="D941" s="7">
        <v>-1.1859508999999999</v>
      </c>
      <c r="E941" s="7">
        <v>-1.3444613000000001</v>
      </c>
      <c r="F941" s="9" t="str">
        <f t="shared" si="5"/>
        <v>Direct</v>
      </c>
      <c r="G941" s="7" t="s">
        <v>1284</v>
      </c>
    </row>
    <row r="942" spans="1:7" x14ac:dyDescent="0.2">
      <c r="A942" s="6" t="s">
        <v>8</v>
      </c>
      <c r="B942" s="7" t="s">
        <v>13</v>
      </c>
      <c r="C942" s="7" t="s">
        <v>1285</v>
      </c>
      <c r="D942" s="7">
        <v>-2.8540258999999999</v>
      </c>
      <c r="E942" s="7">
        <v>-2.4661597999999998</v>
      </c>
      <c r="F942" s="9" t="str">
        <f t="shared" si="5"/>
        <v>Direct</v>
      </c>
      <c r="G942" s="7" t="s">
        <v>11</v>
      </c>
    </row>
    <row r="943" spans="1:7" x14ac:dyDescent="0.2">
      <c r="A943" s="6" t="s">
        <v>8</v>
      </c>
      <c r="B943" s="7" t="s">
        <v>13</v>
      </c>
      <c r="C943" s="7" t="s">
        <v>1286</v>
      </c>
      <c r="D943" s="7">
        <v>1.0819608999999999</v>
      </c>
      <c r="E943" s="7">
        <v>1.96302423</v>
      </c>
      <c r="F943" s="9" t="str">
        <f t="shared" si="5"/>
        <v>Direct</v>
      </c>
      <c r="G943" s="7" t="s">
        <v>1287</v>
      </c>
    </row>
    <row r="944" spans="1:7" x14ac:dyDescent="0.2">
      <c r="A944" s="6" t="s">
        <v>8</v>
      </c>
      <c r="B944" s="7" t="s">
        <v>13</v>
      </c>
      <c r="C944" s="7" t="s">
        <v>1288</v>
      </c>
      <c r="D944" s="7">
        <v>2.8540258500000002</v>
      </c>
      <c r="E944" s="7">
        <v>6.6191563200000001</v>
      </c>
      <c r="F944" s="9" t="str">
        <f t="shared" si="5"/>
        <v>Direct</v>
      </c>
      <c r="G944" s="7" t="s">
        <v>1289</v>
      </c>
    </row>
    <row r="945" spans="1:7" x14ac:dyDescent="0.2">
      <c r="A945" s="6" t="s">
        <v>8</v>
      </c>
      <c r="B945" s="7" t="s">
        <v>13</v>
      </c>
      <c r="C945" s="7" t="s">
        <v>1290</v>
      </c>
      <c r="D945" s="7">
        <v>1.33892071</v>
      </c>
      <c r="E945" s="7">
        <v>6.8335776700000004</v>
      </c>
      <c r="F945" s="9" t="str">
        <f t="shared" si="5"/>
        <v>Direct</v>
      </c>
      <c r="G945" s="7" t="s">
        <v>11</v>
      </c>
    </row>
    <row r="946" spans="1:7" x14ac:dyDescent="0.2">
      <c r="A946" s="6" t="s">
        <v>8</v>
      </c>
      <c r="B946" s="7" t="s">
        <v>13</v>
      </c>
      <c r="C946" s="7" t="s">
        <v>1291</v>
      </c>
      <c r="D946" s="7">
        <v>-3.3096136</v>
      </c>
      <c r="E946" s="7">
        <v>-1.7002914</v>
      </c>
      <c r="F946" s="9" t="str">
        <f t="shared" si="5"/>
        <v>Direct</v>
      </c>
      <c r="G946" s="7" t="s">
        <v>1292</v>
      </c>
    </row>
    <row r="947" spans="1:7" x14ac:dyDescent="0.2">
      <c r="A947" s="6" t="s">
        <v>8</v>
      </c>
      <c r="B947" s="7" t="s">
        <v>13</v>
      </c>
      <c r="C947" s="7" t="s">
        <v>1293</v>
      </c>
      <c r="D947" s="7">
        <v>1.45600547</v>
      </c>
      <c r="E947" s="7">
        <v>4.5974678500000001</v>
      </c>
      <c r="F947" s="9" t="str">
        <f t="shared" si="5"/>
        <v>Direct</v>
      </c>
      <c r="G947" s="7" t="s">
        <v>11</v>
      </c>
    </row>
    <row r="948" spans="1:7" x14ac:dyDescent="0.2">
      <c r="A948" s="6" t="s">
        <v>8</v>
      </c>
      <c r="B948" s="7" t="s">
        <v>13</v>
      </c>
      <c r="C948" s="7" t="s">
        <v>1294</v>
      </c>
      <c r="D948" s="7">
        <v>1.75491273</v>
      </c>
      <c r="E948" s="7">
        <v>3.7139853299999999</v>
      </c>
      <c r="F948" s="9" t="str">
        <f t="shared" si="5"/>
        <v>Direct</v>
      </c>
      <c r="G948" s="7" t="s">
        <v>1295</v>
      </c>
    </row>
    <row r="949" spans="1:7" x14ac:dyDescent="0.2">
      <c r="A949" s="6" t="s">
        <v>8</v>
      </c>
      <c r="B949" s="7" t="s">
        <v>13</v>
      </c>
      <c r="C949" s="7" t="s">
        <v>1296</v>
      </c>
      <c r="D949" s="7">
        <v>-1.3467815000000001</v>
      </c>
      <c r="E949" s="7">
        <v>-2.0650968999999999</v>
      </c>
      <c r="F949" s="9" t="str">
        <f t="shared" si="5"/>
        <v>Direct</v>
      </c>
      <c r="G949" s="7" t="s">
        <v>11</v>
      </c>
    </row>
    <row r="950" spans="1:7" x14ac:dyDescent="0.2">
      <c r="A950" s="6" t="s">
        <v>8</v>
      </c>
      <c r="B950" s="7" t="s">
        <v>13</v>
      </c>
      <c r="C950" s="7" t="s">
        <v>1297</v>
      </c>
      <c r="D950" s="7">
        <v>3.2386478699999999</v>
      </c>
      <c r="E950" s="7">
        <v>4.0794019199999996</v>
      </c>
      <c r="F950" s="9" t="str">
        <f t="shared" si="5"/>
        <v>Direct</v>
      </c>
      <c r="G950" s="7" t="s">
        <v>11</v>
      </c>
    </row>
    <row r="951" spans="1:7" x14ac:dyDescent="0.2">
      <c r="A951" s="6" t="s">
        <v>8</v>
      </c>
      <c r="B951" s="7" t="s">
        <v>13</v>
      </c>
      <c r="C951" s="7" t="s">
        <v>1298</v>
      </c>
      <c r="D951" s="7">
        <v>1.1037420099999999</v>
      </c>
      <c r="E951" s="7">
        <v>3.8358014200000001</v>
      </c>
      <c r="F951" s="9" t="str">
        <f t="shared" si="5"/>
        <v>Direct</v>
      </c>
      <c r="G951" s="7" t="s">
        <v>1299</v>
      </c>
    </row>
    <row r="952" spans="1:7" x14ac:dyDescent="0.2">
      <c r="A952" s="6" t="s">
        <v>8</v>
      </c>
      <c r="B952" s="7" t="s">
        <v>13</v>
      </c>
      <c r="C952" s="7" t="s">
        <v>1300</v>
      </c>
      <c r="D952" s="7">
        <v>9.9825040600000001</v>
      </c>
      <c r="E952" s="7">
        <v>3.2853525800000001</v>
      </c>
      <c r="F952" s="9" t="str">
        <f t="shared" si="5"/>
        <v>Direct</v>
      </c>
      <c r="G952" s="7" t="s">
        <v>744</v>
      </c>
    </row>
    <row r="953" spans="1:7" x14ac:dyDescent="0.2">
      <c r="A953" s="6" t="s">
        <v>8</v>
      </c>
      <c r="B953" s="7" t="s">
        <v>13</v>
      </c>
      <c r="C953" s="7" t="s">
        <v>1301</v>
      </c>
      <c r="D953" s="7">
        <v>-5.3959248999999998</v>
      </c>
      <c r="E953" s="7">
        <v>-2.5380231000000002</v>
      </c>
      <c r="F953" s="9" t="str">
        <f t="shared" si="5"/>
        <v>Direct</v>
      </c>
      <c r="G953" s="7" t="s">
        <v>1302</v>
      </c>
    </row>
    <row r="954" spans="1:7" x14ac:dyDescent="0.2">
      <c r="A954" s="6" t="s">
        <v>8</v>
      </c>
      <c r="B954" s="7" t="s">
        <v>13</v>
      </c>
      <c r="C954" s="7" t="s">
        <v>1303</v>
      </c>
      <c r="D954" s="7">
        <v>1.0651548</v>
      </c>
      <c r="E954" s="7">
        <v>1.3735185599999999</v>
      </c>
      <c r="F954" s="9" t="str">
        <f t="shared" si="5"/>
        <v>Direct</v>
      </c>
      <c r="G954" s="7" t="s">
        <v>1304</v>
      </c>
    </row>
    <row r="955" spans="1:7" x14ac:dyDescent="0.2">
      <c r="A955" s="6" t="s">
        <v>8</v>
      </c>
      <c r="B955" s="7" t="s">
        <v>13</v>
      </c>
      <c r="C955" s="7" t="s">
        <v>1305</v>
      </c>
      <c r="D955" s="7">
        <v>-1.0204739</v>
      </c>
      <c r="E955" s="7">
        <v>-1.1566529000000001</v>
      </c>
      <c r="F955" s="9" t="str">
        <f t="shared" si="5"/>
        <v>Direct</v>
      </c>
      <c r="G955" s="7" t="s">
        <v>1306</v>
      </c>
    </row>
    <row r="956" spans="1:7" x14ac:dyDescent="0.2">
      <c r="A956" s="6" t="s">
        <v>8</v>
      </c>
      <c r="B956" s="7" t="s">
        <v>13</v>
      </c>
      <c r="C956" s="7" t="s">
        <v>1307</v>
      </c>
      <c r="D956" s="7">
        <v>-1.0045603999999999</v>
      </c>
      <c r="E956" s="7">
        <v>-2.6049316</v>
      </c>
      <c r="F956" s="9" t="str">
        <f t="shared" si="5"/>
        <v>Direct</v>
      </c>
      <c r="G956" s="7" t="s">
        <v>1308</v>
      </c>
    </row>
    <row r="957" spans="1:7" x14ac:dyDescent="0.2">
      <c r="A957" s="6" t="s">
        <v>8</v>
      </c>
      <c r="B957" s="7" t="s">
        <v>13</v>
      </c>
      <c r="C957" s="7" t="s">
        <v>1309</v>
      </c>
      <c r="D957" s="7">
        <v>-3.7939224999999999</v>
      </c>
      <c r="E957" s="7">
        <v>-1.7117656999999999</v>
      </c>
      <c r="F957" s="9" t="str">
        <f t="shared" si="5"/>
        <v>Direct</v>
      </c>
      <c r="G957" s="7" t="s">
        <v>1310</v>
      </c>
    </row>
    <row r="958" spans="1:7" x14ac:dyDescent="0.2">
      <c r="A958" s="6" t="s">
        <v>8</v>
      </c>
      <c r="B958" s="7" t="s">
        <v>13</v>
      </c>
      <c r="C958" s="7" t="s">
        <v>1311</v>
      </c>
      <c r="D958" s="7">
        <v>-3.5029143</v>
      </c>
      <c r="E958" s="7">
        <v>-7.2616915000000004</v>
      </c>
      <c r="F958" s="9" t="str">
        <f t="shared" si="5"/>
        <v>Direct</v>
      </c>
      <c r="G958" s="7" t="s">
        <v>11</v>
      </c>
    </row>
    <row r="959" spans="1:7" x14ac:dyDescent="0.2">
      <c r="A959" s="6" t="s">
        <v>8</v>
      </c>
      <c r="B959" s="7" t="s">
        <v>13</v>
      </c>
      <c r="C959" s="7" t="s">
        <v>1312</v>
      </c>
      <c r="D959" s="7">
        <v>1.1701967200000001</v>
      </c>
      <c r="E959" s="7">
        <v>6.1235812000000003</v>
      </c>
      <c r="F959" s="9" t="str">
        <f t="shared" si="5"/>
        <v>Direct</v>
      </c>
      <c r="G959" s="7" t="s">
        <v>1308</v>
      </c>
    </row>
    <row r="960" spans="1:7" x14ac:dyDescent="0.2">
      <c r="A960" s="6" t="s">
        <v>8</v>
      </c>
      <c r="B960" s="7" t="s">
        <v>13</v>
      </c>
      <c r="C960" s="7" t="s">
        <v>1313</v>
      </c>
      <c r="D960" s="7">
        <v>1.7351452000000001</v>
      </c>
      <c r="E960" s="7">
        <v>3.1149499500000002</v>
      </c>
      <c r="F960" s="9" t="str">
        <f t="shared" si="5"/>
        <v>Direct</v>
      </c>
      <c r="G960" s="7" t="s">
        <v>11</v>
      </c>
    </row>
    <row r="961" spans="1:7" x14ac:dyDescent="0.2">
      <c r="A961" s="6" t="s">
        <v>8</v>
      </c>
      <c r="B961" s="7" t="s">
        <v>13</v>
      </c>
      <c r="C961" s="7" t="s">
        <v>1314</v>
      </c>
      <c r="D961" s="7">
        <v>2.9294016599999999</v>
      </c>
      <c r="E961" s="7">
        <v>2.5653744299999999</v>
      </c>
      <c r="F961" s="9" t="str">
        <f t="shared" si="5"/>
        <v>Direct</v>
      </c>
      <c r="G961" s="7" t="s">
        <v>1188</v>
      </c>
    </row>
    <row r="962" spans="1:7" x14ac:dyDescent="0.2">
      <c r="A962" s="6" t="s">
        <v>8</v>
      </c>
      <c r="B962" s="7" t="s">
        <v>13</v>
      </c>
      <c r="C962" s="7" t="s">
        <v>1315</v>
      </c>
      <c r="D962" s="7">
        <v>-1.6509801</v>
      </c>
      <c r="E962" s="7">
        <v>-1.1225746000000001</v>
      </c>
      <c r="F962" s="9" t="str">
        <f t="shared" si="5"/>
        <v>Direct</v>
      </c>
      <c r="G962" s="7" t="s">
        <v>11</v>
      </c>
    </row>
    <row r="963" spans="1:7" x14ac:dyDescent="0.2">
      <c r="A963" s="6" t="s">
        <v>8</v>
      </c>
      <c r="B963" s="7" t="s">
        <v>13</v>
      </c>
      <c r="C963" s="7" t="s">
        <v>1316</v>
      </c>
      <c r="D963" s="7">
        <v>-1.4739808000000001</v>
      </c>
      <c r="E963" s="7">
        <v>-1.4392362999999999</v>
      </c>
      <c r="F963" s="9" t="str">
        <f t="shared" si="5"/>
        <v>Direct</v>
      </c>
      <c r="G963" s="7" t="s">
        <v>1317</v>
      </c>
    </row>
    <row r="964" spans="1:7" x14ac:dyDescent="0.2">
      <c r="A964" s="6" t="s">
        <v>8</v>
      </c>
      <c r="B964" s="7" t="s">
        <v>13</v>
      </c>
      <c r="C964" s="7" t="s">
        <v>1318</v>
      </c>
      <c r="D964" s="7">
        <v>-2.2392569</v>
      </c>
      <c r="E964" s="7">
        <v>-2.4480694000000001</v>
      </c>
      <c r="F964" s="9" t="str">
        <f t="shared" si="5"/>
        <v>Direct</v>
      </c>
      <c r="G964" s="7" t="s">
        <v>1319</v>
      </c>
    </row>
    <row r="965" spans="1:7" x14ac:dyDescent="0.2">
      <c r="A965" s="6" t="s">
        <v>8</v>
      </c>
      <c r="B965" s="7" t="s">
        <v>13</v>
      </c>
      <c r="C965" s="7" t="s">
        <v>1320</v>
      </c>
      <c r="D965" s="7">
        <v>-1.8443700000000001</v>
      </c>
      <c r="E965" s="7">
        <v>-1.6410577</v>
      </c>
      <c r="F965" s="9" t="str">
        <f t="shared" si="5"/>
        <v>Direct</v>
      </c>
      <c r="G965" s="7" t="s">
        <v>1321</v>
      </c>
    </row>
    <row r="966" spans="1:7" x14ac:dyDescent="0.2">
      <c r="A966" s="6" t="s">
        <v>8</v>
      </c>
      <c r="B966" s="7" t="s">
        <v>13</v>
      </c>
      <c r="C966" s="7" t="s">
        <v>1322</v>
      </c>
      <c r="D966" s="7">
        <v>-1.0571549</v>
      </c>
      <c r="E966" s="7">
        <v>-1.9314719</v>
      </c>
      <c r="F966" s="9" t="str">
        <f t="shared" si="5"/>
        <v>Direct</v>
      </c>
      <c r="G966" s="7" t="s">
        <v>1323</v>
      </c>
    </row>
    <row r="967" spans="1:7" x14ac:dyDescent="0.2">
      <c r="A967" s="6" t="s">
        <v>8</v>
      </c>
      <c r="B967" s="7" t="s">
        <v>13</v>
      </c>
      <c r="C967" s="7" t="s">
        <v>1324</v>
      </c>
      <c r="D967" s="7">
        <v>1.38673142</v>
      </c>
      <c r="E967" s="7">
        <v>1.9057806100000001</v>
      </c>
      <c r="F967" s="9" t="str">
        <f t="shared" si="5"/>
        <v>Direct</v>
      </c>
      <c r="G967" s="7" t="s">
        <v>11</v>
      </c>
    </row>
    <row r="968" spans="1:7" x14ac:dyDescent="0.2">
      <c r="A968" s="6" t="s">
        <v>8</v>
      </c>
      <c r="B968" s="7" t="s">
        <v>13</v>
      </c>
      <c r="C968" s="7" t="s">
        <v>190</v>
      </c>
      <c r="D968" s="7">
        <v>1.2020130600000001</v>
      </c>
      <c r="E968" s="7">
        <v>2.8637214900000001</v>
      </c>
      <c r="F968" s="9" t="str">
        <f t="shared" si="5"/>
        <v>Direct</v>
      </c>
      <c r="G968" s="7" t="s">
        <v>191</v>
      </c>
    </row>
    <row r="969" spans="1:7" x14ac:dyDescent="0.2">
      <c r="A969" s="6" t="s">
        <v>8</v>
      </c>
      <c r="B969" s="7" t="s">
        <v>13</v>
      </c>
      <c r="C969" s="7" t="s">
        <v>192</v>
      </c>
      <c r="D969" s="7">
        <v>2.5485413499999998</v>
      </c>
      <c r="E969" s="7">
        <v>3.4011753699999998</v>
      </c>
      <c r="F969" s="9" t="str">
        <f t="shared" si="5"/>
        <v>Direct</v>
      </c>
      <c r="G969" s="7" t="s">
        <v>11</v>
      </c>
    </row>
    <row r="970" spans="1:7" x14ac:dyDescent="0.2">
      <c r="A970" s="6" t="s">
        <v>8</v>
      </c>
      <c r="B970" s="7" t="s">
        <v>13</v>
      </c>
      <c r="C970" s="7" t="s">
        <v>1325</v>
      </c>
      <c r="D970" s="7">
        <v>1.7379370199999999</v>
      </c>
      <c r="E970" s="7">
        <v>2.24725917</v>
      </c>
      <c r="F970" s="9" t="str">
        <f t="shared" si="5"/>
        <v>Direct</v>
      </c>
      <c r="G970" s="7" t="s">
        <v>11</v>
      </c>
    </row>
    <row r="971" spans="1:7" x14ac:dyDescent="0.2">
      <c r="A971" s="6" t="s">
        <v>8</v>
      </c>
      <c r="B971" s="7" t="s">
        <v>13</v>
      </c>
      <c r="C971" s="7" t="s">
        <v>1326</v>
      </c>
      <c r="D971" s="7">
        <v>-1.0967865999999999</v>
      </c>
      <c r="E971" s="7">
        <v>-3.2210382000000002</v>
      </c>
      <c r="F971" s="9" t="str">
        <f t="shared" si="5"/>
        <v>Direct</v>
      </c>
      <c r="G971" s="7" t="s">
        <v>1327</v>
      </c>
    </row>
    <row r="972" spans="1:7" x14ac:dyDescent="0.2">
      <c r="A972" s="6" t="s">
        <v>8</v>
      </c>
      <c r="B972" s="7" t="s">
        <v>13</v>
      </c>
      <c r="C972" s="7" t="s">
        <v>1328</v>
      </c>
      <c r="D972" s="7">
        <v>-2.1690200000000002</v>
      </c>
      <c r="E972" s="7">
        <v>-3.2274128000000002</v>
      </c>
      <c r="F972" s="9" t="str">
        <f t="shared" si="5"/>
        <v>Direct</v>
      </c>
      <c r="G972" s="7" t="s">
        <v>926</v>
      </c>
    </row>
    <row r="973" spans="1:7" x14ac:dyDescent="0.2">
      <c r="A973" s="6" t="s">
        <v>8</v>
      </c>
      <c r="B973" s="7" t="s">
        <v>13</v>
      </c>
      <c r="C973" s="7" t="s">
        <v>1329</v>
      </c>
      <c r="D973" s="7">
        <v>-1.0078994999999999</v>
      </c>
      <c r="E973" s="7">
        <v>-3.0421151000000002</v>
      </c>
      <c r="F973" s="9" t="str">
        <f t="shared" si="5"/>
        <v>Direct</v>
      </c>
      <c r="G973" s="7" t="s">
        <v>11</v>
      </c>
    </row>
    <row r="974" spans="1:7" x14ac:dyDescent="0.2">
      <c r="A974" s="6" t="s">
        <v>8</v>
      </c>
      <c r="B974" s="7" t="s">
        <v>13</v>
      </c>
      <c r="C974" s="7" t="s">
        <v>1330</v>
      </c>
      <c r="D974" s="7">
        <v>1.4932580799999999</v>
      </c>
      <c r="E974" s="7">
        <v>1.06721139</v>
      </c>
      <c r="F974" s="9" t="str">
        <f t="shared" si="5"/>
        <v>Direct</v>
      </c>
      <c r="G974" s="7" t="s">
        <v>1331</v>
      </c>
    </row>
    <row r="975" spans="1:7" x14ac:dyDescent="0.2">
      <c r="A975" s="6" t="s">
        <v>8</v>
      </c>
      <c r="B975" s="7" t="s">
        <v>13</v>
      </c>
      <c r="C975" s="7" t="s">
        <v>1332</v>
      </c>
      <c r="D975" s="7">
        <v>1.0302860199999999</v>
      </c>
      <c r="E975" s="7">
        <v>1.08711498</v>
      </c>
      <c r="F975" s="9" t="str">
        <f t="shared" si="5"/>
        <v>Direct</v>
      </c>
      <c r="G975" s="7" t="s">
        <v>1066</v>
      </c>
    </row>
    <row r="976" spans="1:7" x14ac:dyDescent="0.2">
      <c r="A976" s="6" t="s">
        <v>8</v>
      </c>
      <c r="B976" s="7" t="s">
        <v>13</v>
      </c>
      <c r="C976" s="7" t="s">
        <v>195</v>
      </c>
      <c r="D976" s="7">
        <v>-3.1946257999999998</v>
      </c>
      <c r="E976" s="7">
        <v>-4.2639677000000002</v>
      </c>
      <c r="F976" s="9" t="str">
        <f t="shared" si="5"/>
        <v>Direct</v>
      </c>
      <c r="G976" s="7" t="s">
        <v>196</v>
      </c>
    </row>
    <row r="977" spans="1:7" x14ac:dyDescent="0.2">
      <c r="A977" s="6" t="s">
        <v>8</v>
      </c>
      <c r="B977" s="7" t="s">
        <v>13</v>
      </c>
      <c r="C977" s="7" t="s">
        <v>1333</v>
      </c>
      <c r="D977" s="7">
        <v>-1.1086814</v>
      </c>
      <c r="E977" s="7">
        <v>-1.4472619</v>
      </c>
      <c r="F977" s="9" t="str">
        <f t="shared" si="5"/>
        <v>Direct</v>
      </c>
      <c r="G977" s="7" t="s">
        <v>11</v>
      </c>
    </row>
    <row r="978" spans="1:7" x14ac:dyDescent="0.2">
      <c r="A978" s="6" t="s">
        <v>8</v>
      </c>
      <c r="B978" s="7" t="s">
        <v>13</v>
      </c>
      <c r="C978" s="7" t="s">
        <v>1334</v>
      </c>
      <c r="D978" s="7">
        <v>2.5496655800000001</v>
      </c>
      <c r="E978" s="7">
        <v>4.2795533600000004</v>
      </c>
      <c r="F978" s="9" t="str">
        <f t="shared" si="5"/>
        <v>Direct</v>
      </c>
      <c r="G978" s="7" t="s">
        <v>11</v>
      </c>
    </row>
    <row r="979" spans="1:7" x14ac:dyDescent="0.2">
      <c r="A979" s="6" t="s">
        <v>8</v>
      </c>
      <c r="B979" s="7" t="s">
        <v>13</v>
      </c>
      <c r="C979" s="7" t="s">
        <v>1335</v>
      </c>
      <c r="D979" s="7">
        <v>-1.4725637</v>
      </c>
      <c r="E979" s="7">
        <v>-3.9900338</v>
      </c>
      <c r="F979" s="9" t="str">
        <f t="shared" si="5"/>
        <v>Direct</v>
      </c>
      <c r="G979" s="7" t="s">
        <v>11</v>
      </c>
    </row>
    <row r="980" spans="1:7" x14ac:dyDescent="0.2">
      <c r="A980" s="6" t="s">
        <v>8</v>
      </c>
      <c r="B980" s="7" t="s">
        <v>13</v>
      </c>
      <c r="C980" s="7" t="s">
        <v>1336</v>
      </c>
      <c r="D980" s="7">
        <v>1.3446598999999999</v>
      </c>
      <c r="E980" s="7">
        <v>1.9578095099999999</v>
      </c>
      <c r="F980" s="9" t="str">
        <f t="shared" si="5"/>
        <v>Direct</v>
      </c>
      <c r="G980" s="7" t="s">
        <v>1337</v>
      </c>
    </row>
    <row r="981" spans="1:7" x14ac:dyDescent="0.2">
      <c r="A981" s="6" t="s">
        <v>8</v>
      </c>
      <c r="B981" s="7" t="s">
        <v>13</v>
      </c>
      <c r="C981" s="7" t="s">
        <v>1338</v>
      </c>
      <c r="D981" s="7">
        <v>-1.2686462000000001</v>
      </c>
      <c r="E981" s="7">
        <v>-1.3323575999999999</v>
      </c>
      <c r="F981" s="9" t="str">
        <f t="shared" si="5"/>
        <v>Direct</v>
      </c>
      <c r="G981" s="7" t="s">
        <v>1339</v>
      </c>
    </row>
    <row r="982" spans="1:7" x14ac:dyDescent="0.2">
      <c r="A982" s="6" t="s">
        <v>8</v>
      </c>
      <c r="B982" s="7" t="s">
        <v>13</v>
      </c>
      <c r="C982" s="7" t="s">
        <v>204</v>
      </c>
      <c r="D982" s="7">
        <v>-2.0748804000000001</v>
      </c>
      <c r="E982" s="7">
        <v>-1.4198649000000001</v>
      </c>
      <c r="F982" s="9" t="str">
        <f t="shared" si="5"/>
        <v>Direct</v>
      </c>
      <c r="G982" s="7" t="s">
        <v>205</v>
      </c>
    </row>
    <row r="983" spans="1:7" x14ac:dyDescent="0.2">
      <c r="A983" s="6" t="s">
        <v>8</v>
      </c>
      <c r="B983" s="7" t="s">
        <v>13</v>
      </c>
      <c r="C983" s="7" t="s">
        <v>1340</v>
      </c>
      <c r="D983" s="7">
        <v>-1.0117691</v>
      </c>
      <c r="E983" s="7">
        <v>-3.0841037</v>
      </c>
      <c r="F983" s="9" t="str">
        <f t="shared" si="5"/>
        <v>Direct</v>
      </c>
      <c r="G983" s="7" t="s">
        <v>1341</v>
      </c>
    </row>
    <row r="984" spans="1:7" x14ac:dyDescent="0.2">
      <c r="A984" s="6" t="s">
        <v>8</v>
      </c>
      <c r="B984" s="7" t="s">
        <v>13</v>
      </c>
      <c r="C984" s="7" t="s">
        <v>1342</v>
      </c>
      <c r="D984" s="7">
        <v>-1.4704611999999999</v>
      </c>
      <c r="E984" s="7">
        <v>-3.3069400999999998</v>
      </c>
      <c r="F984" s="9" t="str">
        <f t="shared" si="5"/>
        <v>Direct</v>
      </c>
      <c r="G984" s="7" t="s">
        <v>1343</v>
      </c>
    </row>
    <row r="985" spans="1:7" x14ac:dyDescent="0.2">
      <c r="A985" s="6" t="s">
        <v>8</v>
      </c>
      <c r="B985" s="7" t="s">
        <v>13</v>
      </c>
      <c r="C985" s="7" t="s">
        <v>1344</v>
      </c>
      <c r="D985" s="7">
        <v>-1.0925921000000001</v>
      </c>
      <c r="E985" s="7">
        <v>-1.7134723000000001</v>
      </c>
      <c r="F985" s="9" t="str">
        <f t="shared" si="5"/>
        <v>Direct</v>
      </c>
      <c r="G985" s="7" t="s">
        <v>1345</v>
      </c>
    </row>
    <row r="986" spans="1:7" x14ac:dyDescent="0.2">
      <c r="A986" s="6" t="s">
        <v>8</v>
      </c>
      <c r="B986" s="7" t="s">
        <v>13</v>
      </c>
      <c r="C986" s="7" t="s">
        <v>1346</v>
      </c>
      <c r="D986" s="7">
        <v>-1.7799815999999999</v>
      </c>
      <c r="E986" s="7">
        <v>-4.3063500000000001</v>
      </c>
      <c r="F986" s="9" t="str">
        <f t="shared" si="5"/>
        <v>Direct</v>
      </c>
      <c r="G986" s="7" t="s">
        <v>1345</v>
      </c>
    </row>
    <row r="987" spans="1:7" x14ac:dyDescent="0.2">
      <c r="A987" s="6" t="s">
        <v>8</v>
      </c>
      <c r="B987" s="7" t="s">
        <v>13</v>
      </c>
      <c r="C987" s="7" t="s">
        <v>211</v>
      </c>
      <c r="D987" s="7">
        <v>1.1788375</v>
      </c>
      <c r="E987" s="7">
        <v>-1.4019801999999999</v>
      </c>
      <c r="F987" s="9" t="str">
        <f t="shared" si="5"/>
        <v>Inverse</v>
      </c>
      <c r="G987" s="7" t="s">
        <v>11</v>
      </c>
    </row>
    <row r="988" spans="1:7" x14ac:dyDescent="0.2">
      <c r="A988" s="6" t="s">
        <v>8</v>
      </c>
      <c r="B988" s="7" t="s">
        <v>13</v>
      </c>
      <c r="C988" s="7" t="s">
        <v>1347</v>
      </c>
      <c r="D988" s="7">
        <v>4.5913161599999999</v>
      </c>
      <c r="E988" s="7">
        <v>2.85706186</v>
      </c>
      <c r="F988" s="9" t="str">
        <f t="shared" si="5"/>
        <v>Direct</v>
      </c>
      <c r="G988" s="7" t="s">
        <v>11</v>
      </c>
    </row>
    <row r="989" spans="1:7" x14ac:dyDescent="0.2">
      <c r="A989" s="6" t="s">
        <v>8</v>
      </c>
      <c r="B989" s="7" t="s">
        <v>13</v>
      </c>
      <c r="C989" s="7" t="s">
        <v>1348</v>
      </c>
      <c r="D989" s="7">
        <v>1.5558470200000001</v>
      </c>
      <c r="E989" s="7">
        <v>4.8752569699999997</v>
      </c>
      <c r="F989" s="9" t="str">
        <f t="shared" si="5"/>
        <v>Direct</v>
      </c>
      <c r="G989" s="7" t="s">
        <v>1349</v>
      </c>
    </row>
    <row r="990" spans="1:7" x14ac:dyDescent="0.2">
      <c r="A990" s="6" t="s">
        <v>8</v>
      </c>
      <c r="B990" s="7" t="s">
        <v>13</v>
      </c>
      <c r="C990" s="7" t="s">
        <v>214</v>
      </c>
      <c r="D990" s="7">
        <v>3.07904541</v>
      </c>
      <c r="E990" s="7">
        <v>6.7099016200000001</v>
      </c>
      <c r="F990" s="9" t="str">
        <f t="shared" si="5"/>
        <v>Direct</v>
      </c>
      <c r="G990" s="7" t="s">
        <v>11</v>
      </c>
    </row>
    <row r="991" spans="1:7" x14ac:dyDescent="0.2">
      <c r="A991" s="6" t="s">
        <v>8</v>
      </c>
      <c r="B991" s="7" t="s">
        <v>13</v>
      </c>
      <c r="C991" s="7" t="s">
        <v>1350</v>
      </c>
      <c r="D991" s="7">
        <v>1.3954082299999999</v>
      </c>
      <c r="E991" s="7">
        <v>3.4412097199999998</v>
      </c>
      <c r="F991" s="9" t="str">
        <f t="shared" si="5"/>
        <v>Direct</v>
      </c>
      <c r="G991" s="7" t="s">
        <v>11</v>
      </c>
    </row>
    <row r="992" spans="1:7" x14ac:dyDescent="0.2">
      <c r="A992" s="6" t="s">
        <v>8</v>
      </c>
      <c r="B992" s="7" t="s">
        <v>13</v>
      </c>
      <c r="C992" s="7" t="s">
        <v>1351</v>
      </c>
      <c r="D992" s="7">
        <v>1.2533337099999999</v>
      </c>
      <c r="E992" s="7">
        <v>1.0275793</v>
      </c>
      <c r="F992" s="9" t="str">
        <f t="shared" si="5"/>
        <v>Direct</v>
      </c>
      <c r="G992" s="7" t="s">
        <v>11</v>
      </c>
    </row>
    <row r="993" spans="1:7" x14ac:dyDescent="0.2">
      <c r="A993" s="6" t="s">
        <v>8</v>
      </c>
      <c r="B993" s="7" t="s">
        <v>13</v>
      </c>
      <c r="C993" s="7" t="s">
        <v>1352</v>
      </c>
      <c r="D993" s="7">
        <v>1.38363664</v>
      </c>
      <c r="E993" s="7">
        <v>1.0761899399999999</v>
      </c>
      <c r="F993" s="9" t="str">
        <f t="shared" si="5"/>
        <v>Direct</v>
      </c>
      <c r="G993" s="7" t="s">
        <v>11</v>
      </c>
    </row>
    <row r="994" spans="1:7" x14ac:dyDescent="0.2">
      <c r="A994" s="6" t="s">
        <v>8</v>
      </c>
      <c r="B994" s="7" t="s">
        <v>13</v>
      </c>
      <c r="C994" s="7" t="s">
        <v>1353</v>
      </c>
      <c r="D994" s="7">
        <v>-1.0355276</v>
      </c>
      <c r="E994" s="7">
        <v>-5.7371005999999998</v>
      </c>
      <c r="F994" s="9" t="str">
        <f t="shared" si="5"/>
        <v>Direct</v>
      </c>
      <c r="G994" s="7" t="s">
        <v>11</v>
      </c>
    </row>
    <row r="995" spans="1:7" x14ac:dyDescent="0.2">
      <c r="A995" s="6" t="s">
        <v>8</v>
      </c>
      <c r="B995" s="7" t="s">
        <v>13</v>
      </c>
      <c r="C995" s="7" t="s">
        <v>1354</v>
      </c>
      <c r="D995" s="7">
        <v>1.04614356</v>
      </c>
      <c r="E995" s="7">
        <v>1.7792867000000001</v>
      </c>
      <c r="F995" s="9" t="str">
        <f t="shared" si="5"/>
        <v>Direct</v>
      </c>
      <c r="G995" s="7" t="s">
        <v>1355</v>
      </c>
    </row>
    <row r="996" spans="1:7" x14ac:dyDescent="0.2">
      <c r="A996" s="6" t="s">
        <v>8</v>
      </c>
      <c r="B996" s="7" t="s">
        <v>13</v>
      </c>
      <c r="C996" s="7" t="s">
        <v>1356</v>
      </c>
      <c r="D996" s="7">
        <v>1.3257644099999999</v>
      </c>
      <c r="E996" s="7">
        <v>2.85349268</v>
      </c>
      <c r="F996" s="9" t="str">
        <f t="shared" si="5"/>
        <v>Direct</v>
      </c>
      <c r="G996" s="7" t="s">
        <v>11</v>
      </c>
    </row>
    <row r="997" spans="1:7" x14ac:dyDescent="0.2">
      <c r="A997" s="6" t="s">
        <v>8</v>
      </c>
      <c r="B997" s="7" t="s">
        <v>13</v>
      </c>
      <c r="C997" s="7" t="s">
        <v>218</v>
      </c>
      <c r="D997" s="7">
        <v>-1.5695418000000001</v>
      </c>
      <c r="E997" s="7">
        <v>-1.6605291</v>
      </c>
      <c r="F997" s="9" t="str">
        <f t="shared" si="5"/>
        <v>Direct</v>
      </c>
      <c r="G997" s="7" t="s">
        <v>11</v>
      </c>
    </row>
    <row r="998" spans="1:7" x14ac:dyDescent="0.2">
      <c r="A998" s="6" t="s">
        <v>8</v>
      </c>
      <c r="B998" s="7" t="s">
        <v>13</v>
      </c>
      <c r="C998" s="7" t="s">
        <v>1357</v>
      </c>
      <c r="D998" s="7">
        <v>2.4094932299999998</v>
      </c>
      <c r="E998" s="7">
        <v>3.03170195</v>
      </c>
      <c r="F998" s="9" t="str">
        <f t="shared" si="5"/>
        <v>Direct</v>
      </c>
      <c r="G998" s="7" t="s">
        <v>1358</v>
      </c>
    </row>
    <row r="999" spans="1:7" x14ac:dyDescent="0.2">
      <c r="A999" s="6" t="s">
        <v>8</v>
      </c>
      <c r="B999" s="7" t="s">
        <v>13</v>
      </c>
      <c r="C999" s="7" t="s">
        <v>221</v>
      </c>
      <c r="D999" s="7">
        <v>-2.9020793</v>
      </c>
      <c r="E999" s="7">
        <v>-1.9442359</v>
      </c>
      <c r="F999" s="9" t="str">
        <f t="shared" si="5"/>
        <v>Direct</v>
      </c>
      <c r="G999" s="7" t="s">
        <v>11</v>
      </c>
    </row>
    <row r="1000" spans="1:7" x14ac:dyDescent="0.2">
      <c r="A1000" s="6" t="s">
        <v>8</v>
      </c>
      <c r="B1000" s="7" t="s">
        <v>13</v>
      </c>
      <c r="C1000" s="7" t="s">
        <v>1359</v>
      </c>
      <c r="D1000" s="7">
        <v>1.0609296500000001</v>
      </c>
      <c r="E1000" s="7">
        <v>6.0889994300000003</v>
      </c>
      <c r="F1000" s="9" t="str">
        <f t="shared" si="5"/>
        <v>Direct</v>
      </c>
      <c r="G1000" s="7" t="s">
        <v>1360</v>
      </c>
    </row>
    <row r="1001" spans="1:7" x14ac:dyDescent="0.2">
      <c r="A1001" s="6" t="s">
        <v>8</v>
      </c>
      <c r="B1001" s="7" t="s">
        <v>13</v>
      </c>
      <c r="C1001" s="7" t="s">
        <v>1361</v>
      </c>
      <c r="D1001" s="7">
        <v>-1.4115339</v>
      </c>
      <c r="E1001" s="7">
        <v>-3.3659667999999998</v>
      </c>
      <c r="F1001" s="9" t="str">
        <f t="shared" si="5"/>
        <v>Direct</v>
      </c>
      <c r="G1001" s="7" t="s">
        <v>1362</v>
      </c>
    </row>
    <row r="1002" spans="1:7" x14ac:dyDescent="0.2">
      <c r="A1002" s="6" t="s">
        <v>8</v>
      </c>
      <c r="B1002" s="7" t="s">
        <v>13</v>
      </c>
      <c r="C1002" s="7" t="s">
        <v>1363</v>
      </c>
      <c r="D1002" s="7">
        <v>-1.9402596000000001</v>
      </c>
      <c r="E1002" s="7">
        <v>-1.0989236</v>
      </c>
      <c r="F1002" s="9" t="str">
        <f t="shared" si="5"/>
        <v>Direct</v>
      </c>
      <c r="G1002" s="7" t="s">
        <v>223</v>
      </c>
    </row>
    <row r="1003" spans="1:7" x14ac:dyDescent="0.2">
      <c r="A1003" s="6" t="s">
        <v>8</v>
      </c>
      <c r="B1003" s="7" t="s">
        <v>13</v>
      </c>
      <c r="C1003" s="7" t="s">
        <v>1364</v>
      </c>
      <c r="D1003" s="7">
        <v>1.06541858</v>
      </c>
      <c r="E1003" s="7">
        <v>5.3213111299999998</v>
      </c>
      <c r="F1003" s="9" t="str">
        <f t="shared" si="5"/>
        <v>Direct</v>
      </c>
      <c r="G1003" s="7" t="s">
        <v>11</v>
      </c>
    </row>
    <row r="1004" spans="1:7" x14ac:dyDescent="0.2">
      <c r="A1004" s="6" t="s">
        <v>8</v>
      </c>
      <c r="B1004" s="7" t="s">
        <v>13</v>
      </c>
      <c r="C1004" s="7" t="s">
        <v>1365</v>
      </c>
      <c r="D1004" s="7">
        <v>-1.8334492</v>
      </c>
      <c r="E1004" s="7">
        <v>-1.0323834999999999</v>
      </c>
      <c r="F1004" s="9" t="str">
        <f t="shared" si="5"/>
        <v>Direct</v>
      </c>
      <c r="G1004" s="7" t="s">
        <v>1366</v>
      </c>
    </row>
    <row r="1005" spans="1:7" x14ac:dyDescent="0.2">
      <c r="A1005" s="6" t="s">
        <v>8</v>
      </c>
      <c r="B1005" s="7" t="s">
        <v>13</v>
      </c>
      <c r="C1005" s="7" t="s">
        <v>1367</v>
      </c>
      <c r="D1005" s="7">
        <v>1.3305665</v>
      </c>
      <c r="E1005" s="7">
        <v>2.1698942099999998</v>
      </c>
      <c r="F1005" s="9" t="str">
        <f t="shared" si="5"/>
        <v>Direct</v>
      </c>
      <c r="G1005" s="7" t="s">
        <v>11</v>
      </c>
    </row>
    <row r="1006" spans="1:7" x14ac:dyDescent="0.2">
      <c r="A1006" s="6" t="s">
        <v>8</v>
      </c>
      <c r="B1006" s="7" t="s">
        <v>13</v>
      </c>
      <c r="C1006" s="7" t="s">
        <v>1368</v>
      </c>
      <c r="D1006" s="7">
        <v>3.8910040700000001</v>
      </c>
      <c r="E1006" s="7">
        <v>9.2045481000000002</v>
      </c>
      <c r="F1006" s="9" t="str">
        <f t="shared" si="5"/>
        <v>Direct</v>
      </c>
      <c r="G1006" s="7" t="s">
        <v>1369</v>
      </c>
    </row>
    <row r="1007" spans="1:7" x14ac:dyDescent="0.2">
      <c r="A1007" s="6" t="s">
        <v>8</v>
      </c>
      <c r="B1007" s="7" t="s">
        <v>13</v>
      </c>
      <c r="C1007" s="7" t="s">
        <v>1370</v>
      </c>
      <c r="D1007" s="7">
        <v>3.3119879499999998</v>
      </c>
      <c r="E1007" s="7">
        <v>11.933890699999999</v>
      </c>
      <c r="F1007" s="9" t="str">
        <f t="shared" si="5"/>
        <v>Direct</v>
      </c>
      <c r="G1007" s="7" t="s">
        <v>1371</v>
      </c>
    </row>
    <row r="1008" spans="1:7" x14ac:dyDescent="0.2">
      <c r="A1008" s="6" t="s">
        <v>8</v>
      </c>
      <c r="B1008" s="7" t="s">
        <v>13</v>
      </c>
      <c r="C1008" s="7" t="s">
        <v>1372</v>
      </c>
      <c r="D1008" s="7">
        <v>-1.0355276</v>
      </c>
      <c r="E1008" s="7">
        <v>-3.0985811000000001</v>
      </c>
      <c r="F1008" s="9" t="str">
        <f t="shared" si="5"/>
        <v>Direct</v>
      </c>
      <c r="G1008" s="7" t="s">
        <v>1373</v>
      </c>
    </row>
    <row r="1009" spans="1:7" x14ac:dyDescent="0.2">
      <c r="A1009" s="6" t="s">
        <v>8</v>
      </c>
      <c r="B1009" s="7" t="s">
        <v>13</v>
      </c>
      <c r="C1009" s="7" t="s">
        <v>226</v>
      </c>
      <c r="D1009" s="7">
        <v>1.39288923</v>
      </c>
      <c r="E1009" s="7">
        <v>2.45648818</v>
      </c>
      <c r="F1009" s="9" t="str">
        <f t="shared" si="5"/>
        <v>Direct</v>
      </c>
      <c r="G1009" s="7" t="s">
        <v>11</v>
      </c>
    </row>
    <row r="1010" spans="1:7" x14ac:dyDescent="0.2">
      <c r="A1010" s="6" t="s">
        <v>8</v>
      </c>
      <c r="B1010" s="7" t="s">
        <v>13</v>
      </c>
      <c r="C1010" s="7" t="s">
        <v>1374</v>
      </c>
      <c r="D1010" s="7">
        <v>-2.2826692999999998</v>
      </c>
      <c r="E1010" s="7">
        <v>-5.5627640999999999</v>
      </c>
      <c r="F1010" s="9" t="str">
        <f t="shared" si="5"/>
        <v>Direct</v>
      </c>
      <c r="G1010" s="7" t="s">
        <v>1375</v>
      </c>
    </row>
    <row r="1011" spans="1:7" x14ac:dyDescent="0.2">
      <c r="A1011" s="6" t="s">
        <v>8</v>
      </c>
      <c r="B1011" s="7" t="s">
        <v>13</v>
      </c>
      <c r="C1011" s="7" t="s">
        <v>1376</v>
      </c>
      <c r="D1011" s="7">
        <v>-2.5575763</v>
      </c>
      <c r="E1011" s="7">
        <v>-4.2114484000000001</v>
      </c>
      <c r="F1011" s="9" t="str">
        <f t="shared" si="5"/>
        <v>Direct</v>
      </c>
      <c r="G1011" s="7" t="s">
        <v>11</v>
      </c>
    </row>
    <row r="1012" spans="1:7" x14ac:dyDescent="0.2">
      <c r="A1012" s="6" t="s">
        <v>8</v>
      </c>
      <c r="B1012" s="7" t="s">
        <v>13</v>
      </c>
      <c r="C1012" s="7" t="s">
        <v>1377</v>
      </c>
      <c r="D1012" s="7">
        <v>-1.8705548000000001</v>
      </c>
      <c r="E1012" s="7">
        <v>-4.2585106000000001</v>
      </c>
      <c r="F1012" s="9" t="str">
        <f t="shared" si="5"/>
        <v>Direct</v>
      </c>
      <c r="G1012" s="7" t="s">
        <v>341</v>
      </c>
    </row>
    <row r="1013" spans="1:7" x14ac:dyDescent="0.2">
      <c r="A1013" s="6" t="s">
        <v>8</v>
      </c>
      <c r="B1013" s="7" t="s">
        <v>13</v>
      </c>
      <c r="C1013" s="7" t="s">
        <v>1378</v>
      </c>
      <c r="D1013" s="7">
        <v>-1.9822385</v>
      </c>
      <c r="E1013" s="7">
        <v>-6.7883655999999997</v>
      </c>
      <c r="F1013" s="9" t="str">
        <f t="shared" si="5"/>
        <v>Direct</v>
      </c>
      <c r="G1013" s="7" t="s">
        <v>11</v>
      </c>
    </row>
    <row r="1014" spans="1:7" x14ac:dyDescent="0.2">
      <c r="A1014" s="6" t="s">
        <v>8</v>
      </c>
      <c r="B1014" s="7" t="s">
        <v>13</v>
      </c>
      <c r="C1014" s="7" t="s">
        <v>1379</v>
      </c>
      <c r="D1014" s="7">
        <v>-2.0289375999999999</v>
      </c>
      <c r="E1014" s="7">
        <v>-5.3370692000000002</v>
      </c>
      <c r="F1014" s="9" t="str">
        <f t="shared" si="5"/>
        <v>Direct</v>
      </c>
      <c r="G1014" s="7" t="s">
        <v>11</v>
      </c>
    </row>
    <row r="1015" spans="1:7" x14ac:dyDescent="0.2">
      <c r="A1015" s="6" t="s">
        <v>8</v>
      </c>
      <c r="B1015" s="7" t="s">
        <v>13</v>
      </c>
      <c r="C1015" s="7" t="s">
        <v>1380</v>
      </c>
      <c r="D1015" s="7">
        <v>1.48173932</v>
      </c>
      <c r="E1015" s="7">
        <v>1.8936830499999999</v>
      </c>
      <c r="F1015" s="9" t="str">
        <f t="shared" si="5"/>
        <v>Direct</v>
      </c>
      <c r="G1015" s="7" t="s">
        <v>1381</v>
      </c>
    </row>
    <row r="1016" spans="1:7" x14ac:dyDescent="0.2">
      <c r="A1016" s="6" t="s">
        <v>8</v>
      </c>
      <c r="B1016" s="7" t="s">
        <v>13</v>
      </c>
      <c r="C1016" s="7" t="s">
        <v>1382</v>
      </c>
      <c r="D1016" s="7">
        <v>-1.5033892</v>
      </c>
      <c r="E1016" s="7">
        <v>-1.8483951999999999</v>
      </c>
      <c r="F1016" s="9" t="str">
        <f t="shared" si="5"/>
        <v>Direct</v>
      </c>
      <c r="G1016" s="7" t="s">
        <v>1383</v>
      </c>
    </row>
    <row r="1017" spans="1:7" x14ac:dyDescent="0.2">
      <c r="A1017" s="6" t="s">
        <v>8</v>
      </c>
      <c r="B1017" s="7" t="s">
        <v>13</v>
      </c>
      <c r="C1017" s="7" t="s">
        <v>1384</v>
      </c>
      <c r="D1017" s="7">
        <v>2.06196103</v>
      </c>
      <c r="E1017" s="7">
        <v>3.9287230200000001</v>
      </c>
      <c r="F1017" s="9" t="str">
        <f t="shared" si="5"/>
        <v>Direct</v>
      </c>
      <c r="G1017" s="7" t="s">
        <v>11</v>
      </c>
    </row>
    <row r="1018" spans="1:7" x14ac:dyDescent="0.2">
      <c r="A1018" s="6" t="s">
        <v>8</v>
      </c>
      <c r="B1018" s="7" t="s">
        <v>13</v>
      </c>
      <c r="C1018" s="7" t="s">
        <v>1385</v>
      </c>
      <c r="D1018" s="7">
        <v>1.07130345</v>
      </c>
      <c r="E1018" s="7">
        <v>1.15177427</v>
      </c>
      <c r="F1018" s="9" t="str">
        <f t="shared" si="5"/>
        <v>Direct</v>
      </c>
      <c r="G1018" s="7" t="s">
        <v>1180</v>
      </c>
    </row>
    <row r="1019" spans="1:7" x14ac:dyDescent="0.2">
      <c r="A1019" s="6" t="s">
        <v>8</v>
      </c>
      <c r="B1019" s="7" t="s">
        <v>13</v>
      </c>
      <c r="C1019" s="7" t="s">
        <v>1386</v>
      </c>
      <c r="D1019" s="7">
        <v>-2.0606938000000001</v>
      </c>
      <c r="E1019" s="7">
        <v>-3.8130294</v>
      </c>
      <c r="F1019" s="9" t="str">
        <f t="shared" si="5"/>
        <v>Direct</v>
      </c>
      <c r="G1019" s="7" t="s">
        <v>1387</v>
      </c>
    </row>
    <row r="1020" spans="1:7" x14ac:dyDescent="0.2">
      <c r="A1020" s="6" t="s">
        <v>8</v>
      </c>
      <c r="B1020" s="7" t="s">
        <v>13</v>
      </c>
      <c r="C1020" s="7" t="s">
        <v>1388</v>
      </c>
      <c r="D1020" s="7">
        <v>-2.9570473000000002</v>
      </c>
      <c r="E1020" s="7">
        <v>-5.1129664999999997</v>
      </c>
      <c r="F1020" s="9" t="str">
        <f t="shared" si="5"/>
        <v>Direct</v>
      </c>
      <c r="G1020" s="7" t="s">
        <v>1389</v>
      </c>
    </row>
    <row r="1021" spans="1:7" x14ac:dyDescent="0.2">
      <c r="A1021" s="6" t="s">
        <v>8</v>
      </c>
      <c r="B1021" s="7" t="s">
        <v>13</v>
      </c>
      <c r="C1021" s="7" t="s">
        <v>1390</v>
      </c>
      <c r="D1021" s="7">
        <v>-1.0377175999999999</v>
      </c>
      <c r="E1021" s="7">
        <v>-3.5391066000000002</v>
      </c>
      <c r="F1021" s="9" t="str">
        <f t="shared" si="5"/>
        <v>Direct</v>
      </c>
      <c r="G1021" s="7" t="s">
        <v>1391</v>
      </c>
    </row>
    <row r="1022" spans="1:7" x14ac:dyDescent="0.2">
      <c r="A1022" s="6" t="s">
        <v>8</v>
      </c>
      <c r="B1022" s="7" t="s">
        <v>13</v>
      </c>
      <c r="C1022" s="7" t="s">
        <v>1392</v>
      </c>
      <c r="D1022" s="7">
        <v>-1.4884405000000001</v>
      </c>
      <c r="E1022" s="7">
        <v>-1.7312236000000001</v>
      </c>
      <c r="F1022" s="9" t="str">
        <f t="shared" ref="F1022:F1276" si="6">IF(OR(AND(D1022&gt;0,E1022&gt;0),AND(D1022&lt;0,E1022&lt;0)),"Direct","Inverse")</f>
        <v>Direct</v>
      </c>
      <c r="G1022" s="7" t="s">
        <v>11</v>
      </c>
    </row>
    <row r="1023" spans="1:7" x14ac:dyDescent="0.2">
      <c r="A1023" s="6" t="s">
        <v>8</v>
      </c>
      <c r="B1023" s="7" t="s">
        <v>13</v>
      </c>
      <c r="C1023" s="7" t="s">
        <v>1393</v>
      </c>
      <c r="D1023" s="7">
        <v>-1.7381124999999999</v>
      </c>
      <c r="E1023" s="7">
        <v>-3.6090965000000002</v>
      </c>
      <c r="F1023" s="9" t="str">
        <f t="shared" si="6"/>
        <v>Direct</v>
      </c>
      <c r="G1023" s="7" t="s">
        <v>11</v>
      </c>
    </row>
    <row r="1024" spans="1:7" x14ac:dyDescent="0.2">
      <c r="A1024" s="6" t="s">
        <v>8</v>
      </c>
      <c r="B1024" s="7" t="s">
        <v>13</v>
      </c>
      <c r="C1024" s="7" t="s">
        <v>235</v>
      </c>
      <c r="D1024" s="7">
        <v>-4.1391909</v>
      </c>
      <c r="E1024" s="7">
        <v>-10.739069000000001</v>
      </c>
      <c r="F1024" s="9" t="str">
        <f t="shared" si="6"/>
        <v>Direct</v>
      </c>
      <c r="G1024" s="7" t="s">
        <v>11</v>
      </c>
    </row>
    <row r="1025" spans="1:7" x14ac:dyDescent="0.2">
      <c r="A1025" s="6" t="s">
        <v>8</v>
      </c>
      <c r="B1025" s="7" t="s">
        <v>13</v>
      </c>
      <c r="C1025" s="7" t="s">
        <v>1394</v>
      </c>
      <c r="D1025" s="7">
        <v>-1.1852746000000001</v>
      </c>
      <c r="E1025" s="7">
        <v>-2.0030465</v>
      </c>
      <c r="F1025" s="9" t="str">
        <f t="shared" si="6"/>
        <v>Direct</v>
      </c>
      <c r="G1025" s="7" t="s">
        <v>11</v>
      </c>
    </row>
    <row r="1026" spans="1:7" x14ac:dyDescent="0.2">
      <c r="A1026" s="6" t="s">
        <v>8</v>
      </c>
      <c r="B1026" s="7" t="s">
        <v>13</v>
      </c>
      <c r="C1026" s="7" t="s">
        <v>1395</v>
      </c>
      <c r="D1026" s="7">
        <v>1.7482038600000001</v>
      </c>
      <c r="E1026" s="7">
        <v>3.5460720700000001</v>
      </c>
      <c r="F1026" s="9" t="str">
        <f t="shared" si="6"/>
        <v>Direct</v>
      </c>
      <c r="G1026" s="7" t="s">
        <v>1396</v>
      </c>
    </row>
    <row r="1027" spans="1:7" x14ac:dyDescent="0.2">
      <c r="A1027" s="6" t="s">
        <v>8</v>
      </c>
      <c r="B1027" s="7" t="s">
        <v>13</v>
      </c>
      <c r="C1027" s="7" t="s">
        <v>1397</v>
      </c>
      <c r="D1027" s="7">
        <v>-1.2880878</v>
      </c>
      <c r="E1027" s="7">
        <v>-2.1671076</v>
      </c>
      <c r="F1027" s="9" t="str">
        <f t="shared" si="6"/>
        <v>Direct</v>
      </c>
      <c r="G1027" s="7" t="s">
        <v>1398</v>
      </c>
    </row>
    <row r="1028" spans="1:7" x14ac:dyDescent="0.2">
      <c r="A1028" s="6" t="s">
        <v>8</v>
      </c>
      <c r="B1028" s="7" t="s">
        <v>13</v>
      </c>
      <c r="C1028" s="7" t="s">
        <v>1399</v>
      </c>
      <c r="D1028" s="7">
        <v>-1.6741747</v>
      </c>
      <c r="E1028" s="7">
        <v>-4.2272300999999999</v>
      </c>
      <c r="F1028" s="9" t="str">
        <f t="shared" si="6"/>
        <v>Direct</v>
      </c>
      <c r="G1028" s="7" t="s">
        <v>11</v>
      </c>
    </row>
    <row r="1029" spans="1:7" x14ac:dyDescent="0.2">
      <c r="A1029" s="6" t="s">
        <v>8</v>
      </c>
      <c r="B1029" s="7" t="s">
        <v>13</v>
      </c>
      <c r="C1029" s="7" t="s">
        <v>1400</v>
      </c>
      <c r="D1029" s="7">
        <v>1.14298704</v>
      </c>
      <c r="E1029" s="7">
        <v>2.19695223</v>
      </c>
      <c r="F1029" s="9" t="str">
        <f t="shared" si="6"/>
        <v>Direct</v>
      </c>
      <c r="G1029" s="7" t="s">
        <v>11</v>
      </c>
    </row>
    <row r="1030" spans="1:7" x14ac:dyDescent="0.2">
      <c r="A1030" s="6" t="s">
        <v>8</v>
      </c>
      <c r="B1030" s="7" t="s">
        <v>13</v>
      </c>
      <c r="C1030" s="7" t="s">
        <v>1401</v>
      </c>
      <c r="D1030" s="7">
        <v>1.8051945599999999</v>
      </c>
      <c r="E1030" s="7">
        <v>4.3904118600000004</v>
      </c>
      <c r="F1030" s="9" t="str">
        <f t="shared" si="6"/>
        <v>Direct</v>
      </c>
      <c r="G1030" s="7" t="s">
        <v>1402</v>
      </c>
    </row>
    <row r="1031" spans="1:7" x14ac:dyDescent="0.2">
      <c r="A1031" s="6" t="s">
        <v>8</v>
      </c>
      <c r="B1031" s="7" t="s">
        <v>13</v>
      </c>
      <c r="C1031" s="7" t="s">
        <v>1403</v>
      </c>
      <c r="D1031" s="7">
        <v>1.1166562200000001</v>
      </c>
      <c r="E1031" s="7">
        <v>1.08284179</v>
      </c>
      <c r="F1031" s="9" t="str">
        <f t="shared" si="6"/>
        <v>Direct</v>
      </c>
      <c r="G1031" s="7" t="s">
        <v>1404</v>
      </c>
    </row>
    <row r="1032" spans="1:7" x14ac:dyDescent="0.2">
      <c r="A1032" s="6" t="s">
        <v>8</v>
      </c>
      <c r="B1032" s="7" t="s">
        <v>13</v>
      </c>
      <c r="C1032" s="7" t="s">
        <v>242</v>
      </c>
      <c r="D1032" s="7">
        <v>5.2158457299999998</v>
      </c>
      <c r="E1032" s="7">
        <v>5.4547273199999999</v>
      </c>
      <c r="F1032" s="9" t="str">
        <f t="shared" si="6"/>
        <v>Direct</v>
      </c>
      <c r="G1032" s="7" t="s">
        <v>243</v>
      </c>
    </row>
    <row r="1033" spans="1:7" x14ac:dyDescent="0.2">
      <c r="A1033" s="6" t="s">
        <v>8</v>
      </c>
      <c r="B1033" s="7" t="s">
        <v>13</v>
      </c>
      <c r="C1033" s="7" t="s">
        <v>1405</v>
      </c>
      <c r="D1033" s="7">
        <v>1.15767186</v>
      </c>
      <c r="E1033" s="7">
        <v>4.15945842</v>
      </c>
      <c r="F1033" s="9" t="str">
        <f t="shared" si="6"/>
        <v>Direct</v>
      </c>
      <c r="G1033" s="7" t="s">
        <v>1406</v>
      </c>
    </row>
    <row r="1034" spans="1:7" x14ac:dyDescent="0.2">
      <c r="A1034" s="6" t="s">
        <v>8</v>
      </c>
      <c r="B1034" s="7" t="s">
        <v>13</v>
      </c>
      <c r="C1034" s="7" t="s">
        <v>1407</v>
      </c>
      <c r="D1034" s="7">
        <v>-1.3622258</v>
      </c>
      <c r="E1034" s="7">
        <v>-4.7114250999999996</v>
      </c>
      <c r="F1034" s="9" t="str">
        <f t="shared" si="6"/>
        <v>Direct</v>
      </c>
      <c r="G1034" s="7" t="s">
        <v>1408</v>
      </c>
    </row>
    <row r="1035" spans="1:7" x14ac:dyDescent="0.2">
      <c r="A1035" s="6" t="s">
        <v>8</v>
      </c>
      <c r="B1035" s="7" t="s">
        <v>13</v>
      </c>
      <c r="C1035" s="7" t="s">
        <v>244</v>
      </c>
      <c r="D1035" s="7">
        <v>1.5648122900000001</v>
      </c>
      <c r="E1035" s="7">
        <v>4.33715093</v>
      </c>
      <c r="F1035" s="9" t="str">
        <f t="shared" si="6"/>
        <v>Direct</v>
      </c>
      <c r="G1035" s="7" t="s">
        <v>245</v>
      </c>
    </row>
    <row r="1036" spans="1:7" x14ac:dyDescent="0.2">
      <c r="A1036" s="6" t="s">
        <v>8</v>
      </c>
      <c r="B1036" s="7" t="s">
        <v>13</v>
      </c>
      <c r="C1036" s="7" t="s">
        <v>1409</v>
      </c>
      <c r="D1036" s="7">
        <v>1.4944701199999999</v>
      </c>
      <c r="E1036" s="7">
        <v>3.8074988699999999</v>
      </c>
      <c r="F1036" s="9" t="str">
        <f t="shared" si="6"/>
        <v>Direct</v>
      </c>
      <c r="G1036" s="7" t="s">
        <v>1410</v>
      </c>
    </row>
    <row r="1037" spans="1:7" x14ac:dyDescent="0.2">
      <c r="A1037" s="6" t="s">
        <v>8</v>
      </c>
      <c r="B1037" s="7" t="s">
        <v>13</v>
      </c>
      <c r="C1037" s="7" t="s">
        <v>247</v>
      </c>
      <c r="D1037" s="7">
        <v>2.2968750500000001</v>
      </c>
      <c r="E1037" s="7">
        <v>9.0709312900000008</v>
      </c>
      <c r="F1037" s="9" t="str">
        <f t="shared" si="6"/>
        <v>Direct</v>
      </c>
      <c r="G1037" s="7" t="s">
        <v>248</v>
      </c>
    </row>
    <row r="1038" spans="1:7" x14ac:dyDescent="0.2">
      <c r="A1038" s="6" t="s">
        <v>8</v>
      </c>
      <c r="B1038" s="7" t="s">
        <v>13</v>
      </c>
      <c r="C1038" s="7" t="s">
        <v>1411</v>
      </c>
      <c r="D1038" s="7">
        <v>1.7147119500000001</v>
      </c>
      <c r="E1038" s="7">
        <v>1.4123288300000001</v>
      </c>
      <c r="F1038" s="9" t="str">
        <f t="shared" si="6"/>
        <v>Direct</v>
      </c>
      <c r="G1038" s="7" t="s">
        <v>1412</v>
      </c>
    </row>
    <row r="1039" spans="1:7" x14ac:dyDescent="0.2">
      <c r="A1039" s="6" t="s">
        <v>8</v>
      </c>
      <c r="B1039" s="7" t="s">
        <v>13</v>
      </c>
      <c r="C1039" s="7" t="s">
        <v>1413</v>
      </c>
      <c r="D1039" s="7">
        <v>3.2728992899999998</v>
      </c>
      <c r="E1039" s="7">
        <v>1.63271356</v>
      </c>
      <c r="F1039" s="9" t="str">
        <f t="shared" si="6"/>
        <v>Direct</v>
      </c>
      <c r="G1039" s="7" t="s">
        <v>11</v>
      </c>
    </row>
    <row r="1040" spans="1:7" x14ac:dyDescent="0.2">
      <c r="A1040" s="6" t="s">
        <v>8</v>
      </c>
      <c r="B1040" s="7" t="s">
        <v>13</v>
      </c>
      <c r="C1040" s="7" t="s">
        <v>1414</v>
      </c>
      <c r="D1040" s="7">
        <v>1.3611504999999999</v>
      </c>
      <c r="E1040" s="7">
        <v>6.7148633799999997</v>
      </c>
      <c r="F1040" s="9" t="str">
        <f t="shared" si="6"/>
        <v>Direct</v>
      </c>
      <c r="G1040" s="7" t="s">
        <v>563</v>
      </c>
    </row>
    <row r="1041" spans="1:7" x14ac:dyDescent="0.2">
      <c r="A1041" s="6" t="s">
        <v>8</v>
      </c>
      <c r="B1041" s="7" t="s">
        <v>13</v>
      </c>
      <c r="C1041" s="7" t="s">
        <v>1415</v>
      </c>
      <c r="D1041" s="7">
        <v>2.6411536099999999</v>
      </c>
      <c r="E1041" s="7">
        <v>5.6515660600000004</v>
      </c>
      <c r="F1041" s="9" t="str">
        <f t="shared" si="6"/>
        <v>Direct</v>
      </c>
      <c r="G1041" s="7" t="s">
        <v>11</v>
      </c>
    </row>
    <row r="1042" spans="1:7" x14ac:dyDescent="0.2">
      <c r="A1042" s="6" t="s">
        <v>8</v>
      </c>
      <c r="B1042" s="7" t="s">
        <v>13</v>
      </c>
      <c r="C1042" s="7" t="s">
        <v>1416</v>
      </c>
      <c r="D1042" s="7">
        <v>1.24384933</v>
      </c>
      <c r="E1042" s="7">
        <v>1.24365441</v>
      </c>
      <c r="F1042" s="9" t="str">
        <f t="shared" si="6"/>
        <v>Direct</v>
      </c>
      <c r="G1042" s="7" t="s">
        <v>1417</v>
      </c>
    </row>
    <row r="1043" spans="1:7" x14ac:dyDescent="0.2">
      <c r="A1043" s="6" t="s">
        <v>8</v>
      </c>
      <c r="B1043" s="7" t="s">
        <v>13</v>
      </c>
      <c r="C1043" s="7" t="s">
        <v>260</v>
      </c>
      <c r="D1043" s="7">
        <v>1.0733842499999999</v>
      </c>
      <c r="E1043" s="7">
        <v>4.2366757799999997</v>
      </c>
      <c r="F1043" s="9" t="str">
        <f t="shared" si="6"/>
        <v>Direct</v>
      </c>
      <c r="G1043" s="7" t="s">
        <v>261</v>
      </c>
    </row>
    <row r="1044" spans="1:7" x14ac:dyDescent="0.2">
      <c r="A1044" s="6" t="s">
        <v>8</v>
      </c>
      <c r="B1044" s="7" t="s">
        <v>13</v>
      </c>
      <c r="C1044" s="7" t="s">
        <v>1418</v>
      </c>
      <c r="D1044" s="7">
        <v>1.2260201799999999</v>
      </c>
      <c r="E1044" s="7">
        <v>1.9161778300000001</v>
      </c>
      <c r="F1044" s="9" t="str">
        <f t="shared" si="6"/>
        <v>Direct</v>
      </c>
      <c r="G1044" s="7" t="s">
        <v>11</v>
      </c>
    </row>
    <row r="1045" spans="1:7" x14ac:dyDescent="0.2">
      <c r="A1045" s="6" t="s">
        <v>8</v>
      </c>
      <c r="B1045" s="7" t="s">
        <v>13</v>
      </c>
      <c r="C1045" s="7" t="s">
        <v>1419</v>
      </c>
      <c r="D1045" s="7">
        <v>1.21752511</v>
      </c>
      <c r="E1045" s="7">
        <v>1.1478501999999999</v>
      </c>
      <c r="F1045" s="9" t="str">
        <f t="shared" si="6"/>
        <v>Direct</v>
      </c>
      <c r="G1045" s="7" t="s">
        <v>11</v>
      </c>
    </row>
    <row r="1046" spans="1:7" x14ac:dyDescent="0.2">
      <c r="A1046" s="6" t="s">
        <v>8</v>
      </c>
      <c r="B1046" s="7" t="s">
        <v>13</v>
      </c>
      <c r="C1046" s="7" t="s">
        <v>1420</v>
      </c>
      <c r="D1046" s="7">
        <v>1.57690481</v>
      </c>
      <c r="E1046" s="7">
        <v>2.3199508400000002</v>
      </c>
      <c r="F1046" s="9" t="str">
        <f t="shared" si="6"/>
        <v>Direct</v>
      </c>
      <c r="G1046" s="7" t="s">
        <v>11</v>
      </c>
    </row>
    <row r="1047" spans="1:7" x14ac:dyDescent="0.2">
      <c r="A1047" s="6" t="s">
        <v>8</v>
      </c>
      <c r="B1047" s="7" t="s">
        <v>13</v>
      </c>
      <c r="C1047" s="7" t="s">
        <v>1421</v>
      </c>
      <c r="D1047" s="7">
        <v>3.02982233</v>
      </c>
      <c r="E1047" s="7">
        <v>6.3139067799999999</v>
      </c>
      <c r="F1047" s="9" t="str">
        <f t="shared" si="6"/>
        <v>Direct</v>
      </c>
      <c r="G1047" s="7" t="s">
        <v>1422</v>
      </c>
    </row>
    <row r="1048" spans="1:7" x14ac:dyDescent="0.2">
      <c r="A1048" s="6" t="s">
        <v>8</v>
      </c>
      <c r="B1048" s="7" t="s">
        <v>13</v>
      </c>
      <c r="C1048" s="7" t="s">
        <v>1423</v>
      </c>
      <c r="D1048" s="7">
        <v>2.6480153</v>
      </c>
      <c r="E1048" s="7">
        <v>7.4776512200000003</v>
      </c>
      <c r="F1048" s="9" t="str">
        <f t="shared" si="6"/>
        <v>Direct</v>
      </c>
      <c r="G1048" s="7" t="s">
        <v>11</v>
      </c>
    </row>
    <row r="1049" spans="1:7" x14ac:dyDescent="0.2">
      <c r="A1049" s="6" t="s">
        <v>8</v>
      </c>
      <c r="B1049" s="7" t="s">
        <v>13</v>
      </c>
      <c r="C1049" s="7" t="s">
        <v>1424</v>
      </c>
      <c r="D1049" s="7">
        <v>2.03825981</v>
      </c>
      <c r="E1049" s="7">
        <v>6.8916035300000003</v>
      </c>
      <c r="F1049" s="9" t="str">
        <f t="shared" si="6"/>
        <v>Direct</v>
      </c>
      <c r="G1049" s="7" t="s">
        <v>1425</v>
      </c>
    </row>
    <row r="1050" spans="1:7" x14ac:dyDescent="0.2">
      <c r="A1050" s="6" t="s">
        <v>8</v>
      </c>
      <c r="B1050" s="7" t="s">
        <v>13</v>
      </c>
      <c r="C1050" s="7" t="s">
        <v>1426</v>
      </c>
      <c r="D1050" s="7">
        <v>1.63843009</v>
      </c>
      <c r="E1050" s="7">
        <v>5.87364832</v>
      </c>
      <c r="F1050" s="9" t="str">
        <f t="shared" si="6"/>
        <v>Direct</v>
      </c>
      <c r="G1050" s="7" t="s">
        <v>1427</v>
      </c>
    </row>
    <row r="1051" spans="1:7" x14ac:dyDescent="0.2">
      <c r="A1051" s="6" t="s">
        <v>8</v>
      </c>
      <c r="B1051" s="7" t="s">
        <v>13</v>
      </c>
      <c r="C1051" s="7" t="s">
        <v>1428</v>
      </c>
      <c r="D1051" s="7">
        <v>1.82365602</v>
      </c>
      <c r="E1051" s="7">
        <v>2.0555998899999999</v>
      </c>
      <c r="F1051" s="9" t="str">
        <f t="shared" si="6"/>
        <v>Direct</v>
      </c>
      <c r="G1051" s="7" t="s">
        <v>1429</v>
      </c>
    </row>
    <row r="1052" spans="1:7" x14ac:dyDescent="0.2">
      <c r="A1052" s="6" t="s">
        <v>8</v>
      </c>
      <c r="B1052" s="7" t="s">
        <v>13</v>
      </c>
      <c r="C1052" s="7" t="s">
        <v>1430</v>
      </c>
      <c r="D1052" s="7">
        <v>-3.1018859000000001</v>
      </c>
      <c r="E1052" s="7">
        <v>-1.0251585999999999</v>
      </c>
      <c r="F1052" s="9" t="str">
        <f t="shared" si="6"/>
        <v>Direct</v>
      </c>
      <c r="G1052" s="7" t="s">
        <v>11</v>
      </c>
    </row>
    <row r="1053" spans="1:7" x14ac:dyDescent="0.2">
      <c r="A1053" s="6" t="s">
        <v>8</v>
      </c>
      <c r="B1053" s="7" t="s">
        <v>13</v>
      </c>
      <c r="C1053" s="7" t="s">
        <v>262</v>
      </c>
      <c r="D1053" s="7">
        <v>1.1938149</v>
      </c>
      <c r="E1053" s="7">
        <v>3.4170934499999999</v>
      </c>
      <c r="F1053" s="9" t="str">
        <f t="shared" si="6"/>
        <v>Direct</v>
      </c>
      <c r="G1053" s="7" t="s">
        <v>263</v>
      </c>
    </row>
    <row r="1054" spans="1:7" x14ac:dyDescent="0.2">
      <c r="A1054" s="6" t="s">
        <v>8</v>
      </c>
      <c r="B1054" s="7" t="s">
        <v>13</v>
      </c>
      <c r="C1054" s="7" t="s">
        <v>1431</v>
      </c>
      <c r="D1054" s="7">
        <v>2.9138933200000001</v>
      </c>
      <c r="E1054" s="7">
        <v>1.8208265699999999</v>
      </c>
      <c r="F1054" s="9" t="str">
        <f t="shared" si="6"/>
        <v>Direct</v>
      </c>
      <c r="G1054" s="7" t="s">
        <v>11</v>
      </c>
    </row>
    <row r="1055" spans="1:7" x14ac:dyDescent="0.2">
      <c r="A1055" s="6" t="s">
        <v>8</v>
      </c>
      <c r="B1055" s="7" t="s">
        <v>13</v>
      </c>
      <c r="C1055" s="7" t="s">
        <v>1432</v>
      </c>
      <c r="D1055" s="7">
        <v>1.6660334299999999</v>
      </c>
      <c r="E1055" s="7">
        <v>4.7206666999999998</v>
      </c>
      <c r="F1055" s="9" t="str">
        <f t="shared" si="6"/>
        <v>Direct</v>
      </c>
      <c r="G1055" s="7" t="s">
        <v>1433</v>
      </c>
    </row>
    <row r="1056" spans="1:7" x14ac:dyDescent="0.2">
      <c r="A1056" s="6" t="s">
        <v>8</v>
      </c>
      <c r="B1056" s="7" t="s">
        <v>13</v>
      </c>
      <c r="C1056" s="7" t="s">
        <v>1434</v>
      </c>
      <c r="D1056" s="7">
        <v>-3.2676685999999999</v>
      </c>
      <c r="E1056" s="7">
        <v>-4.6367669999999999</v>
      </c>
      <c r="F1056" s="9" t="str">
        <f t="shared" si="6"/>
        <v>Direct</v>
      </c>
      <c r="G1056" s="7" t="s">
        <v>1435</v>
      </c>
    </row>
    <row r="1057" spans="1:7" x14ac:dyDescent="0.2">
      <c r="A1057" s="6" t="s">
        <v>8</v>
      </c>
      <c r="B1057" s="7" t="s">
        <v>13</v>
      </c>
      <c r="C1057" s="7" t="s">
        <v>1436</v>
      </c>
      <c r="D1057" s="7">
        <v>1.22406367</v>
      </c>
      <c r="E1057" s="7">
        <v>1.6171265800000001</v>
      </c>
      <c r="F1057" s="9" t="str">
        <f t="shared" si="6"/>
        <v>Direct</v>
      </c>
      <c r="G1057" s="7" t="s">
        <v>11</v>
      </c>
    </row>
    <row r="1058" spans="1:7" x14ac:dyDescent="0.2">
      <c r="A1058" s="6" t="s">
        <v>8</v>
      </c>
      <c r="B1058" s="7" t="s">
        <v>13</v>
      </c>
      <c r="C1058" s="7" t="s">
        <v>1437</v>
      </c>
      <c r="D1058" s="7">
        <v>2.2210254100000002</v>
      </c>
      <c r="E1058" s="7">
        <v>1.73511247</v>
      </c>
      <c r="F1058" s="9" t="str">
        <f t="shared" si="6"/>
        <v>Direct</v>
      </c>
      <c r="G1058" s="7" t="s">
        <v>1438</v>
      </c>
    </row>
    <row r="1059" spans="1:7" x14ac:dyDescent="0.2">
      <c r="A1059" s="6" t="s">
        <v>8</v>
      </c>
      <c r="B1059" s="7" t="s">
        <v>13</v>
      </c>
      <c r="C1059" s="7" t="s">
        <v>1439</v>
      </c>
      <c r="D1059" s="7">
        <v>2.1213114900000001</v>
      </c>
      <c r="E1059" s="7">
        <v>9.19221574</v>
      </c>
      <c r="F1059" s="9" t="str">
        <f t="shared" si="6"/>
        <v>Direct</v>
      </c>
      <c r="G1059" s="7" t="s">
        <v>701</v>
      </c>
    </row>
    <row r="1060" spans="1:7" x14ac:dyDescent="0.2">
      <c r="A1060" s="6" t="s">
        <v>8</v>
      </c>
      <c r="B1060" s="7" t="s">
        <v>13</v>
      </c>
      <c r="C1060" s="7" t="s">
        <v>1440</v>
      </c>
      <c r="D1060" s="7">
        <v>-1.1932659000000001</v>
      </c>
      <c r="E1060" s="7">
        <v>-3.8130294</v>
      </c>
      <c r="F1060" s="9" t="str">
        <f t="shared" si="6"/>
        <v>Direct</v>
      </c>
      <c r="G1060" s="7" t="s">
        <v>11</v>
      </c>
    </row>
    <row r="1061" spans="1:7" x14ac:dyDescent="0.2">
      <c r="A1061" s="6" t="s">
        <v>8</v>
      </c>
      <c r="B1061" s="7" t="s">
        <v>13</v>
      </c>
      <c r="C1061" s="7" t="s">
        <v>1441</v>
      </c>
      <c r="D1061" s="7">
        <v>-1.2798394</v>
      </c>
      <c r="E1061" s="7">
        <v>-2.2829912999999999</v>
      </c>
      <c r="F1061" s="9" t="str">
        <f t="shared" si="6"/>
        <v>Direct</v>
      </c>
      <c r="G1061" s="7" t="s">
        <v>11</v>
      </c>
    </row>
    <row r="1062" spans="1:7" x14ac:dyDescent="0.2">
      <c r="A1062" s="6" t="s">
        <v>8</v>
      </c>
      <c r="B1062" s="7" t="s">
        <v>13</v>
      </c>
      <c r="C1062" s="7" t="s">
        <v>1442</v>
      </c>
      <c r="D1062" s="7">
        <v>1.7160488599999999</v>
      </c>
      <c r="E1062" s="7">
        <v>1.49986044</v>
      </c>
      <c r="F1062" s="9" t="str">
        <f t="shared" si="6"/>
        <v>Direct</v>
      </c>
      <c r="G1062" s="7" t="s">
        <v>11</v>
      </c>
    </row>
    <row r="1063" spans="1:7" x14ac:dyDescent="0.2">
      <c r="A1063" s="6" t="s">
        <v>8</v>
      </c>
      <c r="B1063" s="7" t="s">
        <v>13</v>
      </c>
      <c r="C1063" s="7" t="s">
        <v>1443</v>
      </c>
      <c r="D1063" s="7">
        <v>1.51557886</v>
      </c>
      <c r="E1063" s="7">
        <v>3.8449765400000002</v>
      </c>
      <c r="F1063" s="9" t="str">
        <f t="shared" si="6"/>
        <v>Direct</v>
      </c>
      <c r="G1063" s="7" t="s">
        <v>1444</v>
      </c>
    </row>
    <row r="1064" spans="1:7" x14ac:dyDescent="0.2">
      <c r="A1064" s="6" t="s">
        <v>8</v>
      </c>
      <c r="B1064" s="7" t="s">
        <v>13</v>
      </c>
      <c r="C1064" s="7" t="s">
        <v>1445</v>
      </c>
      <c r="D1064" s="7">
        <v>2.5824134399999998</v>
      </c>
      <c r="E1064" s="7">
        <v>2.72240935</v>
      </c>
      <c r="F1064" s="9" t="str">
        <f t="shared" si="6"/>
        <v>Direct</v>
      </c>
      <c r="G1064" s="7" t="s">
        <v>1446</v>
      </c>
    </row>
    <row r="1065" spans="1:7" x14ac:dyDescent="0.2">
      <c r="A1065" s="6" t="s">
        <v>8</v>
      </c>
      <c r="B1065" s="7" t="s">
        <v>13</v>
      </c>
      <c r="C1065" s="7" t="s">
        <v>1447</v>
      </c>
      <c r="D1065" s="7">
        <v>-2.1982621999999998</v>
      </c>
      <c r="E1065" s="7">
        <v>-5.0364339999999999</v>
      </c>
      <c r="F1065" s="9" t="str">
        <f t="shared" si="6"/>
        <v>Direct</v>
      </c>
      <c r="G1065" s="7" t="s">
        <v>11</v>
      </c>
    </row>
    <row r="1066" spans="1:7" x14ac:dyDescent="0.2">
      <c r="A1066" s="6" t="s">
        <v>8</v>
      </c>
      <c r="B1066" s="7" t="s">
        <v>13</v>
      </c>
      <c r="C1066" s="7" t="s">
        <v>1448</v>
      </c>
      <c r="D1066" s="7">
        <v>-2.8540258999999999</v>
      </c>
      <c r="E1066" s="7">
        <v>-1.3636204000000001</v>
      </c>
      <c r="F1066" s="9" t="str">
        <f t="shared" si="6"/>
        <v>Direct</v>
      </c>
      <c r="G1066" s="7" t="s">
        <v>11</v>
      </c>
    </row>
    <row r="1067" spans="1:7" x14ac:dyDescent="0.2">
      <c r="A1067" s="6" t="s">
        <v>8</v>
      </c>
      <c r="B1067" s="7" t="s">
        <v>13</v>
      </c>
      <c r="C1067" s="7" t="s">
        <v>1449</v>
      </c>
      <c r="D1067" s="7">
        <v>-1.9053708</v>
      </c>
      <c r="E1067" s="7">
        <v>-2.8333636000000002</v>
      </c>
      <c r="F1067" s="9" t="str">
        <f t="shared" si="6"/>
        <v>Direct</v>
      </c>
      <c r="G1067" s="7" t="s">
        <v>1450</v>
      </c>
    </row>
    <row r="1068" spans="1:7" x14ac:dyDescent="0.2">
      <c r="A1068" s="6" t="s">
        <v>8</v>
      </c>
      <c r="B1068" s="7" t="s">
        <v>13</v>
      </c>
      <c r="C1068" s="7" t="s">
        <v>1451</v>
      </c>
      <c r="D1068" s="7">
        <v>1.2174596900000001</v>
      </c>
      <c r="E1068" s="7">
        <v>2.4763590099999999</v>
      </c>
      <c r="F1068" s="9" t="str">
        <f t="shared" si="6"/>
        <v>Direct</v>
      </c>
      <c r="G1068" s="7" t="s">
        <v>1452</v>
      </c>
    </row>
    <row r="1069" spans="1:7" x14ac:dyDescent="0.2">
      <c r="A1069" s="6" t="s">
        <v>8</v>
      </c>
      <c r="B1069" s="7" t="s">
        <v>13</v>
      </c>
      <c r="C1069" s="7" t="s">
        <v>1453</v>
      </c>
      <c r="D1069" s="7">
        <v>1.7139131400000001</v>
      </c>
      <c r="E1069" s="7">
        <v>5.0170643200000002</v>
      </c>
      <c r="F1069" s="9" t="str">
        <f t="shared" si="6"/>
        <v>Direct</v>
      </c>
      <c r="G1069" s="7" t="s">
        <v>950</v>
      </c>
    </row>
    <row r="1070" spans="1:7" x14ac:dyDescent="0.2">
      <c r="A1070" s="6" t="s">
        <v>8</v>
      </c>
      <c r="B1070" s="7" t="s">
        <v>13</v>
      </c>
      <c r="C1070" s="7" t="s">
        <v>1454</v>
      </c>
      <c r="D1070" s="7">
        <v>-2.1289273999999998</v>
      </c>
      <c r="E1070" s="7">
        <v>-3.220259</v>
      </c>
      <c r="F1070" s="9" t="str">
        <f t="shared" si="6"/>
        <v>Direct</v>
      </c>
      <c r="G1070" s="7" t="s">
        <v>1455</v>
      </c>
    </row>
    <row r="1071" spans="1:7" x14ac:dyDescent="0.2">
      <c r="A1071" s="6" t="s">
        <v>8</v>
      </c>
      <c r="B1071" s="7" t="s">
        <v>13</v>
      </c>
      <c r="C1071" s="7" t="s">
        <v>1456</v>
      </c>
      <c r="D1071" s="7">
        <v>2.4088601000000001</v>
      </c>
      <c r="E1071" s="7">
        <v>2.8553570100000001</v>
      </c>
      <c r="F1071" s="9" t="str">
        <f t="shared" si="6"/>
        <v>Direct</v>
      </c>
      <c r="G1071" s="7" t="s">
        <v>1457</v>
      </c>
    </row>
    <row r="1072" spans="1:7" x14ac:dyDescent="0.2">
      <c r="A1072" s="6" t="s">
        <v>8</v>
      </c>
      <c r="B1072" s="7" t="s">
        <v>13</v>
      </c>
      <c r="C1072" s="7" t="s">
        <v>284</v>
      </c>
      <c r="D1072" s="7">
        <v>6.19742748</v>
      </c>
      <c r="E1072" s="7">
        <v>3.2681800700000001</v>
      </c>
      <c r="F1072" s="9" t="str">
        <f t="shared" si="6"/>
        <v>Direct</v>
      </c>
      <c r="G1072" s="7" t="s">
        <v>285</v>
      </c>
    </row>
    <row r="1073" spans="1:7" x14ac:dyDescent="0.2">
      <c r="A1073" s="6" t="s">
        <v>8</v>
      </c>
      <c r="B1073" s="7" t="s">
        <v>13</v>
      </c>
      <c r="C1073" s="7" t="s">
        <v>286</v>
      </c>
      <c r="D1073" s="7">
        <v>1.4140070199999999</v>
      </c>
      <c r="E1073" s="7">
        <v>1.49262103</v>
      </c>
      <c r="F1073" s="9" t="str">
        <f t="shared" si="6"/>
        <v>Direct</v>
      </c>
      <c r="G1073" s="7" t="s">
        <v>11</v>
      </c>
    </row>
    <row r="1074" spans="1:7" x14ac:dyDescent="0.2">
      <c r="A1074" s="6" t="s">
        <v>8</v>
      </c>
      <c r="B1074" s="7" t="s">
        <v>13</v>
      </c>
      <c r="C1074" s="7" t="s">
        <v>1458</v>
      </c>
      <c r="D1074" s="7">
        <v>1.7267511499999999</v>
      </c>
      <c r="E1074" s="7">
        <v>1.8857686499999999</v>
      </c>
      <c r="F1074" s="9" t="str">
        <f t="shared" si="6"/>
        <v>Direct</v>
      </c>
      <c r="G1074" s="7" t="s">
        <v>11</v>
      </c>
    </row>
    <row r="1075" spans="1:7" x14ac:dyDescent="0.2">
      <c r="A1075" s="6" t="s">
        <v>8</v>
      </c>
      <c r="B1075" s="7" t="s">
        <v>13</v>
      </c>
      <c r="C1075" s="7" t="s">
        <v>1459</v>
      </c>
      <c r="D1075" s="7">
        <v>2.2336497400000002</v>
      </c>
      <c r="E1075" s="7">
        <v>3.72060557</v>
      </c>
      <c r="F1075" s="9" t="str">
        <f t="shared" si="6"/>
        <v>Direct</v>
      </c>
      <c r="G1075" s="7" t="s">
        <v>11</v>
      </c>
    </row>
    <row r="1076" spans="1:7" x14ac:dyDescent="0.2">
      <c r="A1076" s="6" t="s">
        <v>8</v>
      </c>
      <c r="B1076" s="7" t="s">
        <v>13</v>
      </c>
      <c r="C1076" s="7" t="s">
        <v>1460</v>
      </c>
      <c r="D1076" s="7">
        <v>1.0055943700000001</v>
      </c>
      <c r="E1076" s="7">
        <v>3.0211740100000002</v>
      </c>
      <c r="F1076" s="9" t="str">
        <f t="shared" si="6"/>
        <v>Direct</v>
      </c>
      <c r="G1076" s="7" t="s">
        <v>11</v>
      </c>
    </row>
    <row r="1077" spans="1:7" x14ac:dyDescent="0.2">
      <c r="A1077" s="6" t="s">
        <v>8</v>
      </c>
      <c r="B1077" s="7" t="s">
        <v>13</v>
      </c>
      <c r="C1077" s="7" t="s">
        <v>1461</v>
      </c>
      <c r="D1077" s="7">
        <v>2.8706221200000002</v>
      </c>
      <c r="E1077" s="7">
        <v>1.89286847</v>
      </c>
      <c r="F1077" s="9" t="str">
        <f t="shared" si="6"/>
        <v>Direct</v>
      </c>
      <c r="G1077" s="7" t="s">
        <v>285</v>
      </c>
    </row>
    <row r="1078" spans="1:7" x14ac:dyDescent="0.2">
      <c r="A1078" s="6" t="s">
        <v>8</v>
      </c>
      <c r="B1078" s="7" t="s">
        <v>13</v>
      </c>
      <c r="C1078" s="7" t="s">
        <v>1462</v>
      </c>
      <c r="D1078" s="7">
        <v>1.9811835499999999</v>
      </c>
      <c r="E1078" s="7">
        <v>1.36454981</v>
      </c>
      <c r="F1078" s="9" t="str">
        <f t="shared" si="6"/>
        <v>Direct</v>
      </c>
      <c r="G1078" s="7" t="s">
        <v>11</v>
      </c>
    </row>
    <row r="1079" spans="1:7" x14ac:dyDescent="0.2">
      <c r="A1079" s="6" t="s">
        <v>8</v>
      </c>
      <c r="B1079" s="7" t="s">
        <v>13</v>
      </c>
      <c r="C1079" s="7" t="s">
        <v>1463</v>
      </c>
      <c r="D1079" s="7">
        <v>2.33818503</v>
      </c>
      <c r="E1079" s="7">
        <v>5.7745700800000002</v>
      </c>
      <c r="F1079" s="9" t="str">
        <f t="shared" si="6"/>
        <v>Direct</v>
      </c>
      <c r="G1079" s="7" t="s">
        <v>11</v>
      </c>
    </row>
    <row r="1080" spans="1:7" x14ac:dyDescent="0.2">
      <c r="A1080" s="6" t="s">
        <v>8</v>
      </c>
      <c r="B1080" s="7" t="s">
        <v>13</v>
      </c>
      <c r="C1080" s="7" t="s">
        <v>1464</v>
      </c>
      <c r="D1080" s="7">
        <v>-1.2003321</v>
      </c>
      <c r="E1080" s="7">
        <v>-1.5005272999999999</v>
      </c>
      <c r="F1080" s="9" t="str">
        <f t="shared" si="6"/>
        <v>Direct</v>
      </c>
      <c r="G1080" s="7" t="s">
        <v>1465</v>
      </c>
    </row>
    <row r="1081" spans="1:7" x14ac:dyDescent="0.2">
      <c r="A1081" s="6" t="s">
        <v>8</v>
      </c>
      <c r="B1081" s="7" t="s">
        <v>13</v>
      </c>
      <c r="C1081" s="7" t="s">
        <v>289</v>
      </c>
      <c r="D1081" s="7">
        <v>1.11137646</v>
      </c>
      <c r="E1081" s="7">
        <v>1.36509825</v>
      </c>
      <c r="F1081" s="9" t="str">
        <f t="shared" si="6"/>
        <v>Direct</v>
      </c>
      <c r="G1081" s="7" t="s">
        <v>11</v>
      </c>
    </row>
    <row r="1082" spans="1:7" x14ac:dyDescent="0.2">
      <c r="A1082" s="6" t="s">
        <v>8</v>
      </c>
      <c r="B1082" s="7" t="s">
        <v>13</v>
      </c>
      <c r="C1082" s="7" t="s">
        <v>1466</v>
      </c>
      <c r="D1082" s="7">
        <v>-1.5396224000000001</v>
      </c>
      <c r="E1082" s="7">
        <v>-3.9629102</v>
      </c>
      <c r="F1082" s="9" t="str">
        <f t="shared" si="6"/>
        <v>Direct</v>
      </c>
      <c r="G1082" s="7" t="s">
        <v>11</v>
      </c>
    </row>
    <row r="1083" spans="1:7" x14ac:dyDescent="0.2">
      <c r="A1083" s="6" t="s">
        <v>8</v>
      </c>
      <c r="B1083" s="7" t="s">
        <v>13</v>
      </c>
      <c r="C1083" s="7" t="s">
        <v>1467</v>
      </c>
      <c r="D1083" s="7">
        <v>1.1768355699999999</v>
      </c>
      <c r="E1083" s="7">
        <v>1.6288858100000001</v>
      </c>
      <c r="F1083" s="9" t="str">
        <f t="shared" si="6"/>
        <v>Direct</v>
      </c>
      <c r="G1083" s="7" t="s">
        <v>1468</v>
      </c>
    </row>
    <row r="1084" spans="1:7" x14ac:dyDescent="0.2">
      <c r="A1084" s="6" t="s">
        <v>8</v>
      </c>
      <c r="B1084" s="7" t="s">
        <v>13</v>
      </c>
      <c r="C1084" s="7" t="s">
        <v>1469</v>
      </c>
      <c r="D1084" s="7">
        <v>-1.0556913999999999</v>
      </c>
      <c r="E1084" s="7">
        <v>-2.2673681000000001</v>
      </c>
      <c r="F1084" s="9" t="str">
        <f t="shared" si="6"/>
        <v>Direct</v>
      </c>
      <c r="G1084" s="7" t="s">
        <v>11</v>
      </c>
    </row>
    <row r="1085" spans="1:7" x14ac:dyDescent="0.2">
      <c r="A1085" s="6" t="s">
        <v>8</v>
      </c>
      <c r="B1085" s="7" t="s">
        <v>13</v>
      </c>
      <c r="C1085" s="7" t="s">
        <v>1470</v>
      </c>
      <c r="D1085" s="7">
        <v>-1.1750476999999999</v>
      </c>
      <c r="E1085" s="7">
        <v>-1.3007826</v>
      </c>
      <c r="F1085" s="9" t="str">
        <f t="shared" si="6"/>
        <v>Direct</v>
      </c>
      <c r="G1085" s="7" t="s">
        <v>11</v>
      </c>
    </row>
    <row r="1086" spans="1:7" x14ac:dyDescent="0.2">
      <c r="A1086" s="6" t="s">
        <v>8</v>
      </c>
      <c r="B1086" s="7" t="s">
        <v>13</v>
      </c>
      <c r="C1086" s="7" t="s">
        <v>294</v>
      </c>
      <c r="D1086" s="7">
        <v>1.2969628499999999</v>
      </c>
      <c r="E1086" s="7">
        <v>2.12141812</v>
      </c>
      <c r="F1086" s="9" t="str">
        <f t="shared" si="6"/>
        <v>Direct</v>
      </c>
      <c r="G1086" s="7" t="s">
        <v>11</v>
      </c>
    </row>
    <row r="1087" spans="1:7" x14ac:dyDescent="0.2">
      <c r="A1087" s="6" t="s">
        <v>8</v>
      </c>
      <c r="B1087" s="7" t="s">
        <v>13</v>
      </c>
      <c r="C1087" s="7" t="s">
        <v>1471</v>
      </c>
      <c r="D1087" s="7">
        <v>-1.0218592</v>
      </c>
      <c r="E1087" s="7">
        <v>-2.3199706999999998</v>
      </c>
      <c r="F1087" s="9" t="str">
        <f t="shared" si="6"/>
        <v>Direct</v>
      </c>
      <c r="G1087" s="7" t="s">
        <v>11</v>
      </c>
    </row>
    <row r="1088" spans="1:7" x14ac:dyDescent="0.2">
      <c r="A1088" s="6" t="s">
        <v>8</v>
      </c>
      <c r="B1088" s="7" t="s">
        <v>13</v>
      </c>
      <c r="C1088" s="7" t="s">
        <v>1472</v>
      </c>
      <c r="D1088" s="7">
        <v>-1.8847579000000001</v>
      </c>
      <c r="E1088" s="7">
        <v>-3.887448</v>
      </c>
      <c r="F1088" s="9" t="str">
        <f t="shared" si="6"/>
        <v>Direct</v>
      </c>
      <c r="G1088" s="7" t="s">
        <v>11</v>
      </c>
    </row>
    <row r="1089" spans="1:7" x14ac:dyDescent="0.2">
      <c r="A1089" s="6" t="s">
        <v>8</v>
      </c>
      <c r="B1089" s="7" t="s">
        <v>13</v>
      </c>
      <c r="C1089" s="7" t="s">
        <v>1473</v>
      </c>
      <c r="D1089" s="7">
        <v>-1.9544311999999999</v>
      </c>
      <c r="E1089" s="7">
        <v>-4.9994848999999997</v>
      </c>
      <c r="F1089" s="9" t="str">
        <f t="shared" si="6"/>
        <v>Direct</v>
      </c>
      <c r="G1089" s="7" t="s">
        <v>11</v>
      </c>
    </row>
    <row r="1090" spans="1:7" x14ac:dyDescent="0.2">
      <c r="A1090" s="6" t="s">
        <v>8</v>
      </c>
      <c r="B1090" s="7" t="s">
        <v>13</v>
      </c>
      <c r="C1090" s="7" t="s">
        <v>1474</v>
      </c>
      <c r="D1090" s="7">
        <v>2.2182463000000001</v>
      </c>
      <c r="E1090" s="7">
        <v>1.5415472100000001</v>
      </c>
      <c r="F1090" s="9" t="str">
        <f t="shared" si="6"/>
        <v>Direct</v>
      </c>
      <c r="G1090" s="7" t="s">
        <v>11</v>
      </c>
    </row>
    <row r="1091" spans="1:7" x14ac:dyDescent="0.2">
      <c r="A1091" s="6" t="s">
        <v>8</v>
      </c>
      <c r="B1091" s="7" t="s">
        <v>13</v>
      </c>
      <c r="C1091" s="7" t="s">
        <v>1475</v>
      </c>
      <c r="D1091" s="7">
        <v>-1.1753131000000001</v>
      </c>
      <c r="E1091" s="7">
        <v>-5.0864684000000002</v>
      </c>
      <c r="F1091" s="9" t="str">
        <f t="shared" si="6"/>
        <v>Direct</v>
      </c>
      <c r="G1091" s="7" t="s">
        <v>1476</v>
      </c>
    </row>
    <row r="1092" spans="1:7" x14ac:dyDescent="0.2">
      <c r="A1092" s="6" t="s">
        <v>8</v>
      </c>
      <c r="B1092" s="7" t="s">
        <v>13</v>
      </c>
      <c r="C1092" s="7" t="s">
        <v>1477</v>
      </c>
      <c r="D1092" s="7">
        <v>-1.555847</v>
      </c>
      <c r="E1092" s="7">
        <v>-9.9382354999999993</v>
      </c>
      <c r="F1092" s="9" t="str">
        <f t="shared" si="6"/>
        <v>Direct</v>
      </c>
      <c r="G1092" s="7" t="s">
        <v>11</v>
      </c>
    </row>
    <row r="1093" spans="1:7" x14ac:dyDescent="0.2">
      <c r="A1093" s="6" t="s">
        <v>8</v>
      </c>
      <c r="B1093" s="7" t="s">
        <v>13</v>
      </c>
      <c r="C1093" s="7" t="s">
        <v>1478</v>
      </c>
      <c r="D1093" s="7">
        <v>2.0400747300000002</v>
      </c>
      <c r="E1093" s="7">
        <v>9.3017431899999998</v>
      </c>
      <c r="F1093" s="9" t="str">
        <f t="shared" si="6"/>
        <v>Direct</v>
      </c>
      <c r="G1093" s="7" t="s">
        <v>11</v>
      </c>
    </row>
    <row r="1094" spans="1:7" x14ac:dyDescent="0.2">
      <c r="A1094" s="6" t="s">
        <v>8</v>
      </c>
      <c r="B1094" s="7" t="s">
        <v>13</v>
      </c>
      <c r="C1094" s="7" t="s">
        <v>295</v>
      </c>
      <c r="D1094" s="7">
        <v>2.8034636499999999</v>
      </c>
      <c r="E1094" s="7">
        <v>1.63917625</v>
      </c>
      <c r="F1094" s="9" t="str">
        <f t="shared" si="6"/>
        <v>Direct</v>
      </c>
      <c r="G1094" s="7" t="s">
        <v>11</v>
      </c>
    </row>
    <row r="1095" spans="1:7" x14ac:dyDescent="0.2">
      <c r="A1095" s="6" t="s">
        <v>8</v>
      </c>
      <c r="B1095" s="7" t="s">
        <v>13</v>
      </c>
      <c r="C1095" s="7" t="s">
        <v>1479</v>
      </c>
      <c r="D1095" s="7">
        <v>4.09620988</v>
      </c>
      <c r="E1095" s="7">
        <v>3.2880607300000002</v>
      </c>
      <c r="F1095" s="9" t="str">
        <f t="shared" si="6"/>
        <v>Direct</v>
      </c>
      <c r="G1095" s="7" t="s">
        <v>11</v>
      </c>
    </row>
    <row r="1096" spans="1:7" x14ac:dyDescent="0.2">
      <c r="A1096" s="6" t="s">
        <v>8</v>
      </c>
      <c r="B1096" s="7" t="s">
        <v>13</v>
      </c>
      <c r="C1096" s="7" t="s">
        <v>298</v>
      </c>
      <c r="D1096" s="7">
        <v>-3.7069266000000001</v>
      </c>
      <c r="E1096" s="7">
        <v>-3.7018822999999998</v>
      </c>
      <c r="F1096" s="9" t="str">
        <f t="shared" si="6"/>
        <v>Direct</v>
      </c>
      <c r="G1096" s="7" t="s">
        <v>299</v>
      </c>
    </row>
    <row r="1097" spans="1:7" x14ac:dyDescent="0.2">
      <c r="A1097" s="6" t="s">
        <v>8</v>
      </c>
      <c r="B1097" s="7" t="s">
        <v>13</v>
      </c>
      <c r="C1097" s="7" t="s">
        <v>1480</v>
      </c>
      <c r="D1097" s="7">
        <v>2.5055766899999998</v>
      </c>
      <c r="E1097" s="7">
        <v>3.0814117799999998</v>
      </c>
      <c r="F1097" s="9" t="str">
        <f t="shared" si="6"/>
        <v>Direct</v>
      </c>
      <c r="G1097" s="7" t="s">
        <v>1481</v>
      </c>
    </row>
    <row r="1098" spans="1:7" x14ac:dyDescent="0.2">
      <c r="A1098" s="6" t="s">
        <v>8</v>
      </c>
      <c r="B1098" s="7" t="s">
        <v>13</v>
      </c>
      <c r="C1098" s="7" t="s">
        <v>1482</v>
      </c>
      <c r="D1098" s="7">
        <v>-1.1318775999999999</v>
      </c>
      <c r="E1098" s="7">
        <v>-4.0046116999999999</v>
      </c>
      <c r="F1098" s="9" t="str">
        <f t="shared" si="6"/>
        <v>Direct</v>
      </c>
      <c r="G1098" s="7" t="s">
        <v>11</v>
      </c>
    </row>
    <row r="1099" spans="1:7" x14ac:dyDescent="0.2">
      <c r="A1099" s="6" t="s">
        <v>8</v>
      </c>
      <c r="B1099" s="7" t="s">
        <v>13</v>
      </c>
      <c r="C1099" s="7" t="s">
        <v>1483</v>
      </c>
      <c r="D1099" s="7">
        <v>4.0970490599999998</v>
      </c>
      <c r="E1099" s="7">
        <v>2.33920511</v>
      </c>
      <c r="F1099" s="9" t="str">
        <f t="shared" si="6"/>
        <v>Direct</v>
      </c>
      <c r="G1099" s="7" t="s">
        <v>11</v>
      </c>
    </row>
    <row r="1100" spans="1:7" x14ac:dyDescent="0.2">
      <c r="A1100" s="6" t="s">
        <v>8</v>
      </c>
      <c r="B1100" s="7" t="s">
        <v>13</v>
      </c>
      <c r="C1100" s="7" t="s">
        <v>1484</v>
      </c>
      <c r="D1100" s="7">
        <v>-1.9402596000000001</v>
      </c>
      <c r="E1100" s="7">
        <v>-5.0384710000000004</v>
      </c>
      <c r="F1100" s="9" t="str">
        <f t="shared" si="6"/>
        <v>Direct</v>
      </c>
      <c r="G1100" s="7" t="s">
        <v>1485</v>
      </c>
    </row>
    <row r="1101" spans="1:7" x14ac:dyDescent="0.2">
      <c r="A1101" s="6" t="s">
        <v>8</v>
      </c>
      <c r="B1101" s="7" t="s">
        <v>13</v>
      </c>
      <c r="C1101" s="7" t="s">
        <v>1486</v>
      </c>
      <c r="D1101" s="7">
        <v>7.0163611599999998</v>
      </c>
      <c r="E1101" s="7">
        <v>8.8595967200000008</v>
      </c>
      <c r="F1101" s="9" t="str">
        <f t="shared" si="6"/>
        <v>Direct</v>
      </c>
      <c r="G1101" s="7" t="s">
        <v>305</v>
      </c>
    </row>
    <row r="1102" spans="1:7" x14ac:dyDescent="0.2">
      <c r="A1102" s="6" t="s">
        <v>8</v>
      </c>
      <c r="B1102" s="7" t="s">
        <v>13</v>
      </c>
      <c r="C1102" s="7" t="s">
        <v>1487</v>
      </c>
      <c r="D1102" s="7">
        <v>1.96572707</v>
      </c>
      <c r="E1102" s="7">
        <v>1.01017204</v>
      </c>
      <c r="F1102" s="9" t="str">
        <f t="shared" si="6"/>
        <v>Direct</v>
      </c>
      <c r="G1102" s="7" t="s">
        <v>1488</v>
      </c>
    </row>
    <row r="1103" spans="1:7" x14ac:dyDescent="0.2">
      <c r="A1103" s="6" t="s">
        <v>8</v>
      </c>
      <c r="B1103" s="7" t="s">
        <v>13</v>
      </c>
      <c r="C1103" s="7" t="s">
        <v>1489</v>
      </c>
      <c r="D1103" s="7">
        <v>-2.7282034999999998</v>
      </c>
      <c r="E1103" s="7">
        <v>-3.7537905999999999</v>
      </c>
      <c r="F1103" s="9" t="str">
        <f t="shared" si="6"/>
        <v>Direct</v>
      </c>
      <c r="G1103" s="7" t="s">
        <v>1490</v>
      </c>
    </row>
    <row r="1104" spans="1:7" x14ac:dyDescent="0.2">
      <c r="A1104" s="6" t="s">
        <v>8</v>
      </c>
      <c r="B1104" s="7" t="s">
        <v>13</v>
      </c>
      <c r="C1104" s="7" t="s">
        <v>1491</v>
      </c>
      <c r="D1104" s="7">
        <v>1.1559006999999999</v>
      </c>
      <c r="E1104" s="7">
        <v>1.87061849</v>
      </c>
      <c r="F1104" s="9" t="str">
        <f t="shared" si="6"/>
        <v>Direct</v>
      </c>
      <c r="G1104" s="7" t="s">
        <v>1492</v>
      </c>
    </row>
    <row r="1105" spans="1:7" x14ac:dyDescent="0.2">
      <c r="A1105" s="6" t="s">
        <v>8</v>
      </c>
      <c r="B1105" s="7" t="s">
        <v>13</v>
      </c>
      <c r="C1105" s="7" t="s">
        <v>1493</v>
      </c>
      <c r="D1105" s="7">
        <v>1.19364972</v>
      </c>
      <c r="E1105" s="7">
        <v>6.4889006800000004</v>
      </c>
      <c r="F1105" s="9" t="str">
        <f t="shared" si="6"/>
        <v>Direct</v>
      </c>
      <c r="G1105" s="7" t="s">
        <v>327</v>
      </c>
    </row>
    <row r="1106" spans="1:7" x14ac:dyDescent="0.2">
      <c r="A1106" s="6" t="s">
        <v>8</v>
      </c>
      <c r="B1106" s="7" t="s">
        <v>13</v>
      </c>
      <c r="C1106" s="7" t="s">
        <v>1494</v>
      </c>
      <c r="D1106" s="7">
        <v>1.03663303</v>
      </c>
      <c r="E1106" s="7">
        <v>1.2291628699999999</v>
      </c>
      <c r="F1106" s="9" t="str">
        <f t="shared" si="6"/>
        <v>Direct</v>
      </c>
      <c r="G1106" s="7" t="s">
        <v>1495</v>
      </c>
    </row>
    <row r="1107" spans="1:7" x14ac:dyDescent="0.2">
      <c r="A1107" s="6" t="s">
        <v>8</v>
      </c>
      <c r="B1107" s="7" t="s">
        <v>13</v>
      </c>
      <c r="C1107" s="7" t="s">
        <v>1496</v>
      </c>
      <c r="D1107" s="7">
        <v>-1.1084985000000001</v>
      </c>
      <c r="E1107" s="7">
        <v>1.69174376</v>
      </c>
      <c r="F1107" s="9" t="str">
        <f t="shared" si="6"/>
        <v>Inverse</v>
      </c>
      <c r="G1107" s="7" t="s">
        <v>1497</v>
      </c>
    </row>
    <row r="1108" spans="1:7" x14ac:dyDescent="0.2">
      <c r="A1108" s="6" t="s">
        <v>8</v>
      </c>
      <c r="B1108" s="7" t="s">
        <v>13</v>
      </c>
      <c r="C1108" s="7" t="s">
        <v>1498</v>
      </c>
      <c r="D1108" s="7">
        <v>1.4794113099999999</v>
      </c>
      <c r="E1108" s="7">
        <v>-1.7968394000000001</v>
      </c>
      <c r="F1108" s="9" t="str">
        <f t="shared" si="6"/>
        <v>Inverse</v>
      </c>
      <c r="G1108" s="7" t="s">
        <v>11</v>
      </c>
    </row>
    <row r="1109" spans="1:7" x14ac:dyDescent="0.2">
      <c r="A1109" s="6" t="s">
        <v>8</v>
      </c>
      <c r="B1109" s="7" t="s">
        <v>13</v>
      </c>
      <c r="C1109" s="7" t="s">
        <v>1499</v>
      </c>
      <c r="D1109" s="7">
        <v>3.05551584</v>
      </c>
      <c r="E1109" s="7">
        <v>3.4811139500000001</v>
      </c>
      <c r="F1109" s="9" t="str">
        <f t="shared" si="6"/>
        <v>Direct</v>
      </c>
      <c r="G1109" s="7" t="s">
        <v>11</v>
      </c>
    </row>
    <row r="1110" spans="1:7" x14ac:dyDescent="0.2">
      <c r="A1110" s="6" t="s">
        <v>8</v>
      </c>
      <c r="B1110" s="7" t="s">
        <v>13</v>
      </c>
      <c r="C1110" s="7" t="s">
        <v>1500</v>
      </c>
      <c r="D1110" s="7">
        <v>-2.6548329000000002</v>
      </c>
      <c r="E1110" s="7">
        <v>-3.6663676999999999</v>
      </c>
      <c r="F1110" s="9" t="str">
        <f t="shared" si="6"/>
        <v>Direct</v>
      </c>
      <c r="G1110" s="7" t="s">
        <v>1501</v>
      </c>
    </row>
    <row r="1111" spans="1:7" x14ac:dyDescent="0.2">
      <c r="A1111" s="6" t="s">
        <v>8</v>
      </c>
      <c r="B1111" s="7" t="s">
        <v>13</v>
      </c>
      <c r="C1111" s="7" t="s">
        <v>1502</v>
      </c>
      <c r="D1111" s="7">
        <v>4.0970490599999998</v>
      </c>
      <c r="E1111" s="7">
        <v>3.0516978899999998</v>
      </c>
      <c r="F1111" s="9" t="str">
        <f t="shared" si="6"/>
        <v>Direct</v>
      </c>
      <c r="G1111" s="7" t="s">
        <v>1503</v>
      </c>
    </row>
    <row r="1112" spans="1:7" x14ac:dyDescent="0.2">
      <c r="A1112" s="6" t="s">
        <v>8</v>
      </c>
      <c r="B1112" s="7" t="s">
        <v>13</v>
      </c>
      <c r="C1112" s="7" t="s">
        <v>1504</v>
      </c>
      <c r="D1112" s="7">
        <v>-1.9253556000000001</v>
      </c>
      <c r="E1112" s="7">
        <v>-1.4271</v>
      </c>
      <c r="F1112" s="9" t="str">
        <f t="shared" si="6"/>
        <v>Direct</v>
      </c>
      <c r="G1112" s="7" t="s">
        <v>11</v>
      </c>
    </row>
    <row r="1113" spans="1:7" x14ac:dyDescent="0.2">
      <c r="A1113" s="6" t="s">
        <v>8</v>
      </c>
      <c r="B1113" s="7" t="s">
        <v>13</v>
      </c>
      <c r="C1113" s="7" t="s">
        <v>1505</v>
      </c>
      <c r="D1113" s="7">
        <v>1.5078842100000001</v>
      </c>
      <c r="E1113" s="7">
        <v>3.7189598799999999</v>
      </c>
      <c r="F1113" s="9" t="str">
        <f t="shared" si="6"/>
        <v>Direct</v>
      </c>
      <c r="G1113" s="7" t="s">
        <v>704</v>
      </c>
    </row>
    <row r="1114" spans="1:7" x14ac:dyDescent="0.2">
      <c r="A1114" s="6" t="s">
        <v>8</v>
      </c>
      <c r="B1114" s="7" t="s">
        <v>13</v>
      </c>
      <c r="C1114" s="7" t="s">
        <v>1506</v>
      </c>
      <c r="D1114" s="7">
        <v>-2.2198926000000001</v>
      </c>
      <c r="E1114" s="7">
        <v>-1.8286456</v>
      </c>
      <c r="F1114" s="9" t="str">
        <f t="shared" si="6"/>
        <v>Direct</v>
      </c>
      <c r="G1114" s="7" t="s">
        <v>1507</v>
      </c>
    </row>
    <row r="1115" spans="1:7" x14ac:dyDescent="0.2">
      <c r="A1115" s="6" t="s">
        <v>8</v>
      </c>
      <c r="B1115" s="7" t="s">
        <v>13</v>
      </c>
      <c r="C1115" s="7" t="s">
        <v>1508</v>
      </c>
      <c r="D1115" s="7">
        <v>-1.8294075999999999</v>
      </c>
      <c r="E1115" s="7">
        <v>-2.2630159000000001</v>
      </c>
      <c r="F1115" s="9" t="str">
        <f t="shared" si="6"/>
        <v>Direct</v>
      </c>
      <c r="G1115" s="7" t="s">
        <v>11</v>
      </c>
    </row>
    <row r="1116" spans="1:7" x14ac:dyDescent="0.2">
      <c r="A1116" s="6" t="s">
        <v>8</v>
      </c>
      <c r="B1116" s="7" t="s">
        <v>13</v>
      </c>
      <c r="C1116" s="7" t="s">
        <v>1509</v>
      </c>
      <c r="D1116" s="7">
        <v>-3.3096136</v>
      </c>
      <c r="E1116" s="7">
        <v>-4.0147123999999996</v>
      </c>
      <c r="F1116" s="9" t="str">
        <f t="shared" si="6"/>
        <v>Direct</v>
      </c>
      <c r="G1116" s="7" t="s">
        <v>11</v>
      </c>
    </row>
    <row r="1117" spans="1:7" x14ac:dyDescent="0.2">
      <c r="A1117" s="6" t="s">
        <v>8</v>
      </c>
      <c r="B1117" s="7" t="s">
        <v>13</v>
      </c>
      <c r="C1117" s="7" t="s">
        <v>1510</v>
      </c>
      <c r="D1117" s="7">
        <v>3.1919053399999999</v>
      </c>
      <c r="E1117" s="7">
        <v>7.7248526699999998</v>
      </c>
      <c r="F1117" s="9" t="str">
        <f t="shared" si="6"/>
        <v>Direct</v>
      </c>
      <c r="G1117" s="7" t="s">
        <v>11</v>
      </c>
    </row>
    <row r="1118" spans="1:7" x14ac:dyDescent="0.2">
      <c r="A1118" s="6" t="s">
        <v>8</v>
      </c>
      <c r="B1118" s="7" t="s">
        <v>13</v>
      </c>
      <c r="C1118" s="7" t="s">
        <v>1511</v>
      </c>
      <c r="D1118" s="7">
        <v>-1.6205856000000001</v>
      </c>
      <c r="E1118" s="7">
        <v>-3.3186070000000001</v>
      </c>
      <c r="F1118" s="9" t="str">
        <f t="shared" si="6"/>
        <v>Direct</v>
      </c>
      <c r="G1118" s="7" t="s">
        <v>1512</v>
      </c>
    </row>
    <row r="1119" spans="1:7" x14ac:dyDescent="0.2">
      <c r="A1119" s="6" t="s">
        <v>8</v>
      </c>
      <c r="B1119" s="7" t="s">
        <v>13</v>
      </c>
      <c r="C1119" s="7" t="s">
        <v>1513</v>
      </c>
      <c r="D1119" s="7">
        <v>-1.7672471999999999</v>
      </c>
      <c r="E1119" s="7">
        <v>-4.743144</v>
      </c>
      <c r="F1119" s="9" t="str">
        <f t="shared" si="6"/>
        <v>Direct</v>
      </c>
      <c r="G1119" s="7" t="s">
        <v>1514</v>
      </c>
    </row>
    <row r="1120" spans="1:7" x14ac:dyDescent="0.2">
      <c r="A1120" s="6" t="s">
        <v>8</v>
      </c>
      <c r="B1120" s="7" t="s">
        <v>13</v>
      </c>
      <c r="C1120" s="7" t="s">
        <v>1515</v>
      </c>
      <c r="D1120" s="7">
        <v>-2.7193041</v>
      </c>
      <c r="E1120" s="7">
        <v>-1.5693611999999999</v>
      </c>
      <c r="F1120" s="9" t="str">
        <f t="shared" si="6"/>
        <v>Direct</v>
      </c>
      <c r="G1120" s="7" t="s">
        <v>11</v>
      </c>
    </row>
    <row r="1121" spans="1:7" x14ac:dyDescent="0.2">
      <c r="A1121" s="6" t="s">
        <v>8</v>
      </c>
      <c r="B1121" s="7" t="s">
        <v>13</v>
      </c>
      <c r="C1121" s="7" t="s">
        <v>1516</v>
      </c>
      <c r="D1121" s="7">
        <v>-2.7205151000000001</v>
      </c>
      <c r="E1121" s="7">
        <v>-2.9384966000000001</v>
      </c>
      <c r="F1121" s="9" t="str">
        <f t="shared" si="6"/>
        <v>Direct</v>
      </c>
      <c r="G1121" s="7" t="s">
        <v>11</v>
      </c>
    </row>
    <row r="1122" spans="1:7" x14ac:dyDescent="0.2">
      <c r="A1122" s="6" t="s">
        <v>8</v>
      </c>
      <c r="B1122" s="7" t="s">
        <v>13</v>
      </c>
      <c r="C1122" s="7" t="s">
        <v>1517</v>
      </c>
      <c r="D1122" s="7">
        <v>1.37218208</v>
      </c>
      <c r="E1122" s="7">
        <v>1.1101843300000001</v>
      </c>
      <c r="F1122" s="9" t="str">
        <f t="shared" si="6"/>
        <v>Direct</v>
      </c>
      <c r="G1122" s="7" t="s">
        <v>11</v>
      </c>
    </row>
    <row r="1123" spans="1:7" x14ac:dyDescent="0.2">
      <c r="A1123" s="6" t="s">
        <v>8</v>
      </c>
      <c r="B1123" s="7" t="s">
        <v>13</v>
      </c>
      <c r="C1123" s="7" t="s">
        <v>1518</v>
      </c>
      <c r="D1123" s="7">
        <v>-1.5462416000000001</v>
      </c>
      <c r="E1123" s="7">
        <v>-3.6662452000000001</v>
      </c>
      <c r="F1123" s="9" t="str">
        <f t="shared" si="6"/>
        <v>Direct</v>
      </c>
      <c r="G1123" s="7" t="s">
        <v>1519</v>
      </c>
    </row>
    <row r="1124" spans="1:7" x14ac:dyDescent="0.2">
      <c r="A1124" s="6" t="s">
        <v>8</v>
      </c>
      <c r="B1124" s="7" t="s">
        <v>13</v>
      </c>
      <c r="C1124" s="7" t="s">
        <v>328</v>
      </c>
      <c r="D1124" s="7">
        <v>2.2336497400000002</v>
      </c>
      <c r="E1124" s="7">
        <v>3.9708526200000001</v>
      </c>
      <c r="F1124" s="9" t="str">
        <f t="shared" si="6"/>
        <v>Direct</v>
      </c>
      <c r="G1124" s="7" t="s">
        <v>11</v>
      </c>
    </row>
    <row r="1125" spans="1:7" x14ac:dyDescent="0.2">
      <c r="A1125" s="6" t="s">
        <v>8</v>
      </c>
      <c r="B1125" s="7" t="s">
        <v>13</v>
      </c>
      <c r="C1125" s="7" t="s">
        <v>1520</v>
      </c>
      <c r="D1125" s="7">
        <v>-1.0268041000000001</v>
      </c>
      <c r="E1125" s="7">
        <v>-2.2015110999999998</v>
      </c>
      <c r="F1125" s="9" t="str">
        <f t="shared" si="6"/>
        <v>Direct</v>
      </c>
      <c r="G1125" s="7" t="s">
        <v>1521</v>
      </c>
    </row>
    <row r="1126" spans="1:7" x14ac:dyDescent="0.2">
      <c r="A1126" s="6" t="s">
        <v>8</v>
      </c>
      <c r="B1126" s="7" t="s">
        <v>13</v>
      </c>
      <c r="C1126" s="7" t="s">
        <v>1522</v>
      </c>
      <c r="D1126" s="7">
        <v>1.26184137</v>
      </c>
      <c r="E1126" s="7">
        <v>6.8528643999999996</v>
      </c>
      <c r="F1126" s="9" t="str">
        <f t="shared" si="6"/>
        <v>Direct</v>
      </c>
      <c r="G1126" s="7" t="s">
        <v>563</v>
      </c>
    </row>
    <row r="1127" spans="1:7" x14ac:dyDescent="0.2">
      <c r="A1127" s="6" t="s">
        <v>8</v>
      </c>
      <c r="B1127" s="7" t="s">
        <v>13</v>
      </c>
      <c r="C1127" s="7" t="s">
        <v>1523</v>
      </c>
      <c r="D1127" s="7">
        <v>-1.4241216000000001</v>
      </c>
      <c r="E1127" s="7">
        <v>-1.4942385</v>
      </c>
      <c r="F1127" s="9" t="str">
        <f t="shared" si="6"/>
        <v>Direct</v>
      </c>
      <c r="G1127" s="7" t="s">
        <v>1524</v>
      </c>
    </row>
    <row r="1128" spans="1:7" x14ac:dyDescent="0.2">
      <c r="A1128" s="6" t="s">
        <v>8</v>
      </c>
      <c r="B1128" s="7" t="s">
        <v>13</v>
      </c>
      <c r="C1128" s="7" t="s">
        <v>1525</v>
      </c>
      <c r="D1128" s="7">
        <v>1.59791664</v>
      </c>
      <c r="E1128" s="7">
        <v>6.7200238399999996</v>
      </c>
      <c r="F1128" s="9" t="str">
        <f t="shared" si="6"/>
        <v>Direct</v>
      </c>
      <c r="G1128" s="7" t="s">
        <v>11</v>
      </c>
    </row>
    <row r="1129" spans="1:7" x14ac:dyDescent="0.2">
      <c r="A1129" s="6" t="s">
        <v>8</v>
      </c>
      <c r="B1129" s="7" t="s">
        <v>13</v>
      </c>
      <c r="C1129" s="7" t="s">
        <v>1526</v>
      </c>
      <c r="D1129" s="7">
        <v>-2.0092892</v>
      </c>
      <c r="E1129" s="7">
        <v>-2.1048217999999999</v>
      </c>
      <c r="F1129" s="9" t="str">
        <f t="shared" si="6"/>
        <v>Direct</v>
      </c>
      <c r="G1129" s="7" t="s">
        <v>11</v>
      </c>
    </row>
    <row r="1130" spans="1:7" x14ac:dyDescent="0.2">
      <c r="A1130" s="6" t="s">
        <v>8</v>
      </c>
      <c r="B1130" s="7" t="s">
        <v>13</v>
      </c>
      <c r="C1130" s="7" t="s">
        <v>1527</v>
      </c>
      <c r="D1130" s="7">
        <v>1.1421051099999999</v>
      </c>
      <c r="E1130" s="7">
        <v>1.6148562900000001</v>
      </c>
      <c r="F1130" s="9" t="str">
        <f t="shared" si="6"/>
        <v>Direct</v>
      </c>
      <c r="G1130" s="7" t="s">
        <v>11</v>
      </c>
    </row>
    <row r="1131" spans="1:7" x14ac:dyDescent="0.2">
      <c r="A1131" s="6" t="s">
        <v>8</v>
      </c>
      <c r="B1131" s="7" t="s">
        <v>13</v>
      </c>
      <c r="C1131" s="7" t="s">
        <v>1528</v>
      </c>
      <c r="D1131" s="7">
        <v>-3.1095223999999999</v>
      </c>
      <c r="E1131" s="7">
        <v>-2.7734985000000001</v>
      </c>
      <c r="F1131" s="9" t="str">
        <f t="shared" si="6"/>
        <v>Direct</v>
      </c>
      <c r="G1131" s="7" t="s">
        <v>360</v>
      </c>
    </row>
    <row r="1132" spans="1:7" x14ac:dyDescent="0.2">
      <c r="A1132" s="6" t="s">
        <v>8</v>
      </c>
      <c r="B1132" s="7" t="s">
        <v>13</v>
      </c>
      <c r="C1132" s="7" t="s">
        <v>1529</v>
      </c>
      <c r="D1132" s="7">
        <v>-3.2386479000000001</v>
      </c>
      <c r="E1132" s="7">
        <v>-1.3763238</v>
      </c>
      <c r="F1132" s="9" t="str">
        <f t="shared" si="6"/>
        <v>Direct</v>
      </c>
      <c r="G1132" s="7" t="s">
        <v>1530</v>
      </c>
    </row>
    <row r="1133" spans="1:7" x14ac:dyDescent="0.2">
      <c r="A1133" s="6" t="s">
        <v>8</v>
      </c>
      <c r="B1133" s="7" t="s">
        <v>13</v>
      </c>
      <c r="C1133" s="7" t="s">
        <v>1531</v>
      </c>
      <c r="D1133" s="7">
        <v>1.6034164500000001</v>
      </c>
      <c r="E1133" s="7">
        <v>2.1874950200000001</v>
      </c>
      <c r="F1133" s="9" t="str">
        <f t="shared" si="6"/>
        <v>Direct</v>
      </c>
      <c r="G1133" s="7" t="s">
        <v>11</v>
      </c>
    </row>
    <row r="1134" spans="1:7" x14ac:dyDescent="0.2">
      <c r="A1134" s="6" t="s">
        <v>8</v>
      </c>
      <c r="B1134" s="7" t="s">
        <v>13</v>
      </c>
      <c r="C1134" s="7" t="s">
        <v>330</v>
      </c>
      <c r="D1134" s="7">
        <v>1.4272294599999999</v>
      </c>
      <c r="E1134" s="7">
        <v>7.3504606600000004</v>
      </c>
      <c r="F1134" s="9" t="str">
        <f t="shared" si="6"/>
        <v>Direct</v>
      </c>
      <c r="G1134" s="7" t="s">
        <v>331</v>
      </c>
    </row>
    <row r="1135" spans="1:7" x14ac:dyDescent="0.2">
      <c r="A1135" s="6" t="s">
        <v>8</v>
      </c>
      <c r="B1135" s="7" t="s">
        <v>13</v>
      </c>
      <c r="C1135" s="7" t="s">
        <v>1532</v>
      </c>
      <c r="D1135" s="7">
        <v>2.86829789</v>
      </c>
      <c r="E1135" s="7">
        <v>3.9260801500000002</v>
      </c>
      <c r="F1135" s="9" t="str">
        <f t="shared" si="6"/>
        <v>Direct</v>
      </c>
      <c r="G1135" s="7" t="s">
        <v>11</v>
      </c>
    </row>
    <row r="1136" spans="1:7" x14ac:dyDescent="0.2">
      <c r="A1136" s="6" t="s">
        <v>8</v>
      </c>
      <c r="B1136" s="7" t="s">
        <v>13</v>
      </c>
      <c r="C1136" s="7" t="s">
        <v>335</v>
      </c>
      <c r="D1136" s="7">
        <v>1.59931216</v>
      </c>
      <c r="E1136" s="7">
        <v>1.3905654000000001</v>
      </c>
      <c r="F1136" s="9" t="str">
        <f t="shared" si="6"/>
        <v>Direct</v>
      </c>
      <c r="G1136" s="7" t="s">
        <v>336</v>
      </c>
    </row>
    <row r="1137" spans="1:7" x14ac:dyDescent="0.2">
      <c r="A1137" s="6" t="s">
        <v>8</v>
      </c>
      <c r="B1137" s="7" t="s">
        <v>13</v>
      </c>
      <c r="C1137" s="7" t="s">
        <v>1533</v>
      </c>
      <c r="D1137" s="7">
        <v>1.35829961</v>
      </c>
      <c r="E1137" s="7">
        <v>1.73507506</v>
      </c>
      <c r="F1137" s="9" t="str">
        <f t="shared" si="6"/>
        <v>Direct</v>
      </c>
      <c r="G1137" s="7" t="s">
        <v>1534</v>
      </c>
    </row>
    <row r="1138" spans="1:7" x14ac:dyDescent="0.2">
      <c r="A1138" s="6" t="s">
        <v>8</v>
      </c>
      <c r="B1138" s="7" t="s">
        <v>13</v>
      </c>
      <c r="C1138" s="7" t="s">
        <v>1535</v>
      </c>
      <c r="D1138" s="7">
        <v>1.71745573</v>
      </c>
      <c r="E1138" s="7">
        <v>2.47806484</v>
      </c>
      <c r="F1138" s="9" t="str">
        <f t="shared" si="6"/>
        <v>Direct</v>
      </c>
      <c r="G1138" s="7" t="s">
        <v>11</v>
      </c>
    </row>
    <row r="1139" spans="1:7" x14ac:dyDescent="0.2">
      <c r="A1139" s="6" t="s">
        <v>8</v>
      </c>
      <c r="B1139" s="7" t="s">
        <v>13</v>
      </c>
      <c r="C1139" s="7" t="s">
        <v>1536</v>
      </c>
      <c r="D1139" s="7">
        <v>-2.4634504000000002</v>
      </c>
      <c r="E1139" s="7">
        <v>-2.9818384999999998</v>
      </c>
      <c r="F1139" s="9" t="str">
        <f t="shared" si="6"/>
        <v>Direct</v>
      </c>
      <c r="G1139" s="7" t="s">
        <v>401</v>
      </c>
    </row>
    <row r="1140" spans="1:7" x14ac:dyDescent="0.2">
      <c r="A1140" s="6" t="s">
        <v>8</v>
      </c>
      <c r="B1140" s="7" t="s">
        <v>13</v>
      </c>
      <c r="C1140" s="7" t="s">
        <v>1537</v>
      </c>
      <c r="D1140" s="7">
        <v>1.9544160800000001</v>
      </c>
      <c r="E1140" s="7">
        <v>3.13273139</v>
      </c>
      <c r="F1140" s="9" t="str">
        <f t="shared" si="6"/>
        <v>Direct</v>
      </c>
      <c r="G1140" s="7" t="s">
        <v>1538</v>
      </c>
    </row>
    <row r="1141" spans="1:7" x14ac:dyDescent="0.2">
      <c r="A1141" s="6" t="s">
        <v>8</v>
      </c>
      <c r="B1141" s="7" t="s">
        <v>13</v>
      </c>
      <c r="C1141" s="7" t="s">
        <v>1539</v>
      </c>
      <c r="D1141" s="7">
        <v>-1.1838645999999999</v>
      </c>
      <c r="E1141" s="7">
        <v>-2.4323366000000002</v>
      </c>
      <c r="F1141" s="9" t="str">
        <f t="shared" si="6"/>
        <v>Direct</v>
      </c>
      <c r="G1141" s="7" t="s">
        <v>1540</v>
      </c>
    </row>
    <row r="1142" spans="1:7" x14ac:dyDescent="0.2">
      <c r="A1142" s="6" t="s">
        <v>8</v>
      </c>
      <c r="B1142" s="7" t="s">
        <v>13</v>
      </c>
      <c r="C1142" s="7" t="s">
        <v>1541</v>
      </c>
      <c r="D1142" s="7">
        <v>-1.5422567</v>
      </c>
      <c r="E1142" s="7">
        <v>-4.2227275000000004</v>
      </c>
      <c r="F1142" s="9" t="str">
        <f t="shared" si="6"/>
        <v>Direct</v>
      </c>
      <c r="G1142" s="7" t="s">
        <v>1542</v>
      </c>
    </row>
    <row r="1143" spans="1:7" x14ac:dyDescent="0.2">
      <c r="A1143" s="6" t="s">
        <v>8</v>
      </c>
      <c r="B1143" s="7" t="s">
        <v>13</v>
      </c>
      <c r="C1143" s="7" t="s">
        <v>1543</v>
      </c>
      <c r="D1143" s="7">
        <v>-1.5670139000000001</v>
      </c>
      <c r="E1143" s="7">
        <v>-2.3865213000000001</v>
      </c>
      <c r="F1143" s="9" t="str">
        <f t="shared" si="6"/>
        <v>Direct</v>
      </c>
      <c r="G1143" s="7" t="s">
        <v>11</v>
      </c>
    </row>
    <row r="1144" spans="1:7" x14ac:dyDescent="0.2">
      <c r="A1144" s="6" t="s">
        <v>8</v>
      </c>
      <c r="B1144" s="7" t="s">
        <v>13</v>
      </c>
      <c r="C1144" s="7" t="s">
        <v>1544</v>
      </c>
      <c r="D1144" s="7">
        <v>2.1331708900000002</v>
      </c>
      <c r="E1144" s="7">
        <v>3.7522157699999998</v>
      </c>
      <c r="F1144" s="9" t="str">
        <f t="shared" si="6"/>
        <v>Direct</v>
      </c>
      <c r="G1144" s="7" t="s">
        <v>11</v>
      </c>
    </row>
    <row r="1145" spans="1:7" x14ac:dyDescent="0.2">
      <c r="A1145" s="6" t="s">
        <v>8</v>
      </c>
      <c r="B1145" s="7" t="s">
        <v>13</v>
      </c>
      <c r="C1145" s="7" t="s">
        <v>1545</v>
      </c>
      <c r="D1145" s="7">
        <v>1.6488222100000001</v>
      </c>
      <c r="E1145" s="7">
        <v>1.7184877599999999</v>
      </c>
      <c r="F1145" s="9" t="str">
        <f t="shared" si="6"/>
        <v>Direct</v>
      </c>
      <c r="G1145" s="7" t="s">
        <v>11</v>
      </c>
    </row>
    <row r="1146" spans="1:7" x14ac:dyDescent="0.2">
      <c r="A1146" s="6" t="s">
        <v>8</v>
      </c>
      <c r="B1146" s="7" t="s">
        <v>13</v>
      </c>
      <c r="C1146" s="7" t="s">
        <v>1546</v>
      </c>
      <c r="D1146" s="7">
        <v>1.4794113099999999</v>
      </c>
      <c r="E1146" s="7">
        <v>1.4327511900000001</v>
      </c>
      <c r="F1146" s="9" t="str">
        <f t="shared" si="6"/>
        <v>Direct</v>
      </c>
      <c r="G1146" s="7" t="s">
        <v>1547</v>
      </c>
    </row>
    <row r="1147" spans="1:7" x14ac:dyDescent="0.2">
      <c r="A1147" s="6" t="s">
        <v>8</v>
      </c>
      <c r="B1147" s="7" t="s">
        <v>13</v>
      </c>
      <c r="C1147" s="7" t="s">
        <v>1548</v>
      </c>
      <c r="D1147" s="7">
        <v>1.0127523300000001</v>
      </c>
      <c r="E1147" s="7">
        <v>1.9405288300000001</v>
      </c>
      <c r="F1147" s="9" t="str">
        <f t="shared" si="6"/>
        <v>Direct</v>
      </c>
      <c r="G1147" s="7" t="s">
        <v>11</v>
      </c>
    </row>
    <row r="1148" spans="1:7" x14ac:dyDescent="0.2">
      <c r="A1148" s="6" t="s">
        <v>8</v>
      </c>
      <c r="B1148" s="7" t="s">
        <v>13</v>
      </c>
      <c r="C1148" s="7" t="s">
        <v>349</v>
      </c>
      <c r="D1148" s="7">
        <v>-1.1459634000000001</v>
      </c>
      <c r="E1148" s="7">
        <v>-3.0864785000000001</v>
      </c>
      <c r="F1148" s="9" t="str">
        <f t="shared" si="6"/>
        <v>Direct</v>
      </c>
      <c r="G1148" s="7" t="s">
        <v>11</v>
      </c>
    </row>
    <row r="1149" spans="1:7" x14ac:dyDescent="0.2">
      <c r="A1149" s="6" t="s">
        <v>8</v>
      </c>
      <c r="B1149" s="7" t="s">
        <v>13</v>
      </c>
      <c r="C1149" s="7" t="s">
        <v>1549</v>
      </c>
      <c r="D1149" s="7">
        <v>-2.2131134000000001</v>
      </c>
      <c r="E1149" s="7">
        <v>-2.3199706999999998</v>
      </c>
      <c r="F1149" s="9" t="str">
        <f t="shared" si="6"/>
        <v>Direct</v>
      </c>
      <c r="G1149" s="7" t="s">
        <v>11</v>
      </c>
    </row>
    <row r="1150" spans="1:7" x14ac:dyDescent="0.2">
      <c r="A1150" s="6" t="s">
        <v>8</v>
      </c>
      <c r="B1150" s="7" t="s">
        <v>13</v>
      </c>
      <c r="C1150" s="7" t="s">
        <v>1550</v>
      </c>
      <c r="D1150" s="7">
        <v>-1.4510297999999999</v>
      </c>
      <c r="E1150" s="7">
        <v>-1.7323109999999999</v>
      </c>
      <c r="F1150" s="9" t="str">
        <f t="shared" si="6"/>
        <v>Direct</v>
      </c>
      <c r="G1150" s="7" t="s">
        <v>11</v>
      </c>
    </row>
    <row r="1151" spans="1:7" x14ac:dyDescent="0.2">
      <c r="A1151" s="6" t="s">
        <v>8</v>
      </c>
      <c r="B1151" s="7" t="s">
        <v>13</v>
      </c>
      <c r="C1151" s="7" t="s">
        <v>1551</v>
      </c>
      <c r="D1151" s="7">
        <v>1.5349455000000001</v>
      </c>
      <c r="E1151" s="7">
        <v>1.4309797099999999</v>
      </c>
      <c r="F1151" s="9" t="str">
        <f t="shared" si="6"/>
        <v>Direct</v>
      </c>
      <c r="G1151" s="7" t="s">
        <v>1552</v>
      </c>
    </row>
    <row r="1152" spans="1:7" x14ac:dyDescent="0.2">
      <c r="A1152" s="6" t="s">
        <v>8</v>
      </c>
      <c r="B1152" s="7" t="s">
        <v>13</v>
      </c>
      <c r="C1152" s="7" t="s">
        <v>1553</v>
      </c>
      <c r="D1152" s="7">
        <v>2.4034810000000002</v>
      </c>
      <c r="E1152" s="7">
        <v>2.0894142000000002</v>
      </c>
      <c r="F1152" s="9" t="str">
        <f t="shared" si="6"/>
        <v>Direct</v>
      </c>
      <c r="G1152" s="7" t="s">
        <v>11</v>
      </c>
    </row>
    <row r="1153" spans="1:7" x14ac:dyDescent="0.2">
      <c r="A1153" s="6" t="s">
        <v>8</v>
      </c>
      <c r="B1153" s="7" t="s">
        <v>13</v>
      </c>
      <c r="C1153" s="7" t="s">
        <v>1554</v>
      </c>
      <c r="D1153" s="7">
        <v>-1.4704611999999999</v>
      </c>
      <c r="E1153" s="7">
        <v>-1.9752892</v>
      </c>
      <c r="F1153" s="9" t="str">
        <f t="shared" si="6"/>
        <v>Direct</v>
      </c>
      <c r="G1153" s="7" t="s">
        <v>1555</v>
      </c>
    </row>
    <row r="1154" spans="1:7" x14ac:dyDescent="0.2">
      <c r="A1154" s="6" t="s">
        <v>8</v>
      </c>
      <c r="B1154" s="7" t="s">
        <v>13</v>
      </c>
      <c r="C1154" s="7" t="s">
        <v>1556</v>
      </c>
      <c r="D1154" s="7">
        <v>2.2336497400000002</v>
      </c>
      <c r="E1154" s="7">
        <v>2.6126934300000002</v>
      </c>
      <c r="F1154" s="9" t="str">
        <f t="shared" si="6"/>
        <v>Direct</v>
      </c>
      <c r="G1154" s="7" t="s">
        <v>1557</v>
      </c>
    </row>
    <row r="1155" spans="1:7" x14ac:dyDescent="0.2">
      <c r="A1155" s="6" t="s">
        <v>8</v>
      </c>
      <c r="B1155" s="7" t="s">
        <v>13</v>
      </c>
      <c r="C1155" s="7" t="s">
        <v>1558</v>
      </c>
      <c r="D1155" s="7">
        <v>1.85229746</v>
      </c>
      <c r="E1155" s="7">
        <v>2.4853020199999998</v>
      </c>
      <c r="F1155" s="9" t="str">
        <f t="shared" si="6"/>
        <v>Direct</v>
      </c>
      <c r="G1155" s="7" t="s">
        <v>11</v>
      </c>
    </row>
    <row r="1156" spans="1:7" x14ac:dyDescent="0.2">
      <c r="A1156" s="6" t="s">
        <v>8</v>
      </c>
      <c r="B1156" s="7" t="s">
        <v>13</v>
      </c>
      <c r="C1156" s="7" t="s">
        <v>352</v>
      </c>
      <c r="D1156" s="7">
        <v>3.1505819399999999</v>
      </c>
      <c r="E1156" s="7">
        <v>3.44243451</v>
      </c>
      <c r="F1156" s="9" t="str">
        <f t="shared" si="6"/>
        <v>Direct</v>
      </c>
      <c r="G1156" s="7" t="s">
        <v>11</v>
      </c>
    </row>
    <row r="1157" spans="1:7" x14ac:dyDescent="0.2">
      <c r="A1157" s="6" t="s">
        <v>8</v>
      </c>
      <c r="B1157" s="7" t="s">
        <v>13</v>
      </c>
      <c r="C1157" s="7" t="s">
        <v>1559</v>
      </c>
      <c r="D1157" s="7">
        <v>1.8310436999999999</v>
      </c>
      <c r="E1157" s="7">
        <v>3.68608373</v>
      </c>
      <c r="F1157" s="9" t="str">
        <f t="shared" si="6"/>
        <v>Direct</v>
      </c>
      <c r="G1157" s="7" t="s">
        <v>1560</v>
      </c>
    </row>
    <row r="1158" spans="1:7" x14ac:dyDescent="0.2">
      <c r="A1158" s="6" t="s">
        <v>8</v>
      </c>
      <c r="B1158" s="7" t="s">
        <v>13</v>
      </c>
      <c r="C1158" s="7" t="s">
        <v>1561</v>
      </c>
      <c r="D1158" s="7">
        <v>1.0651548</v>
      </c>
      <c r="E1158" s="7">
        <v>1.3425297700000001</v>
      </c>
      <c r="F1158" s="9" t="str">
        <f t="shared" si="6"/>
        <v>Direct</v>
      </c>
      <c r="G1158" s="7" t="s">
        <v>11</v>
      </c>
    </row>
    <row r="1159" spans="1:7" x14ac:dyDescent="0.2">
      <c r="A1159" s="6" t="s">
        <v>8</v>
      </c>
      <c r="B1159" s="7" t="s">
        <v>13</v>
      </c>
      <c r="C1159" s="7" t="s">
        <v>355</v>
      </c>
      <c r="D1159" s="7">
        <v>2.6880253999999999</v>
      </c>
      <c r="E1159" s="7">
        <v>2.7213463500000001</v>
      </c>
      <c r="F1159" s="9" t="str">
        <f t="shared" si="6"/>
        <v>Direct</v>
      </c>
      <c r="G1159" s="7" t="s">
        <v>356</v>
      </c>
    </row>
    <row r="1160" spans="1:7" x14ac:dyDescent="0.2">
      <c r="A1160" s="6" t="s">
        <v>8</v>
      </c>
      <c r="B1160" s="7" t="s">
        <v>13</v>
      </c>
      <c r="C1160" s="7" t="s">
        <v>1562</v>
      </c>
      <c r="D1160" s="7">
        <v>2.3267220499999999</v>
      </c>
      <c r="E1160" s="7">
        <v>6.75615319</v>
      </c>
      <c r="F1160" s="9" t="str">
        <f t="shared" si="6"/>
        <v>Direct</v>
      </c>
      <c r="G1160" s="7" t="s">
        <v>1563</v>
      </c>
    </row>
    <row r="1161" spans="1:7" x14ac:dyDescent="0.2">
      <c r="A1161" s="6" t="s">
        <v>8</v>
      </c>
      <c r="B1161" s="7" t="s">
        <v>13</v>
      </c>
      <c r="C1161" s="7" t="s">
        <v>366</v>
      </c>
      <c r="D1161" s="7">
        <v>4.1399814900000003</v>
      </c>
      <c r="E1161" s="7">
        <v>8.0515123800000001</v>
      </c>
      <c r="F1161" s="9" t="str">
        <f t="shared" si="6"/>
        <v>Direct</v>
      </c>
      <c r="G1161" s="7" t="s">
        <v>11</v>
      </c>
    </row>
    <row r="1162" spans="1:7" x14ac:dyDescent="0.2">
      <c r="A1162" s="6" t="s">
        <v>8</v>
      </c>
      <c r="B1162" s="7" t="s">
        <v>13</v>
      </c>
      <c r="C1162" s="7" t="s">
        <v>1564</v>
      </c>
      <c r="D1162" s="7">
        <v>-2.1690200000000002</v>
      </c>
      <c r="E1162" s="7">
        <v>-1.8705304</v>
      </c>
      <c r="F1162" s="9" t="str">
        <f t="shared" si="6"/>
        <v>Direct</v>
      </c>
      <c r="G1162" s="7" t="s">
        <v>11</v>
      </c>
    </row>
    <row r="1163" spans="1:7" x14ac:dyDescent="0.2">
      <c r="A1163" s="6" t="s">
        <v>8</v>
      </c>
      <c r="B1163" s="7" t="s">
        <v>13</v>
      </c>
      <c r="C1163" s="7" t="s">
        <v>1565</v>
      </c>
      <c r="D1163" s="7">
        <v>-2.2841562</v>
      </c>
      <c r="E1163" s="7">
        <v>-3.0211739999999998</v>
      </c>
      <c r="F1163" s="9" t="str">
        <f t="shared" si="6"/>
        <v>Direct</v>
      </c>
      <c r="G1163" s="7" t="s">
        <v>1566</v>
      </c>
    </row>
    <row r="1164" spans="1:7" x14ac:dyDescent="0.2">
      <c r="A1164" s="6" t="s">
        <v>8</v>
      </c>
      <c r="B1164" s="7" t="s">
        <v>13</v>
      </c>
      <c r="C1164" s="7" t="s">
        <v>1567</v>
      </c>
      <c r="D1164" s="7">
        <v>-1.3906997999999999</v>
      </c>
      <c r="E1164" s="7">
        <v>-5.9525398000000003</v>
      </c>
      <c r="F1164" s="9" t="str">
        <f t="shared" si="6"/>
        <v>Direct</v>
      </c>
      <c r="G1164" s="7" t="s">
        <v>11</v>
      </c>
    </row>
    <row r="1165" spans="1:7" x14ac:dyDescent="0.2">
      <c r="A1165" s="6" t="s">
        <v>8</v>
      </c>
      <c r="B1165" s="7" t="s">
        <v>13</v>
      </c>
      <c r="C1165" s="7" t="s">
        <v>1568</v>
      </c>
      <c r="D1165" s="7">
        <v>1.80040811</v>
      </c>
      <c r="E1165" s="7">
        <v>7.2136457800000002</v>
      </c>
      <c r="F1165" s="9" t="str">
        <f t="shared" si="6"/>
        <v>Direct</v>
      </c>
      <c r="G1165" s="7" t="s">
        <v>11</v>
      </c>
    </row>
    <row r="1166" spans="1:7" x14ac:dyDescent="0.2">
      <c r="A1166" s="6" t="s">
        <v>8</v>
      </c>
      <c r="B1166" s="7" t="s">
        <v>13</v>
      </c>
      <c r="C1166" s="7" t="s">
        <v>1569</v>
      </c>
      <c r="D1166" s="7">
        <v>1.27062341</v>
      </c>
      <c r="E1166" s="7">
        <v>4.02418225</v>
      </c>
      <c r="F1166" s="9" t="str">
        <f t="shared" si="6"/>
        <v>Direct</v>
      </c>
      <c r="G1166" s="7" t="s">
        <v>1570</v>
      </c>
    </row>
    <row r="1167" spans="1:7" x14ac:dyDescent="0.2">
      <c r="A1167" s="6" t="s">
        <v>8</v>
      </c>
      <c r="B1167" s="7" t="s">
        <v>13</v>
      </c>
      <c r="C1167" s="7" t="s">
        <v>1571</v>
      </c>
      <c r="D1167" s="7">
        <v>-1.4359601</v>
      </c>
      <c r="E1167" s="7">
        <v>-1.3187669</v>
      </c>
      <c r="F1167" s="9" t="str">
        <f t="shared" si="6"/>
        <v>Direct</v>
      </c>
      <c r="G1167" s="7" t="s">
        <v>1383</v>
      </c>
    </row>
    <row r="1168" spans="1:7" x14ac:dyDescent="0.2">
      <c r="A1168" s="6" t="s">
        <v>8</v>
      </c>
      <c r="B1168" s="7" t="s">
        <v>13</v>
      </c>
      <c r="C1168" s="7" t="s">
        <v>1572</v>
      </c>
      <c r="D1168" s="7">
        <v>1.1938638399999999</v>
      </c>
      <c r="E1168" s="7">
        <v>1.54270178</v>
      </c>
      <c r="F1168" s="9" t="str">
        <f t="shared" si="6"/>
        <v>Direct</v>
      </c>
      <c r="G1168" s="7" t="s">
        <v>1573</v>
      </c>
    </row>
    <row r="1169" spans="1:7" x14ac:dyDescent="0.2">
      <c r="A1169" s="6" t="s">
        <v>8</v>
      </c>
      <c r="B1169" s="7" t="s">
        <v>13</v>
      </c>
      <c r="C1169" s="7" t="s">
        <v>1574</v>
      </c>
      <c r="D1169" s="7">
        <v>-1.5002803</v>
      </c>
      <c r="E1169" s="7">
        <v>-5.1245286999999999</v>
      </c>
      <c r="F1169" s="9" t="str">
        <f t="shared" si="6"/>
        <v>Direct</v>
      </c>
      <c r="G1169" s="7" t="s">
        <v>11</v>
      </c>
    </row>
    <row r="1170" spans="1:7" x14ac:dyDescent="0.2">
      <c r="A1170" s="6" t="s">
        <v>8</v>
      </c>
      <c r="B1170" s="7" t="s">
        <v>13</v>
      </c>
      <c r="C1170" s="7" t="s">
        <v>1575</v>
      </c>
      <c r="D1170" s="7">
        <v>-3.5587789000000001</v>
      </c>
      <c r="E1170" s="7">
        <v>-1.8840319000000001</v>
      </c>
      <c r="F1170" s="9" t="str">
        <f t="shared" si="6"/>
        <v>Direct</v>
      </c>
      <c r="G1170" s="7" t="s">
        <v>11</v>
      </c>
    </row>
    <row r="1171" spans="1:7" x14ac:dyDescent="0.2">
      <c r="A1171" s="6" t="s">
        <v>8</v>
      </c>
      <c r="B1171" s="7" t="s">
        <v>13</v>
      </c>
      <c r="C1171" s="7" t="s">
        <v>1576</v>
      </c>
      <c r="D1171" s="7">
        <v>-1.3257644</v>
      </c>
      <c r="E1171" s="7">
        <v>-1.0148767999999999</v>
      </c>
      <c r="F1171" s="9" t="str">
        <f t="shared" si="6"/>
        <v>Direct</v>
      </c>
      <c r="G1171" s="7" t="s">
        <v>11</v>
      </c>
    </row>
    <row r="1172" spans="1:7" x14ac:dyDescent="0.2">
      <c r="A1172" s="6" t="s">
        <v>8</v>
      </c>
      <c r="B1172" s="7" t="s">
        <v>13</v>
      </c>
      <c r="C1172" s="7" t="s">
        <v>1577</v>
      </c>
      <c r="D1172" s="7">
        <v>1.92920984</v>
      </c>
      <c r="E1172" s="7">
        <v>1.0672111399999999</v>
      </c>
      <c r="F1172" s="9" t="str">
        <f t="shared" si="6"/>
        <v>Direct</v>
      </c>
      <c r="G1172" s="7" t="s">
        <v>11</v>
      </c>
    </row>
    <row r="1173" spans="1:7" x14ac:dyDescent="0.2">
      <c r="A1173" s="6" t="s">
        <v>8</v>
      </c>
      <c r="B1173" s="7" t="s">
        <v>13</v>
      </c>
      <c r="C1173" s="7" t="s">
        <v>1578</v>
      </c>
      <c r="D1173" s="7">
        <v>1.28702988</v>
      </c>
      <c r="E1173" s="7">
        <v>3.4876894599999999</v>
      </c>
      <c r="F1173" s="9" t="str">
        <f t="shared" si="6"/>
        <v>Direct</v>
      </c>
      <c r="G1173" s="7" t="s">
        <v>11</v>
      </c>
    </row>
    <row r="1174" spans="1:7" x14ac:dyDescent="0.2">
      <c r="A1174" s="6" t="s">
        <v>8</v>
      </c>
      <c r="B1174" s="7" t="s">
        <v>13</v>
      </c>
      <c r="C1174" s="7" t="s">
        <v>380</v>
      </c>
      <c r="D1174" s="7">
        <v>1.27471417</v>
      </c>
      <c r="E1174" s="7">
        <v>2.3020738399999998</v>
      </c>
      <c r="F1174" s="9" t="str">
        <f t="shared" si="6"/>
        <v>Direct</v>
      </c>
      <c r="G1174" s="7" t="s">
        <v>381</v>
      </c>
    </row>
    <row r="1175" spans="1:7" x14ac:dyDescent="0.2">
      <c r="A1175" s="6" t="s">
        <v>8</v>
      </c>
      <c r="B1175" s="7" t="s">
        <v>13</v>
      </c>
      <c r="C1175" s="7" t="s">
        <v>382</v>
      </c>
      <c r="D1175" s="7">
        <v>-1.4704611999999999</v>
      </c>
      <c r="E1175" s="7">
        <v>-1.8384297000000001</v>
      </c>
      <c r="F1175" s="9" t="str">
        <f t="shared" si="6"/>
        <v>Direct</v>
      </c>
      <c r="G1175" s="7" t="s">
        <v>11</v>
      </c>
    </row>
    <row r="1176" spans="1:7" x14ac:dyDescent="0.2">
      <c r="A1176" s="6" t="s">
        <v>8</v>
      </c>
      <c r="B1176" s="7" t="s">
        <v>13</v>
      </c>
      <c r="C1176" s="7" t="s">
        <v>386</v>
      </c>
      <c r="D1176" s="7">
        <v>1.48173932</v>
      </c>
      <c r="E1176" s="7">
        <v>4.1097910500000001</v>
      </c>
      <c r="F1176" s="9" t="str">
        <f t="shared" si="6"/>
        <v>Direct</v>
      </c>
      <c r="G1176" s="7" t="s">
        <v>11</v>
      </c>
    </row>
    <row r="1177" spans="1:7" x14ac:dyDescent="0.2">
      <c r="A1177" s="6" t="s">
        <v>8</v>
      </c>
      <c r="B1177" s="7" t="s">
        <v>13</v>
      </c>
      <c r="C1177" s="7" t="s">
        <v>1579</v>
      </c>
      <c r="D1177" s="7">
        <v>-1.9876832</v>
      </c>
      <c r="E1177" s="7">
        <v>-4.7332052999999998</v>
      </c>
      <c r="F1177" s="9" t="str">
        <f t="shared" si="6"/>
        <v>Direct</v>
      </c>
      <c r="G1177" s="7" t="s">
        <v>11</v>
      </c>
    </row>
    <row r="1178" spans="1:7" x14ac:dyDescent="0.2">
      <c r="A1178" s="6" t="s">
        <v>8</v>
      </c>
      <c r="B1178" s="7" t="s">
        <v>13</v>
      </c>
      <c r="C1178" s="7" t="s">
        <v>1580</v>
      </c>
      <c r="D1178" s="7">
        <v>-1.461112</v>
      </c>
      <c r="E1178" s="7">
        <v>-3.1346763000000002</v>
      </c>
      <c r="F1178" s="9" t="str">
        <f t="shared" si="6"/>
        <v>Direct</v>
      </c>
      <c r="G1178" s="7" t="s">
        <v>11</v>
      </c>
    </row>
    <row r="1179" spans="1:7" x14ac:dyDescent="0.2">
      <c r="A1179" s="6" t="s">
        <v>8</v>
      </c>
      <c r="B1179" s="7" t="s">
        <v>13</v>
      </c>
      <c r="C1179" s="7" t="s">
        <v>389</v>
      </c>
      <c r="D1179" s="7">
        <v>1.78600205</v>
      </c>
      <c r="E1179" s="7">
        <v>1.7869305</v>
      </c>
      <c r="F1179" s="9" t="str">
        <f t="shared" si="6"/>
        <v>Direct</v>
      </c>
      <c r="G1179" s="7" t="s">
        <v>11</v>
      </c>
    </row>
    <row r="1180" spans="1:7" x14ac:dyDescent="0.2">
      <c r="A1180" s="6" t="s">
        <v>8</v>
      </c>
      <c r="B1180" s="7" t="s">
        <v>13</v>
      </c>
      <c r="C1180" s="7" t="s">
        <v>1581</v>
      </c>
      <c r="D1180" s="7">
        <v>-1.3416248</v>
      </c>
      <c r="E1180" s="7">
        <v>-1.5276539</v>
      </c>
      <c r="F1180" s="9" t="str">
        <f t="shared" si="6"/>
        <v>Direct</v>
      </c>
      <c r="G1180" s="7" t="s">
        <v>1582</v>
      </c>
    </row>
    <row r="1181" spans="1:7" x14ac:dyDescent="0.2">
      <c r="A1181" s="6" t="s">
        <v>8</v>
      </c>
      <c r="B1181" s="7" t="s">
        <v>13</v>
      </c>
      <c r="C1181" s="7" t="s">
        <v>1583</v>
      </c>
      <c r="D1181" s="7">
        <v>1.0391944500000001</v>
      </c>
      <c r="E1181" s="7">
        <v>2.6718415700000002</v>
      </c>
      <c r="F1181" s="9" t="str">
        <f t="shared" si="6"/>
        <v>Direct</v>
      </c>
      <c r="G1181" s="7" t="s">
        <v>11</v>
      </c>
    </row>
    <row r="1182" spans="1:7" x14ac:dyDescent="0.2">
      <c r="A1182" s="6" t="s">
        <v>8</v>
      </c>
      <c r="B1182" s="7" t="s">
        <v>13</v>
      </c>
      <c r="C1182" s="7" t="s">
        <v>391</v>
      </c>
      <c r="D1182" s="7">
        <v>-2.0967832</v>
      </c>
      <c r="E1182" s="7">
        <v>-1.9272537999999999</v>
      </c>
      <c r="F1182" s="9" t="str">
        <f t="shared" si="6"/>
        <v>Direct</v>
      </c>
      <c r="G1182" s="7" t="s">
        <v>106</v>
      </c>
    </row>
    <row r="1183" spans="1:7" x14ac:dyDescent="0.2">
      <c r="A1183" s="6" t="s">
        <v>8</v>
      </c>
      <c r="B1183" s="7" t="s">
        <v>13</v>
      </c>
      <c r="C1183" s="7" t="s">
        <v>1584</v>
      </c>
      <c r="D1183" s="7">
        <v>1.68020243</v>
      </c>
      <c r="E1183" s="7">
        <v>2.27328785</v>
      </c>
      <c r="F1183" s="9" t="str">
        <f t="shared" si="6"/>
        <v>Direct</v>
      </c>
      <c r="G1183" s="7" t="s">
        <v>1585</v>
      </c>
    </row>
    <row r="1184" spans="1:7" x14ac:dyDescent="0.2">
      <c r="A1184" s="6" t="s">
        <v>8</v>
      </c>
      <c r="B1184" s="7" t="s">
        <v>13</v>
      </c>
      <c r="C1184" s="7" t="s">
        <v>395</v>
      </c>
      <c r="D1184" s="7">
        <v>-2.3267220000000002</v>
      </c>
      <c r="E1184" s="7">
        <v>-6.9438556</v>
      </c>
      <c r="F1184" s="9" t="str">
        <f t="shared" si="6"/>
        <v>Direct</v>
      </c>
      <c r="G1184" s="7" t="s">
        <v>11</v>
      </c>
    </row>
    <row r="1185" spans="1:7" x14ac:dyDescent="0.2">
      <c r="A1185" s="6" t="s">
        <v>8</v>
      </c>
      <c r="B1185" s="7" t="s">
        <v>13</v>
      </c>
      <c r="C1185" s="7" t="s">
        <v>396</v>
      </c>
      <c r="D1185" s="7">
        <v>-1.0621358999999999</v>
      </c>
      <c r="E1185" s="7">
        <v>-4.1028326000000002</v>
      </c>
      <c r="F1185" s="9" t="str">
        <f t="shared" si="6"/>
        <v>Direct</v>
      </c>
      <c r="G1185" s="7" t="s">
        <v>11</v>
      </c>
    </row>
    <row r="1186" spans="1:7" x14ac:dyDescent="0.2">
      <c r="A1186" s="6" t="s">
        <v>8</v>
      </c>
      <c r="B1186" s="7" t="s">
        <v>13</v>
      </c>
      <c r="C1186" s="7" t="s">
        <v>1586</v>
      </c>
      <c r="D1186" s="7">
        <v>-1.3155269999999999</v>
      </c>
      <c r="E1186" s="7">
        <v>-1.3770859</v>
      </c>
      <c r="F1186" s="9" t="str">
        <f t="shared" si="6"/>
        <v>Direct</v>
      </c>
      <c r="G1186" s="7" t="s">
        <v>11</v>
      </c>
    </row>
    <row r="1187" spans="1:7" x14ac:dyDescent="0.2">
      <c r="A1187" s="6" t="s">
        <v>8</v>
      </c>
      <c r="B1187" s="7" t="s">
        <v>13</v>
      </c>
      <c r="C1187" s="7" t="s">
        <v>1587</v>
      </c>
      <c r="D1187" s="7">
        <v>-1.2434282000000001</v>
      </c>
      <c r="E1187" s="7">
        <v>-5.1699833000000002</v>
      </c>
      <c r="F1187" s="9" t="str">
        <f t="shared" si="6"/>
        <v>Direct</v>
      </c>
      <c r="G1187" s="7" t="s">
        <v>11</v>
      </c>
    </row>
    <row r="1188" spans="1:7" x14ac:dyDescent="0.2">
      <c r="A1188" s="6" t="s">
        <v>8</v>
      </c>
      <c r="B1188" s="7" t="s">
        <v>13</v>
      </c>
      <c r="C1188" s="7" t="s">
        <v>1588</v>
      </c>
      <c r="D1188" s="7">
        <v>-2.2336497</v>
      </c>
      <c r="E1188" s="7">
        <v>-4.1306463000000004</v>
      </c>
      <c r="F1188" s="9" t="str">
        <f t="shared" si="6"/>
        <v>Direct</v>
      </c>
      <c r="G1188" s="7" t="s">
        <v>11</v>
      </c>
    </row>
    <row r="1189" spans="1:7" x14ac:dyDescent="0.2">
      <c r="A1189" s="6" t="s">
        <v>8</v>
      </c>
      <c r="B1189" s="7" t="s">
        <v>13</v>
      </c>
      <c r="C1189" s="7" t="s">
        <v>397</v>
      </c>
      <c r="D1189" s="7">
        <v>1.3299864400000001</v>
      </c>
      <c r="E1189" s="7">
        <v>1.94520724</v>
      </c>
      <c r="F1189" s="9" t="str">
        <f t="shared" si="6"/>
        <v>Direct</v>
      </c>
      <c r="G1189" s="7" t="s">
        <v>11</v>
      </c>
    </row>
    <row r="1190" spans="1:7" x14ac:dyDescent="0.2">
      <c r="A1190" s="6" t="s">
        <v>8</v>
      </c>
      <c r="B1190" s="7" t="s">
        <v>13</v>
      </c>
      <c r="C1190" s="7" t="s">
        <v>1589</v>
      </c>
      <c r="D1190" s="7">
        <v>3.3318745500000002</v>
      </c>
      <c r="E1190" s="7">
        <v>5.1985045400000001</v>
      </c>
      <c r="F1190" s="9" t="str">
        <f t="shared" si="6"/>
        <v>Direct</v>
      </c>
      <c r="G1190" s="7" t="s">
        <v>1590</v>
      </c>
    </row>
    <row r="1191" spans="1:7" x14ac:dyDescent="0.2">
      <c r="A1191" s="6" t="s">
        <v>8</v>
      </c>
      <c r="B1191" s="7" t="s">
        <v>13</v>
      </c>
      <c r="C1191" s="7" t="s">
        <v>398</v>
      </c>
      <c r="D1191" s="7">
        <v>-2.4484094000000001</v>
      </c>
      <c r="E1191" s="7">
        <v>-17.112925000000001</v>
      </c>
      <c r="F1191" s="9" t="str">
        <f t="shared" si="6"/>
        <v>Direct</v>
      </c>
      <c r="G1191" s="7" t="s">
        <v>399</v>
      </c>
    </row>
    <row r="1192" spans="1:7" x14ac:dyDescent="0.2">
      <c r="A1192" s="6" t="s">
        <v>8</v>
      </c>
      <c r="B1192" s="7" t="s">
        <v>13</v>
      </c>
      <c r="C1192" s="7" t="s">
        <v>1591</v>
      </c>
      <c r="D1192" s="7">
        <v>-2.2998561</v>
      </c>
      <c r="E1192" s="7">
        <v>-1.1045723999999999</v>
      </c>
      <c r="F1192" s="9" t="str">
        <f t="shared" si="6"/>
        <v>Direct</v>
      </c>
      <c r="G1192" s="7" t="s">
        <v>1592</v>
      </c>
    </row>
    <row r="1193" spans="1:7" x14ac:dyDescent="0.2">
      <c r="A1193" s="6" t="s">
        <v>8</v>
      </c>
      <c r="B1193" s="7" t="s">
        <v>13</v>
      </c>
      <c r="C1193" s="7" t="s">
        <v>1593</v>
      </c>
      <c r="D1193" s="7">
        <v>1.4177591300000001</v>
      </c>
      <c r="E1193" s="7">
        <v>1.2915329900000001</v>
      </c>
      <c r="F1193" s="9" t="str">
        <f t="shared" si="6"/>
        <v>Direct</v>
      </c>
      <c r="G1193" s="7" t="s">
        <v>1594</v>
      </c>
    </row>
    <row r="1194" spans="1:7" x14ac:dyDescent="0.2">
      <c r="A1194" s="6" t="s">
        <v>8</v>
      </c>
      <c r="B1194" s="7" t="s">
        <v>13</v>
      </c>
      <c r="C1194" s="7" t="s">
        <v>404</v>
      </c>
      <c r="D1194" s="7">
        <v>1.55618064</v>
      </c>
      <c r="E1194" s="7">
        <v>1.05970188</v>
      </c>
      <c r="F1194" s="9" t="str">
        <f t="shared" si="6"/>
        <v>Direct</v>
      </c>
      <c r="G1194" s="7" t="s">
        <v>405</v>
      </c>
    </row>
    <row r="1195" spans="1:7" x14ac:dyDescent="0.2">
      <c r="A1195" s="6" t="s">
        <v>8</v>
      </c>
      <c r="B1195" s="7" t="s">
        <v>13</v>
      </c>
      <c r="C1195" s="7" t="s">
        <v>1595</v>
      </c>
      <c r="D1195" s="7">
        <v>1.7916723400000001</v>
      </c>
      <c r="E1195" s="7">
        <v>3.2187208599999999</v>
      </c>
      <c r="F1195" s="9" t="str">
        <f t="shared" si="6"/>
        <v>Direct</v>
      </c>
      <c r="G1195" s="7" t="s">
        <v>1596</v>
      </c>
    </row>
    <row r="1196" spans="1:7" x14ac:dyDescent="0.2">
      <c r="A1196" s="6" t="s">
        <v>8</v>
      </c>
      <c r="B1196" s="7" t="s">
        <v>13</v>
      </c>
      <c r="C1196" s="7" t="s">
        <v>1597</v>
      </c>
      <c r="D1196" s="7">
        <v>-3.7102054</v>
      </c>
      <c r="E1196" s="7">
        <v>-11.190512999999999</v>
      </c>
      <c r="F1196" s="9" t="str">
        <f t="shared" si="6"/>
        <v>Direct</v>
      </c>
      <c r="G1196" s="7" t="s">
        <v>1598</v>
      </c>
    </row>
    <row r="1197" spans="1:7" x14ac:dyDescent="0.2">
      <c r="A1197" s="6" t="s">
        <v>8</v>
      </c>
      <c r="B1197" s="7" t="s">
        <v>13</v>
      </c>
      <c r="C1197" s="7" t="s">
        <v>1599</v>
      </c>
      <c r="D1197" s="7">
        <v>2.9470174600000001</v>
      </c>
      <c r="E1197" s="7">
        <v>8.1550016700000008</v>
      </c>
      <c r="F1197" s="9" t="str">
        <f t="shared" si="6"/>
        <v>Direct</v>
      </c>
      <c r="G1197" s="7" t="s">
        <v>11</v>
      </c>
    </row>
    <row r="1198" spans="1:7" x14ac:dyDescent="0.2">
      <c r="A1198" s="6" t="s">
        <v>8</v>
      </c>
      <c r="B1198" s="7" t="s">
        <v>13</v>
      </c>
      <c r="C1198" s="7" t="s">
        <v>1600</v>
      </c>
      <c r="D1198" s="7">
        <v>-1.1047172999999999</v>
      </c>
      <c r="E1198" s="7">
        <v>-1.9848372000000001</v>
      </c>
      <c r="F1198" s="9" t="str">
        <f t="shared" si="6"/>
        <v>Direct</v>
      </c>
      <c r="G1198" s="7" t="s">
        <v>11</v>
      </c>
    </row>
    <row r="1199" spans="1:7" x14ac:dyDescent="0.2">
      <c r="A1199" s="6" t="s">
        <v>8</v>
      </c>
      <c r="B1199" s="7" t="s">
        <v>13</v>
      </c>
      <c r="C1199" s="7" t="s">
        <v>1601</v>
      </c>
      <c r="D1199" s="7">
        <v>1.2509085600000001</v>
      </c>
      <c r="E1199" s="7">
        <v>2.5623813800000002</v>
      </c>
      <c r="F1199" s="9" t="str">
        <f t="shared" si="6"/>
        <v>Direct</v>
      </c>
      <c r="G1199" s="7" t="s">
        <v>11</v>
      </c>
    </row>
    <row r="1200" spans="1:7" x14ac:dyDescent="0.2">
      <c r="A1200" s="6" t="s">
        <v>8</v>
      </c>
      <c r="B1200" s="7" t="s">
        <v>13</v>
      </c>
      <c r="C1200" s="7" t="s">
        <v>1602</v>
      </c>
      <c r="D1200" s="7">
        <v>1.7217405800000001</v>
      </c>
      <c r="E1200" s="7">
        <v>4.1309159700000002</v>
      </c>
      <c r="F1200" s="9" t="str">
        <f t="shared" si="6"/>
        <v>Direct</v>
      </c>
      <c r="G1200" s="7" t="s">
        <v>1603</v>
      </c>
    </row>
    <row r="1201" spans="1:7" x14ac:dyDescent="0.2">
      <c r="A1201" s="6" t="s">
        <v>8</v>
      </c>
      <c r="B1201" s="7" t="s">
        <v>13</v>
      </c>
      <c r="C1201" s="7" t="s">
        <v>1604</v>
      </c>
      <c r="D1201" s="7">
        <v>1.15620604</v>
      </c>
      <c r="E1201" s="7">
        <v>1.3614223400000001</v>
      </c>
      <c r="F1201" s="9" t="str">
        <f t="shared" si="6"/>
        <v>Direct</v>
      </c>
      <c r="G1201" s="7" t="s">
        <v>11</v>
      </c>
    </row>
    <row r="1202" spans="1:7" x14ac:dyDescent="0.2">
      <c r="A1202" s="6" t="s">
        <v>8</v>
      </c>
      <c r="B1202" s="7" t="s">
        <v>13</v>
      </c>
      <c r="C1202" s="7" t="s">
        <v>1605</v>
      </c>
      <c r="D1202" s="7">
        <v>1.5648122900000001</v>
      </c>
      <c r="E1202" s="7">
        <v>3.6450122600000001</v>
      </c>
      <c r="F1202" s="9" t="str">
        <f t="shared" si="6"/>
        <v>Direct</v>
      </c>
      <c r="G1202" s="7" t="s">
        <v>276</v>
      </c>
    </row>
    <row r="1203" spans="1:7" x14ac:dyDescent="0.2">
      <c r="A1203" s="6" t="s">
        <v>8</v>
      </c>
      <c r="B1203" s="7" t="s">
        <v>13</v>
      </c>
      <c r="C1203" s="7" t="s">
        <v>1606</v>
      </c>
      <c r="D1203" s="7">
        <v>3.4225901099999998</v>
      </c>
      <c r="E1203" s="7">
        <v>3.4344739899999999</v>
      </c>
      <c r="F1203" s="9" t="str">
        <f t="shared" si="6"/>
        <v>Direct</v>
      </c>
      <c r="G1203" s="7" t="s">
        <v>276</v>
      </c>
    </row>
    <row r="1204" spans="1:7" x14ac:dyDescent="0.2">
      <c r="A1204" s="6" t="s">
        <v>8</v>
      </c>
      <c r="B1204" s="7" t="s">
        <v>13</v>
      </c>
      <c r="C1204" s="7" t="s">
        <v>1607</v>
      </c>
      <c r="D1204" s="7">
        <v>-2.6152481999999999</v>
      </c>
      <c r="E1204" s="7">
        <v>-1.3072874999999999</v>
      </c>
      <c r="F1204" s="9" t="str">
        <f t="shared" si="6"/>
        <v>Direct</v>
      </c>
      <c r="G1204" s="7" t="s">
        <v>401</v>
      </c>
    </row>
    <row r="1205" spans="1:7" x14ac:dyDescent="0.2">
      <c r="A1205" s="6" t="s">
        <v>8</v>
      </c>
      <c r="B1205" s="7" t="s">
        <v>13</v>
      </c>
      <c r="C1205" s="7" t="s">
        <v>1608</v>
      </c>
      <c r="D1205" s="7">
        <v>1.6894477800000001</v>
      </c>
      <c r="E1205" s="7">
        <v>1.08125556</v>
      </c>
      <c r="F1205" s="9" t="str">
        <f t="shared" si="6"/>
        <v>Direct</v>
      </c>
      <c r="G1205" s="7" t="s">
        <v>1609</v>
      </c>
    </row>
    <row r="1206" spans="1:7" x14ac:dyDescent="0.2">
      <c r="A1206" s="6" t="s">
        <v>8</v>
      </c>
      <c r="B1206" s="7" t="s">
        <v>13</v>
      </c>
      <c r="C1206" s="7" t="s">
        <v>1610</v>
      </c>
      <c r="D1206" s="7">
        <v>3.1500562799999998</v>
      </c>
      <c r="E1206" s="7">
        <v>3.3948878800000002</v>
      </c>
      <c r="F1206" s="9" t="str">
        <f t="shared" si="6"/>
        <v>Direct</v>
      </c>
      <c r="G1206" s="7" t="s">
        <v>11</v>
      </c>
    </row>
    <row r="1207" spans="1:7" x14ac:dyDescent="0.2">
      <c r="A1207" s="6" t="s">
        <v>8</v>
      </c>
      <c r="B1207" s="7" t="s">
        <v>13</v>
      </c>
      <c r="C1207" s="7" t="s">
        <v>1611</v>
      </c>
      <c r="D1207" s="7">
        <v>-1.2904537</v>
      </c>
      <c r="E1207" s="7">
        <v>-1.913835</v>
      </c>
      <c r="F1207" s="9" t="str">
        <f t="shared" si="6"/>
        <v>Direct</v>
      </c>
      <c r="G1207" s="7" t="s">
        <v>1612</v>
      </c>
    </row>
    <row r="1208" spans="1:7" x14ac:dyDescent="0.2">
      <c r="A1208" s="6" t="s">
        <v>8</v>
      </c>
      <c r="B1208" s="7" t="s">
        <v>13</v>
      </c>
      <c r="C1208" s="7" t="s">
        <v>1613</v>
      </c>
      <c r="D1208" s="7">
        <v>-1.8294075999999999</v>
      </c>
      <c r="E1208" s="7">
        <v>-2.3821496</v>
      </c>
      <c r="F1208" s="9" t="str">
        <f t="shared" si="6"/>
        <v>Direct</v>
      </c>
      <c r="G1208" s="7" t="s">
        <v>11</v>
      </c>
    </row>
    <row r="1209" spans="1:7" x14ac:dyDescent="0.2">
      <c r="A1209" s="6" t="s">
        <v>8</v>
      </c>
      <c r="B1209" s="7" t="s">
        <v>13</v>
      </c>
      <c r="C1209" s="7" t="s">
        <v>416</v>
      </c>
      <c r="D1209" s="7">
        <v>-6.8839608999999999</v>
      </c>
      <c r="E1209" s="7">
        <v>-2.9527611999999999</v>
      </c>
      <c r="F1209" s="9" t="str">
        <f t="shared" si="6"/>
        <v>Direct</v>
      </c>
      <c r="G1209" s="7" t="s">
        <v>11</v>
      </c>
    </row>
    <row r="1210" spans="1:7" x14ac:dyDescent="0.2">
      <c r="A1210" s="6" t="s">
        <v>8</v>
      </c>
      <c r="B1210" s="7" t="s">
        <v>13</v>
      </c>
      <c r="C1210" s="7" t="s">
        <v>1614</v>
      </c>
      <c r="D1210" s="7">
        <v>3.4321654599999998</v>
      </c>
      <c r="E1210" s="7">
        <v>9.2045481000000002</v>
      </c>
      <c r="F1210" s="9" t="str">
        <f t="shared" si="6"/>
        <v>Direct</v>
      </c>
      <c r="G1210" s="7" t="s">
        <v>11</v>
      </c>
    </row>
    <row r="1211" spans="1:7" x14ac:dyDescent="0.2">
      <c r="A1211" s="6" t="s">
        <v>8</v>
      </c>
      <c r="B1211" s="7" t="s">
        <v>13</v>
      </c>
      <c r="C1211" s="7" t="s">
        <v>1615</v>
      </c>
      <c r="D1211" s="7">
        <v>1.87291615</v>
      </c>
      <c r="E1211" s="7">
        <v>6.9515534099999998</v>
      </c>
      <c r="F1211" s="9" t="str">
        <f t="shared" si="6"/>
        <v>Direct</v>
      </c>
      <c r="G1211" s="7" t="s">
        <v>1616</v>
      </c>
    </row>
    <row r="1212" spans="1:7" x14ac:dyDescent="0.2">
      <c r="A1212" s="6" t="s">
        <v>8</v>
      </c>
      <c r="B1212" s="7" t="s">
        <v>13</v>
      </c>
      <c r="C1212" s="7" t="s">
        <v>1617</v>
      </c>
      <c r="D1212" s="7">
        <v>2.2296789399999999</v>
      </c>
      <c r="E1212" s="7">
        <v>2.1561367699999998</v>
      </c>
      <c r="F1212" s="9" t="str">
        <f t="shared" si="6"/>
        <v>Direct</v>
      </c>
      <c r="G1212" s="7" t="s">
        <v>1618</v>
      </c>
    </row>
    <row r="1213" spans="1:7" x14ac:dyDescent="0.2">
      <c r="A1213" s="6" t="s">
        <v>8</v>
      </c>
      <c r="B1213" s="7" t="s">
        <v>13</v>
      </c>
      <c r="C1213" s="7" t="s">
        <v>419</v>
      </c>
      <c r="D1213" s="7">
        <v>1.1847062100000001</v>
      </c>
      <c r="E1213" s="7">
        <v>3.7152741200000001</v>
      </c>
      <c r="F1213" s="9" t="str">
        <f t="shared" si="6"/>
        <v>Direct</v>
      </c>
      <c r="G1213" s="7" t="s">
        <v>11</v>
      </c>
    </row>
    <row r="1214" spans="1:7" x14ac:dyDescent="0.2">
      <c r="A1214" s="6" t="s">
        <v>8</v>
      </c>
      <c r="B1214" s="7" t="s">
        <v>13</v>
      </c>
      <c r="C1214" s="7" t="s">
        <v>1619</v>
      </c>
      <c r="D1214" s="7">
        <v>1.3684310799999999</v>
      </c>
      <c r="E1214" s="7">
        <v>2.2310969300000001</v>
      </c>
      <c r="F1214" s="9" t="str">
        <f t="shared" si="6"/>
        <v>Direct</v>
      </c>
      <c r="G1214" s="7" t="s">
        <v>1620</v>
      </c>
    </row>
    <row r="1215" spans="1:7" x14ac:dyDescent="0.2">
      <c r="A1215" s="6" t="s">
        <v>8</v>
      </c>
      <c r="B1215" s="7" t="s">
        <v>13</v>
      </c>
      <c r="C1215" s="7" t="s">
        <v>1621</v>
      </c>
      <c r="D1215" s="7">
        <v>2.2846375000000001</v>
      </c>
      <c r="E1215" s="7">
        <v>1.10982556</v>
      </c>
      <c r="F1215" s="9" t="str">
        <f t="shared" si="6"/>
        <v>Direct</v>
      </c>
      <c r="G1215" s="7" t="s">
        <v>11</v>
      </c>
    </row>
    <row r="1216" spans="1:7" x14ac:dyDescent="0.2">
      <c r="A1216" s="6" t="s">
        <v>8</v>
      </c>
      <c r="B1216" s="7" t="s">
        <v>13</v>
      </c>
      <c r="C1216" s="7" t="s">
        <v>1622</v>
      </c>
      <c r="D1216" s="7">
        <v>2.01026398</v>
      </c>
      <c r="E1216" s="7">
        <v>1.8113948200000001</v>
      </c>
      <c r="F1216" s="9" t="str">
        <f t="shared" si="6"/>
        <v>Direct</v>
      </c>
      <c r="G1216" s="7" t="s">
        <v>11</v>
      </c>
    </row>
    <row r="1217" spans="1:7" x14ac:dyDescent="0.2">
      <c r="A1217" s="6" t="s">
        <v>8</v>
      </c>
      <c r="B1217" s="7" t="s">
        <v>13</v>
      </c>
      <c r="C1217" s="7" t="s">
        <v>1623</v>
      </c>
      <c r="D1217" s="7">
        <v>1.26373738</v>
      </c>
      <c r="E1217" s="7">
        <v>1.49191327</v>
      </c>
      <c r="F1217" s="9" t="str">
        <f t="shared" si="6"/>
        <v>Direct</v>
      </c>
      <c r="G1217" s="7" t="s">
        <v>11</v>
      </c>
    </row>
    <row r="1218" spans="1:7" x14ac:dyDescent="0.2">
      <c r="A1218" s="6" t="s">
        <v>8</v>
      </c>
      <c r="B1218" s="7" t="s">
        <v>13</v>
      </c>
      <c r="C1218" s="7" t="s">
        <v>1624</v>
      </c>
      <c r="D1218" s="7">
        <v>1.0649615100000001</v>
      </c>
      <c r="E1218" s="7">
        <v>6.3973837600000003</v>
      </c>
      <c r="F1218" s="9" t="str">
        <f t="shared" si="6"/>
        <v>Direct</v>
      </c>
      <c r="G1218" s="7" t="s">
        <v>11</v>
      </c>
    </row>
    <row r="1219" spans="1:7" x14ac:dyDescent="0.2">
      <c r="A1219" s="6" t="s">
        <v>8</v>
      </c>
      <c r="B1219" s="7" t="s">
        <v>13</v>
      </c>
      <c r="C1219" s="7" t="s">
        <v>420</v>
      </c>
      <c r="D1219" s="7">
        <v>-1.8198122000000001</v>
      </c>
      <c r="E1219" s="7">
        <v>-4.4029784999999997</v>
      </c>
      <c r="F1219" s="9" t="str">
        <f t="shared" si="6"/>
        <v>Direct</v>
      </c>
      <c r="G1219" s="7" t="s">
        <v>421</v>
      </c>
    </row>
    <row r="1220" spans="1:7" x14ac:dyDescent="0.2">
      <c r="A1220" s="6" t="s">
        <v>8</v>
      </c>
      <c r="B1220" s="7" t="s">
        <v>13</v>
      </c>
      <c r="C1220" s="7" t="s">
        <v>422</v>
      </c>
      <c r="D1220" s="7">
        <v>2.3520782499999999</v>
      </c>
      <c r="E1220" s="7">
        <v>6.2340190599999996</v>
      </c>
      <c r="F1220" s="9" t="str">
        <f t="shared" si="6"/>
        <v>Direct</v>
      </c>
      <c r="G1220" s="7" t="s">
        <v>423</v>
      </c>
    </row>
    <row r="1221" spans="1:7" x14ac:dyDescent="0.2">
      <c r="A1221" s="6" t="s">
        <v>8</v>
      </c>
      <c r="B1221" s="7" t="s">
        <v>13</v>
      </c>
      <c r="C1221" s="7" t="s">
        <v>1625</v>
      </c>
      <c r="D1221" s="7">
        <v>1.78747419</v>
      </c>
      <c r="E1221" s="7">
        <v>1.86450871</v>
      </c>
      <c r="F1221" s="9" t="str">
        <f t="shared" si="6"/>
        <v>Direct</v>
      </c>
      <c r="G1221" s="7" t="s">
        <v>1626</v>
      </c>
    </row>
    <row r="1222" spans="1:7" x14ac:dyDescent="0.2">
      <c r="A1222" s="6" t="s">
        <v>8</v>
      </c>
      <c r="B1222" s="7" t="s">
        <v>13</v>
      </c>
      <c r="C1222" s="7" t="s">
        <v>1627</v>
      </c>
      <c r="D1222" s="7">
        <v>1.47889877</v>
      </c>
      <c r="E1222" s="7">
        <v>1.2622433500000001</v>
      </c>
      <c r="F1222" s="9" t="str">
        <f t="shared" si="6"/>
        <v>Direct</v>
      </c>
      <c r="G1222" s="7" t="s">
        <v>1628</v>
      </c>
    </row>
    <row r="1223" spans="1:7" x14ac:dyDescent="0.2">
      <c r="A1223" s="6" t="s">
        <v>8</v>
      </c>
      <c r="B1223" s="7" t="s">
        <v>13</v>
      </c>
      <c r="C1223" s="7" t="s">
        <v>1629</v>
      </c>
      <c r="D1223" s="7">
        <v>-1.1590415999999999</v>
      </c>
      <c r="E1223" s="7">
        <v>-3.6104813</v>
      </c>
      <c r="F1223" s="9" t="str">
        <f t="shared" si="6"/>
        <v>Direct</v>
      </c>
      <c r="G1223" s="7" t="s">
        <v>360</v>
      </c>
    </row>
    <row r="1224" spans="1:7" x14ac:dyDescent="0.2">
      <c r="A1224" s="6" t="s">
        <v>8</v>
      </c>
      <c r="B1224" s="7" t="s">
        <v>13</v>
      </c>
      <c r="C1224" s="7" t="s">
        <v>1630</v>
      </c>
      <c r="D1224" s="7">
        <v>1.00202126</v>
      </c>
      <c r="E1224" s="7">
        <v>3.02896477</v>
      </c>
      <c r="F1224" s="9" t="str">
        <f t="shared" si="6"/>
        <v>Direct</v>
      </c>
      <c r="G1224" s="7" t="s">
        <v>847</v>
      </c>
    </row>
    <row r="1225" spans="1:7" x14ac:dyDescent="0.2">
      <c r="A1225" s="6" t="s">
        <v>8</v>
      </c>
      <c r="B1225" s="7" t="s">
        <v>13</v>
      </c>
      <c r="C1225" s="7" t="s">
        <v>1631</v>
      </c>
      <c r="D1225" s="7">
        <v>1.1707709100000001</v>
      </c>
      <c r="E1225" s="7">
        <v>4.4620940200000003</v>
      </c>
      <c r="F1225" s="9" t="str">
        <f t="shared" si="6"/>
        <v>Direct</v>
      </c>
      <c r="G1225" s="7" t="s">
        <v>1632</v>
      </c>
    </row>
    <row r="1226" spans="1:7" x14ac:dyDescent="0.2">
      <c r="A1226" s="6" t="s">
        <v>8</v>
      </c>
      <c r="B1226" s="7" t="s">
        <v>13</v>
      </c>
      <c r="C1226" s="7" t="s">
        <v>1633</v>
      </c>
      <c r="D1226" s="7">
        <v>-1.3861528000000001</v>
      </c>
      <c r="E1226" s="7">
        <v>-4.3552337000000003</v>
      </c>
      <c r="F1226" s="9" t="str">
        <f t="shared" si="6"/>
        <v>Direct</v>
      </c>
      <c r="G1226" s="7" t="s">
        <v>1634</v>
      </c>
    </row>
    <row r="1227" spans="1:7" x14ac:dyDescent="0.2">
      <c r="A1227" s="6" t="s">
        <v>8</v>
      </c>
      <c r="B1227" s="7" t="s">
        <v>13</v>
      </c>
      <c r="C1227" s="7" t="s">
        <v>1635</v>
      </c>
      <c r="D1227" s="7">
        <v>-2.7331275000000002</v>
      </c>
      <c r="E1227" s="7">
        <v>-2.9610607</v>
      </c>
      <c r="F1227" s="9" t="str">
        <f t="shared" si="6"/>
        <v>Direct</v>
      </c>
      <c r="G1227" s="7" t="s">
        <v>1636</v>
      </c>
    </row>
    <row r="1228" spans="1:7" x14ac:dyDescent="0.2">
      <c r="A1228" s="6" t="s">
        <v>8</v>
      </c>
      <c r="B1228" s="7" t="s">
        <v>13</v>
      </c>
      <c r="C1228" s="7" t="s">
        <v>1637</v>
      </c>
      <c r="D1228" s="7">
        <v>1.0032213999999999</v>
      </c>
      <c r="E1228" s="7">
        <v>1.35064125</v>
      </c>
      <c r="F1228" s="9" t="str">
        <f t="shared" si="6"/>
        <v>Direct</v>
      </c>
      <c r="G1228" s="7" t="s">
        <v>11</v>
      </c>
    </row>
    <row r="1229" spans="1:7" x14ac:dyDescent="0.2">
      <c r="A1229" s="6" t="s">
        <v>8</v>
      </c>
      <c r="B1229" s="7" t="s">
        <v>13</v>
      </c>
      <c r="C1229" s="7" t="s">
        <v>1638</v>
      </c>
      <c r="D1229" s="7">
        <v>-1.0024664000000001</v>
      </c>
      <c r="E1229" s="7">
        <v>-1.4612798</v>
      </c>
      <c r="F1229" s="9" t="str">
        <f t="shared" si="6"/>
        <v>Direct</v>
      </c>
      <c r="G1229" s="7" t="s">
        <v>1639</v>
      </c>
    </row>
    <row r="1230" spans="1:7" x14ac:dyDescent="0.2">
      <c r="A1230" s="6" t="s">
        <v>8</v>
      </c>
      <c r="B1230" s="7" t="s">
        <v>13</v>
      </c>
      <c r="C1230" s="7" t="s">
        <v>1640</v>
      </c>
      <c r="D1230" s="7">
        <v>1.55618064</v>
      </c>
      <c r="E1230" s="7">
        <v>1.49363585</v>
      </c>
      <c r="F1230" s="9" t="str">
        <f t="shared" si="6"/>
        <v>Direct</v>
      </c>
      <c r="G1230" s="7" t="s">
        <v>11</v>
      </c>
    </row>
    <row r="1231" spans="1:7" x14ac:dyDescent="0.2">
      <c r="A1231" s="6" t="s">
        <v>8</v>
      </c>
      <c r="B1231" s="7" t="s">
        <v>13</v>
      </c>
      <c r="C1231" s="7" t="s">
        <v>1641</v>
      </c>
      <c r="D1231" s="7">
        <v>1.2440026</v>
      </c>
      <c r="E1231" s="7">
        <v>5.11576451</v>
      </c>
      <c r="F1231" s="9" t="str">
        <f t="shared" si="6"/>
        <v>Direct</v>
      </c>
      <c r="G1231" s="7" t="s">
        <v>11</v>
      </c>
    </row>
    <row r="1232" spans="1:7" x14ac:dyDescent="0.2">
      <c r="A1232" s="6" t="s">
        <v>8</v>
      </c>
      <c r="B1232" s="7" t="s">
        <v>13</v>
      </c>
      <c r="C1232" s="7" t="s">
        <v>1642</v>
      </c>
      <c r="D1232" s="7">
        <v>2.2514224999999999</v>
      </c>
      <c r="E1232" s="7">
        <v>7.4409999899999999</v>
      </c>
      <c r="F1232" s="9" t="str">
        <f t="shared" si="6"/>
        <v>Direct</v>
      </c>
      <c r="G1232" s="7" t="s">
        <v>1643</v>
      </c>
    </row>
    <row r="1233" spans="1:7" x14ac:dyDescent="0.2">
      <c r="A1233" s="6" t="s">
        <v>8</v>
      </c>
      <c r="B1233" s="7" t="s">
        <v>13</v>
      </c>
      <c r="C1233" s="7" t="s">
        <v>1644</v>
      </c>
      <c r="D1233" s="7">
        <v>1.1376704799999999</v>
      </c>
      <c r="E1233" s="7">
        <v>8.3239824000000002</v>
      </c>
      <c r="F1233" s="9" t="str">
        <f t="shared" si="6"/>
        <v>Direct</v>
      </c>
      <c r="G1233" s="7" t="s">
        <v>1645</v>
      </c>
    </row>
    <row r="1234" spans="1:7" x14ac:dyDescent="0.2">
      <c r="A1234" s="6" t="s">
        <v>8</v>
      </c>
      <c r="B1234" s="7" t="s">
        <v>13</v>
      </c>
      <c r="C1234" s="7" t="s">
        <v>1646</v>
      </c>
      <c r="D1234" s="7">
        <v>1.7921587999999999</v>
      </c>
      <c r="E1234" s="7">
        <v>2.2003219600000001</v>
      </c>
      <c r="F1234" s="9" t="str">
        <f t="shared" si="6"/>
        <v>Direct</v>
      </c>
      <c r="G1234" s="7" t="s">
        <v>1647</v>
      </c>
    </row>
    <row r="1235" spans="1:7" x14ac:dyDescent="0.2">
      <c r="A1235" s="6" t="s">
        <v>8</v>
      </c>
      <c r="B1235" s="7" t="s">
        <v>13</v>
      </c>
      <c r="C1235" s="7" t="s">
        <v>1648</v>
      </c>
      <c r="D1235" s="7">
        <v>1.8512535000000001</v>
      </c>
      <c r="E1235" s="7">
        <v>1.1477038100000001</v>
      </c>
      <c r="F1235" s="9" t="str">
        <f t="shared" si="6"/>
        <v>Direct</v>
      </c>
      <c r="G1235" s="7" t="s">
        <v>11</v>
      </c>
    </row>
    <row r="1236" spans="1:7" x14ac:dyDescent="0.2">
      <c r="A1236" s="6" t="s">
        <v>8</v>
      </c>
      <c r="B1236" s="7" t="s">
        <v>13</v>
      </c>
      <c r="C1236" s="7" t="s">
        <v>434</v>
      </c>
      <c r="D1236" s="7">
        <v>-3.0434842999999998</v>
      </c>
      <c r="E1236" s="7">
        <v>-1.8812441</v>
      </c>
      <c r="F1236" s="9" t="str">
        <f t="shared" si="6"/>
        <v>Direct</v>
      </c>
      <c r="G1236" s="7" t="s">
        <v>11</v>
      </c>
    </row>
    <row r="1237" spans="1:7" x14ac:dyDescent="0.2">
      <c r="A1237" s="6" t="s">
        <v>8</v>
      </c>
      <c r="B1237" s="7" t="s">
        <v>13</v>
      </c>
      <c r="C1237" s="7" t="s">
        <v>1649</v>
      </c>
      <c r="D1237" s="7">
        <v>-2.2443010000000001</v>
      </c>
      <c r="E1237" s="7">
        <v>-11.882370999999999</v>
      </c>
      <c r="F1237" s="9" t="str">
        <f t="shared" si="6"/>
        <v>Direct</v>
      </c>
      <c r="G1237" s="7" t="s">
        <v>1650</v>
      </c>
    </row>
    <row r="1238" spans="1:7" x14ac:dyDescent="0.2">
      <c r="A1238" s="6" t="s">
        <v>8</v>
      </c>
      <c r="B1238" s="7" t="s">
        <v>13</v>
      </c>
      <c r="C1238" s="7" t="s">
        <v>1651</v>
      </c>
      <c r="D1238" s="7">
        <v>-1.623116</v>
      </c>
      <c r="E1238" s="7">
        <v>-5.3954108999999999</v>
      </c>
      <c r="F1238" s="9" t="str">
        <f t="shared" si="6"/>
        <v>Direct</v>
      </c>
      <c r="G1238" s="7" t="s">
        <v>11</v>
      </c>
    </row>
    <row r="1239" spans="1:7" x14ac:dyDescent="0.2">
      <c r="A1239" s="6" t="s">
        <v>8</v>
      </c>
      <c r="B1239" s="7" t="s">
        <v>13</v>
      </c>
      <c r="C1239" s="7" t="s">
        <v>1652</v>
      </c>
      <c r="D1239" s="7">
        <v>-1.4510297999999999</v>
      </c>
      <c r="E1239" s="7">
        <v>-9.7272500999999991</v>
      </c>
      <c r="F1239" s="9" t="str">
        <f t="shared" si="6"/>
        <v>Direct</v>
      </c>
      <c r="G1239" s="7" t="s">
        <v>1653</v>
      </c>
    </row>
    <row r="1240" spans="1:7" x14ac:dyDescent="0.2">
      <c r="A1240" s="6" t="s">
        <v>8</v>
      </c>
      <c r="B1240" s="7" t="s">
        <v>13</v>
      </c>
      <c r="C1240" s="7" t="s">
        <v>1654</v>
      </c>
      <c r="D1240" s="7">
        <v>1.34076861</v>
      </c>
      <c r="E1240" s="7">
        <v>1.39531213</v>
      </c>
      <c r="F1240" s="9" t="str">
        <f t="shared" si="6"/>
        <v>Direct</v>
      </c>
      <c r="G1240" s="7" t="s">
        <v>1655</v>
      </c>
    </row>
    <row r="1241" spans="1:7" x14ac:dyDescent="0.2">
      <c r="A1241" s="6" t="s">
        <v>8</v>
      </c>
      <c r="B1241" s="7" t="s">
        <v>13</v>
      </c>
      <c r="C1241" s="7" t="s">
        <v>1656</v>
      </c>
      <c r="D1241" s="7">
        <v>-1.3305665</v>
      </c>
      <c r="E1241" s="7">
        <v>-1.3323008000000001</v>
      </c>
      <c r="F1241" s="9" t="str">
        <f t="shared" si="6"/>
        <v>Direct</v>
      </c>
      <c r="G1241" s="7" t="s">
        <v>1657</v>
      </c>
    </row>
    <row r="1242" spans="1:7" x14ac:dyDescent="0.2">
      <c r="A1242" s="6" t="s">
        <v>8</v>
      </c>
      <c r="B1242" s="7" t="s">
        <v>13</v>
      </c>
      <c r="C1242" s="7" t="s">
        <v>1658</v>
      </c>
      <c r="D1242" s="7">
        <v>3.6255665700000002</v>
      </c>
      <c r="E1242" s="7">
        <v>3.3916985400000002</v>
      </c>
      <c r="F1242" s="9" t="str">
        <f t="shared" si="6"/>
        <v>Direct</v>
      </c>
      <c r="G1242" s="7" t="s">
        <v>1643</v>
      </c>
    </row>
    <row r="1243" spans="1:7" x14ac:dyDescent="0.2">
      <c r="A1243" s="6" t="s">
        <v>8</v>
      </c>
      <c r="B1243" s="7" t="s">
        <v>13</v>
      </c>
      <c r="C1243" s="7" t="s">
        <v>1659</v>
      </c>
      <c r="D1243" s="7">
        <v>1.25871735</v>
      </c>
      <c r="E1243" s="7">
        <v>4.6108760799999997</v>
      </c>
      <c r="F1243" s="9" t="str">
        <f t="shared" si="6"/>
        <v>Direct</v>
      </c>
      <c r="G1243" s="7" t="s">
        <v>11</v>
      </c>
    </row>
    <row r="1244" spans="1:7" x14ac:dyDescent="0.2">
      <c r="A1244" s="6" t="s">
        <v>8</v>
      </c>
      <c r="B1244" s="7" t="s">
        <v>13</v>
      </c>
      <c r="C1244" s="7" t="s">
        <v>1660</v>
      </c>
      <c r="D1244" s="7">
        <v>1.7851913800000001</v>
      </c>
      <c r="E1244" s="7">
        <v>1.4141218600000001</v>
      </c>
      <c r="F1244" s="9" t="str">
        <f t="shared" si="6"/>
        <v>Direct</v>
      </c>
      <c r="G1244" s="7" t="s">
        <v>1661</v>
      </c>
    </row>
    <row r="1245" spans="1:7" x14ac:dyDescent="0.2">
      <c r="A1245" s="6" t="s">
        <v>8</v>
      </c>
      <c r="B1245" s="7" t="s">
        <v>13</v>
      </c>
      <c r="C1245" s="7" t="s">
        <v>1662</v>
      </c>
      <c r="D1245" s="7">
        <v>-1.3551574</v>
      </c>
      <c r="E1245" s="7">
        <v>-1.6429233999999999</v>
      </c>
      <c r="F1245" s="9" t="str">
        <f t="shared" si="6"/>
        <v>Direct</v>
      </c>
      <c r="G1245" s="7" t="s">
        <v>1663</v>
      </c>
    </row>
    <row r="1246" spans="1:7" x14ac:dyDescent="0.2">
      <c r="A1246" s="6" t="s">
        <v>8</v>
      </c>
      <c r="B1246" s="7" t="s">
        <v>13</v>
      </c>
      <c r="C1246" s="7" t="s">
        <v>1664</v>
      </c>
      <c r="D1246" s="7">
        <v>1.7393558</v>
      </c>
      <c r="E1246" s="7">
        <v>2.0119249799999999</v>
      </c>
      <c r="F1246" s="9" t="str">
        <f t="shared" si="6"/>
        <v>Direct</v>
      </c>
      <c r="G1246" s="7" t="s">
        <v>11</v>
      </c>
    </row>
    <row r="1247" spans="1:7" x14ac:dyDescent="0.2">
      <c r="A1247" s="6" t="s">
        <v>8</v>
      </c>
      <c r="B1247" s="7" t="s">
        <v>13</v>
      </c>
      <c r="C1247" s="7" t="s">
        <v>1665</v>
      </c>
      <c r="D1247" s="7">
        <v>1.13543489</v>
      </c>
      <c r="E1247" s="7">
        <v>2.5879647499999998</v>
      </c>
      <c r="F1247" s="9" t="str">
        <f t="shared" si="6"/>
        <v>Direct</v>
      </c>
      <c r="G1247" s="7" t="s">
        <v>1666</v>
      </c>
    </row>
    <row r="1248" spans="1:7" x14ac:dyDescent="0.2">
      <c r="A1248" s="6" t="s">
        <v>8</v>
      </c>
      <c r="B1248" s="7" t="s">
        <v>13</v>
      </c>
      <c r="C1248" s="7" t="s">
        <v>1667</v>
      </c>
      <c r="D1248" s="7">
        <v>1.4356470100000001</v>
      </c>
      <c r="E1248" s="7">
        <v>1.2695960100000001</v>
      </c>
      <c r="F1248" s="9" t="str">
        <f t="shared" si="6"/>
        <v>Direct</v>
      </c>
      <c r="G1248" s="7" t="s">
        <v>1668</v>
      </c>
    </row>
    <row r="1249" spans="1:7" x14ac:dyDescent="0.2">
      <c r="A1249" s="6" t="s">
        <v>8</v>
      </c>
      <c r="B1249" s="7" t="s">
        <v>13</v>
      </c>
      <c r="C1249" s="7" t="s">
        <v>1669</v>
      </c>
      <c r="D1249" s="7">
        <v>1.03615536</v>
      </c>
      <c r="E1249" s="7">
        <v>1.84027717</v>
      </c>
      <c r="F1249" s="9" t="str">
        <f t="shared" si="6"/>
        <v>Direct</v>
      </c>
      <c r="G1249" s="7" t="s">
        <v>1670</v>
      </c>
    </row>
    <row r="1250" spans="1:7" x14ac:dyDescent="0.2">
      <c r="A1250" s="6" t="s">
        <v>8</v>
      </c>
      <c r="B1250" s="7" t="s">
        <v>13</v>
      </c>
      <c r="C1250" s="7" t="s">
        <v>1671</v>
      </c>
      <c r="D1250" s="7">
        <v>1.0547133900000001</v>
      </c>
      <c r="E1250" s="7">
        <v>1.04625323</v>
      </c>
      <c r="F1250" s="9" t="str">
        <f t="shared" si="6"/>
        <v>Direct</v>
      </c>
      <c r="G1250" s="7" t="s">
        <v>11</v>
      </c>
    </row>
    <row r="1251" spans="1:7" x14ac:dyDescent="0.2">
      <c r="A1251" s="6" t="s">
        <v>8</v>
      </c>
      <c r="B1251" s="7" t="s">
        <v>13</v>
      </c>
      <c r="C1251" s="7" t="s">
        <v>1672</v>
      </c>
      <c r="D1251" s="7">
        <v>1.11804663</v>
      </c>
      <c r="E1251" s="7">
        <v>2.2360301200000001</v>
      </c>
      <c r="F1251" s="9" t="str">
        <f t="shared" si="6"/>
        <v>Direct</v>
      </c>
      <c r="G1251" s="7" t="s">
        <v>11</v>
      </c>
    </row>
    <row r="1252" spans="1:7" x14ac:dyDescent="0.2">
      <c r="A1252" s="6" t="s">
        <v>8</v>
      </c>
      <c r="B1252" s="7" t="s">
        <v>13</v>
      </c>
      <c r="C1252" s="7" t="s">
        <v>1673</v>
      </c>
      <c r="D1252" s="7">
        <v>1.62338673</v>
      </c>
      <c r="E1252" s="7">
        <v>3.4298232999999998</v>
      </c>
      <c r="F1252" s="9" t="str">
        <f t="shared" si="6"/>
        <v>Direct</v>
      </c>
      <c r="G1252" s="7" t="s">
        <v>11</v>
      </c>
    </row>
    <row r="1253" spans="1:7" x14ac:dyDescent="0.2">
      <c r="A1253" s="6" t="s">
        <v>8</v>
      </c>
      <c r="B1253" s="7" t="s">
        <v>13</v>
      </c>
      <c r="C1253" s="7" t="s">
        <v>1674</v>
      </c>
      <c r="D1253" s="7">
        <v>-1.3208864</v>
      </c>
      <c r="E1253" s="7">
        <v>-3.4678065999999999</v>
      </c>
      <c r="F1253" s="9" t="str">
        <f t="shared" si="6"/>
        <v>Direct</v>
      </c>
      <c r="G1253" s="7" t="s">
        <v>728</v>
      </c>
    </row>
    <row r="1254" spans="1:7" x14ac:dyDescent="0.2">
      <c r="A1254" s="6" t="s">
        <v>8</v>
      </c>
      <c r="B1254" s="7" t="s">
        <v>13</v>
      </c>
      <c r="C1254" s="7" t="s">
        <v>1675</v>
      </c>
      <c r="D1254" s="7">
        <v>1.77946469</v>
      </c>
      <c r="E1254" s="7">
        <v>2.9752049199999999</v>
      </c>
      <c r="F1254" s="9" t="str">
        <f t="shared" si="6"/>
        <v>Direct</v>
      </c>
      <c r="G1254" s="7" t="s">
        <v>611</v>
      </c>
    </row>
    <row r="1255" spans="1:7" x14ac:dyDescent="0.2">
      <c r="A1255" s="6" t="s">
        <v>8</v>
      </c>
      <c r="B1255" s="7" t="s">
        <v>13</v>
      </c>
      <c r="C1255" s="7" t="s">
        <v>1676</v>
      </c>
      <c r="D1255" s="7">
        <v>-1.6003541999999999</v>
      </c>
      <c r="E1255" s="7">
        <v>-2.2056808999999999</v>
      </c>
      <c r="F1255" s="9" t="str">
        <f t="shared" si="6"/>
        <v>Direct</v>
      </c>
      <c r="G1255" s="7" t="s">
        <v>11</v>
      </c>
    </row>
    <row r="1256" spans="1:7" x14ac:dyDescent="0.2">
      <c r="A1256" s="6" t="s">
        <v>8</v>
      </c>
      <c r="B1256" s="7" t="s">
        <v>13</v>
      </c>
      <c r="C1256" s="7" t="s">
        <v>1677</v>
      </c>
      <c r="D1256" s="7">
        <v>1.29956973</v>
      </c>
      <c r="E1256" s="7">
        <v>2.9122763900000002</v>
      </c>
      <c r="F1256" s="9" t="str">
        <f t="shared" si="6"/>
        <v>Direct</v>
      </c>
      <c r="G1256" s="7" t="s">
        <v>718</v>
      </c>
    </row>
    <row r="1257" spans="1:7" x14ac:dyDescent="0.2">
      <c r="A1257" s="6" t="s">
        <v>8</v>
      </c>
      <c r="B1257" s="7" t="s">
        <v>13</v>
      </c>
      <c r="C1257" s="7" t="s">
        <v>1678</v>
      </c>
      <c r="D1257" s="7">
        <v>1.0032213999999999</v>
      </c>
      <c r="E1257" s="7">
        <v>1.8521597599999999</v>
      </c>
      <c r="F1257" s="9" t="str">
        <f t="shared" si="6"/>
        <v>Direct</v>
      </c>
      <c r="G1257" s="7" t="s">
        <v>11</v>
      </c>
    </row>
    <row r="1258" spans="1:7" x14ac:dyDescent="0.2">
      <c r="A1258" s="6" t="s">
        <v>8</v>
      </c>
      <c r="B1258" s="7" t="s">
        <v>13</v>
      </c>
      <c r="C1258" s="7" t="s">
        <v>1679</v>
      </c>
      <c r="D1258" s="7">
        <v>-4.8439689000000001</v>
      </c>
      <c r="E1258" s="7">
        <v>-3.3475085</v>
      </c>
      <c r="F1258" s="9" t="str">
        <f t="shared" si="6"/>
        <v>Direct</v>
      </c>
      <c r="G1258" s="7" t="s">
        <v>1680</v>
      </c>
    </row>
    <row r="1259" spans="1:7" x14ac:dyDescent="0.2">
      <c r="A1259" s="6" t="s">
        <v>8</v>
      </c>
      <c r="B1259" s="7" t="s">
        <v>13</v>
      </c>
      <c r="C1259" s="7" t="s">
        <v>1681</v>
      </c>
      <c r="D1259" s="7">
        <v>1.1459633899999999</v>
      </c>
      <c r="E1259" s="7">
        <v>5.6623194400000001</v>
      </c>
      <c r="F1259" s="9" t="str">
        <f t="shared" si="6"/>
        <v>Direct</v>
      </c>
      <c r="G1259" s="7" t="s">
        <v>1682</v>
      </c>
    </row>
    <row r="1260" spans="1:7" x14ac:dyDescent="0.2">
      <c r="A1260" s="6" t="s">
        <v>8</v>
      </c>
      <c r="B1260" s="7" t="s">
        <v>13</v>
      </c>
      <c r="C1260" s="7" t="s">
        <v>1683</v>
      </c>
      <c r="D1260" s="7">
        <v>1.1932659400000001</v>
      </c>
      <c r="E1260" s="7">
        <v>2.3492608800000001</v>
      </c>
      <c r="F1260" s="9" t="str">
        <f t="shared" si="6"/>
        <v>Direct</v>
      </c>
      <c r="G1260" s="7" t="s">
        <v>1684</v>
      </c>
    </row>
    <row r="1261" spans="1:7" x14ac:dyDescent="0.2">
      <c r="A1261" s="6" t="s">
        <v>8</v>
      </c>
      <c r="B1261" s="7" t="s">
        <v>13</v>
      </c>
      <c r="C1261" s="7" t="s">
        <v>1685</v>
      </c>
      <c r="D1261" s="7">
        <v>-1.8443700000000001</v>
      </c>
      <c r="E1261" s="7">
        <v>-4.4766528000000001</v>
      </c>
      <c r="F1261" s="9" t="str">
        <f t="shared" si="6"/>
        <v>Direct</v>
      </c>
      <c r="G1261" s="7" t="s">
        <v>11</v>
      </c>
    </row>
    <row r="1262" spans="1:7" x14ac:dyDescent="0.2">
      <c r="A1262" s="6" t="s">
        <v>8</v>
      </c>
      <c r="B1262" s="7" t="s">
        <v>13</v>
      </c>
      <c r="C1262" s="7" t="s">
        <v>1686</v>
      </c>
      <c r="D1262" s="7">
        <v>-3.8910041</v>
      </c>
      <c r="E1262" s="7">
        <v>-3.2470512999999999</v>
      </c>
      <c r="F1262" s="9" t="str">
        <f t="shared" si="6"/>
        <v>Direct</v>
      </c>
      <c r="G1262" s="7" t="s">
        <v>11</v>
      </c>
    </row>
    <row r="1263" spans="1:7" x14ac:dyDescent="0.2">
      <c r="A1263" s="6" t="s">
        <v>8</v>
      </c>
      <c r="B1263" s="7" t="s">
        <v>13</v>
      </c>
      <c r="C1263" s="7" t="s">
        <v>445</v>
      </c>
      <c r="D1263" s="7">
        <v>1.47292489</v>
      </c>
      <c r="E1263" s="7">
        <v>2.9677437000000002</v>
      </c>
      <c r="F1263" s="9" t="str">
        <f t="shared" si="6"/>
        <v>Direct</v>
      </c>
      <c r="G1263" s="7" t="s">
        <v>35</v>
      </c>
    </row>
    <row r="1264" spans="1:7" x14ac:dyDescent="0.2">
      <c r="A1264" s="6" t="s">
        <v>8</v>
      </c>
      <c r="B1264" s="7" t="s">
        <v>13</v>
      </c>
      <c r="C1264" s="7" t="s">
        <v>1687</v>
      </c>
      <c r="D1264" s="7">
        <v>-1.4769582000000001</v>
      </c>
      <c r="E1264" s="7">
        <v>-4.4041683000000003</v>
      </c>
      <c r="F1264" s="9" t="str">
        <f t="shared" si="6"/>
        <v>Direct</v>
      </c>
      <c r="G1264" s="7" t="s">
        <v>1688</v>
      </c>
    </row>
    <row r="1265" spans="1:7" x14ac:dyDescent="0.2">
      <c r="A1265" s="6" t="s">
        <v>8</v>
      </c>
      <c r="B1265" s="7" t="s">
        <v>13</v>
      </c>
      <c r="C1265" s="7" t="s">
        <v>446</v>
      </c>
      <c r="D1265" s="7">
        <v>-2.4484094000000001</v>
      </c>
      <c r="E1265" s="7">
        <v>-2.7616893999999998</v>
      </c>
      <c r="F1265" s="9" t="str">
        <f t="shared" si="6"/>
        <v>Direct</v>
      </c>
      <c r="G1265" s="7" t="s">
        <v>11</v>
      </c>
    </row>
    <row r="1266" spans="1:7" x14ac:dyDescent="0.2">
      <c r="A1266" s="6" t="s">
        <v>8</v>
      </c>
      <c r="B1266" s="7" t="s">
        <v>13</v>
      </c>
      <c r="C1266" s="7" t="s">
        <v>1689</v>
      </c>
      <c r="D1266" s="7">
        <v>4.1971751499999996</v>
      </c>
      <c r="E1266" s="7">
        <v>1.48858479</v>
      </c>
      <c r="F1266" s="9" t="str">
        <f t="shared" si="6"/>
        <v>Direct</v>
      </c>
      <c r="G1266" s="7" t="s">
        <v>11</v>
      </c>
    </row>
    <row r="1267" spans="1:7" x14ac:dyDescent="0.2">
      <c r="A1267" s="6" t="s">
        <v>8</v>
      </c>
      <c r="B1267" s="7" t="s">
        <v>13</v>
      </c>
      <c r="C1267" s="7" t="s">
        <v>1690</v>
      </c>
      <c r="D1267" s="7">
        <v>-2.3845005000000001</v>
      </c>
      <c r="E1267" s="7">
        <v>-1.7562709000000001</v>
      </c>
      <c r="F1267" s="9" t="str">
        <f t="shared" si="6"/>
        <v>Direct</v>
      </c>
      <c r="G1267" s="7" t="s">
        <v>1691</v>
      </c>
    </row>
    <row r="1268" spans="1:7" x14ac:dyDescent="0.2">
      <c r="A1268" s="6" t="s">
        <v>8</v>
      </c>
      <c r="B1268" s="7" t="s">
        <v>13</v>
      </c>
      <c r="C1268" s="7" t="s">
        <v>1692</v>
      </c>
      <c r="D1268" s="7">
        <v>1.4014032199999999</v>
      </c>
      <c r="E1268" s="7">
        <v>3.5839122099999998</v>
      </c>
      <c r="F1268" s="9" t="str">
        <f t="shared" si="6"/>
        <v>Direct</v>
      </c>
      <c r="G1268" s="7" t="s">
        <v>1693</v>
      </c>
    </row>
    <row r="1269" spans="1:7" x14ac:dyDescent="0.2">
      <c r="A1269" s="6" t="s">
        <v>8</v>
      </c>
      <c r="B1269" s="7" t="s">
        <v>13</v>
      </c>
      <c r="C1269" s="7" t="s">
        <v>1694</v>
      </c>
      <c r="D1269" s="7">
        <v>1.40471064</v>
      </c>
      <c r="E1269" s="7">
        <v>1.38170751</v>
      </c>
      <c r="F1269" s="9" t="str">
        <f t="shared" si="6"/>
        <v>Direct</v>
      </c>
      <c r="G1269" s="7" t="s">
        <v>1693</v>
      </c>
    </row>
    <row r="1270" spans="1:7" x14ac:dyDescent="0.2">
      <c r="A1270" s="6" t="s">
        <v>8</v>
      </c>
      <c r="B1270" s="7" t="s">
        <v>13</v>
      </c>
      <c r="C1270" s="7" t="s">
        <v>1695</v>
      </c>
      <c r="D1270" s="7">
        <v>-2.1923330000000001</v>
      </c>
      <c r="E1270" s="7">
        <v>-2.8114099000000001</v>
      </c>
      <c r="F1270" s="9" t="str">
        <f t="shared" si="6"/>
        <v>Direct</v>
      </c>
      <c r="G1270" s="7" t="s">
        <v>11</v>
      </c>
    </row>
    <row r="1271" spans="1:7" x14ac:dyDescent="0.2">
      <c r="A1271" s="6" t="s">
        <v>8</v>
      </c>
      <c r="B1271" s="7" t="s">
        <v>13</v>
      </c>
      <c r="C1271" s="7" t="s">
        <v>1696</v>
      </c>
      <c r="D1271" s="7">
        <v>3.7695405700000002</v>
      </c>
      <c r="E1271" s="7">
        <v>6.7345857999999996</v>
      </c>
      <c r="F1271" s="9" t="str">
        <f t="shared" si="6"/>
        <v>Direct</v>
      </c>
      <c r="G1271" s="7" t="s">
        <v>1697</v>
      </c>
    </row>
    <row r="1272" spans="1:7" x14ac:dyDescent="0.2">
      <c r="A1272" s="6" t="s">
        <v>8</v>
      </c>
      <c r="B1272" s="7" t="s">
        <v>13</v>
      </c>
      <c r="C1272" s="7" t="s">
        <v>1698</v>
      </c>
      <c r="D1272" s="7">
        <v>3.0820901100000002</v>
      </c>
      <c r="E1272" s="7">
        <v>4.3769679999999997</v>
      </c>
      <c r="F1272" s="9" t="str">
        <f t="shared" si="6"/>
        <v>Direct</v>
      </c>
      <c r="G1272" s="7" t="s">
        <v>1699</v>
      </c>
    </row>
    <row r="1273" spans="1:7" x14ac:dyDescent="0.2">
      <c r="A1273" s="6" t="s">
        <v>8</v>
      </c>
      <c r="B1273" s="7" t="s">
        <v>13</v>
      </c>
      <c r="C1273" s="7" t="s">
        <v>1700</v>
      </c>
      <c r="D1273" s="7">
        <v>1.0569935399999999</v>
      </c>
      <c r="E1273" s="7">
        <v>5.1914404899999997</v>
      </c>
      <c r="F1273" s="9" t="str">
        <f t="shared" si="6"/>
        <v>Direct</v>
      </c>
      <c r="G1273" s="7" t="s">
        <v>1701</v>
      </c>
    </row>
    <row r="1274" spans="1:7" x14ac:dyDescent="0.2">
      <c r="A1274" s="6" t="s">
        <v>8</v>
      </c>
      <c r="B1274" s="7" t="s">
        <v>13</v>
      </c>
      <c r="C1274" s="7" t="s">
        <v>1702</v>
      </c>
      <c r="D1274" s="7">
        <v>3.9921785999999999</v>
      </c>
      <c r="E1274" s="7">
        <v>4.2456334699999996</v>
      </c>
      <c r="F1274" s="9" t="str">
        <f t="shared" si="6"/>
        <v>Direct</v>
      </c>
      <c r="G1274" s="7" t="s">
        <v>1697</v>
      </c>
    </row>
    <row r="1275" spans="1:7" x14ac:dyDescent="0.2">
      <c r="A1275" s="6" t="s">
        <v>8</v>
      </c>
      <c r="B1275" s="7" t="s">
        <v>13</v>
      </c>
      <c r="C1275" s="7" t="s">
        <v>1703</v>
      </c>
      <c r="D1275" s="7">
        <v>1.6369620499999999</v>
      </c>
      <c r="E1275" s="7">
        <v>1.98281248</v>
      </c>
      <c r="F1275" s="9" t="str">
        <f t="shared" si="6"/>
        <v>Direct</v>
      </c>
      <c r="G1275" s="7" t="s">
        <v>11</v>
      </c>
    </row>
    <row r="1276" spans="1:7" x14ac:dyDescent="0.2">
      <c r="A1276" s="6" t="s">
        <v>8</v>
      </c>
      <c r="B1276" s="7" t="s">
        <v>13</v>
      </c>
      <c r="C1276" s="7" t="s">
        <v>1704</v>
      </c>
      <c r="D1276" s="7">
        <v>3.8227072600000001</v>
      </c>
      <c r="E1276" s="7">
        <v>1.5073873600000001</v>
      </c>
      <c r="F1276" s="9" t="str">
        <f t="shared" si="6"/>
        <v>Direct</v>
      </c>
      <c r="G1276" s="7" t="s">
        <v>11</v>
      </c>
    </row>
    <row r="1277" spans="1:7" x14ac:dyDescent="0.2">
      <c r="A1277" s="6" t="s">
        <v>8</v>
      </c>
      <c r="B1277" s="7" t="s">
        <v>13</v>
      </c>
      <c r="C1277" s="7" t="s">
        <v>1705</v>
      </c>
      <c r="D1277" s="7">
        <v>1.7611323299999999</v>
      </c>
      <c r="E1277" s="7">
        <v>6.0058710599999996</v>
      </c>
      <c r="F1277" s="9" t="str">
        <f t="shared" ref="F1277:F1531" si="7">IF(OR(AND(D1277&gt;0,E1277&gt;0),AND(D1277&lt;0,E1277&lt;0)),"Direct","Inverse")</f>
        <v>Direct</v>
      </c>
      <c r="G1277" s="7" t="s">
        <v>11</v>
      </c>
    </row>
    <row r="1278" spans="1:7" x14ac:dyDescent="0.2">
      <c r="A1278" s="6" t="s">
        <v>8</v>
      </c>
      <c r="B1278" s="7" t="s">
        <v>13</v>
      </c>
      <c r="C1278" s="7" t="s">
        <v>1706</v>
      </c>
      <c r="D1278" s="7">
        <v>-1.5633528999999999</v>
      </c>
      <c r="E1278" s="7">
        <v>-1.4757294000000001</v>
      </c>
      <c r="F1278" s="9" t="str">
        <f t="shared" si="7"/>
        <v>Direct</v>
      </c>
      <c r="G1278" s="7" t="s">
        <v>1707</v>
      </c>
    </row>
    <row r="1279" spans="1:7" x14ac:dyDescent="0.2">
      <c r="A1279" s="6" t="s">
        <v>8</v>
      </c>
      <c r="B1279" s="7" t="s">
        <v>13</v>
      </c>
      <c r="C1279" s="7" t="s">
        <v>1708</v>
      </c>
      <c r="D1279" s="7">
        <v>1.04081299</v>
      </c>
      <c r="E1279" s="7">
        <v>3.9635677299999998</v>
      </c>
      <c r="F1279" s="9" t="str">
        <f t="shared" si="7"/>
        <v>Direct</v>
      </c>
      <c r="G1279" s="7" t="s">
        <v>11</v>
      </c>
    </row>
    <row r="1280" spans="1:7" x14ac:dyDescent="0.2">
      <c r="A1280" s="6" t="s">
        <v>8</v>
      </c>
      <c r="B1280" s="7" t="s">
        <v>13</v>
      </c>
      <c r="C1280" s="7" t="s">
        <v>1709</v>
      </c>
      <c r="D1280" s="7">
        <v>1.8872332999999999</v>
      </c>
      <c r="E1280" s="7">
        <v>2.90894925</v>
      </c>
      <c r="F1280" s="9" t="str">
        <f t="shared" si="7"/>
        <v>Direct</v>
      </c>
      <c r="G1280" s="7" t="s">
        <v>11</v>
      </c>
    </row>
    <row r="1281" spans="1:7" x14ac:dyDescent="0.2">
      <c r="A1281" s="6" t="s">
        <v>8</v>
      </c>
      <c r="B1281" s="7" t="s">
        <v>13</v>
      </c>
      <c r="C1281" s="7" t="s">
        <v>1710</v>
      </c>
      <c r="D1281" s="7">
        <v>-1.2296821</v>
      </c>
      <c r="E1281" s="7">
        <v>-1.9975603</v>
      </c>
      <c r="F1281" s="9" t="str">
        <f t="shared" si="7"/>
        <v>Direct</v>
      </c>
      <c r="G1281" s="7" t="s">
        <v>76</v>
      </c>
    </row>
    <row r="1282" spans="1:7" x14ac:dyDescent="0.2">
      <c r="A1282" s="6" t="s">
        <v>8</v>
      </c>
      <c r="B1282" s="7" t="s">
        <v>13</v>
      </c>
      <c r="C1282" s="7" t="s">
        <v>1711</v>
      </c>
      <c r="D1282" s="7">
        <v>-2.2091821</v>
      </c>
      <c r="E1282" s="7">
        <v>-2.3144201</v>
      </c>
      <c r="F1282" s="9" t="str">
        <f t="shared" si="7"/>
        <v>Direct</v>
      </c>
      <c r="G1282" s="7" t="s">
        <v>1712</v>
      </c>
    </row>
    <row r="1283" spans="1:7" x14ac:dyDescent="0.2">
      <c r="A1283" s="6" t="s">
        <v>8</v>
      </c>
      <c r="B1283" s="7" t="s">
        <v>13</v>
      </c>
      <c r="C1283" s="7" t="s">
        <v>1713</v>
      </c>
      <c r="D1283" s="7">
        <v>-2.4890571000000001</v>
      </c>
      <c r="E1283" s="7">
        <v>-2.1021828</v>
      </c>
      <c r="F1283" s="9" t="str">
        <f t="shared" si="7"/>
        <v>Direct</v>
      </c>
      <c r="G1283" s="7" t="s">
        <v>11</v>
      </c>
    </row>
    <row r="1284" spans="1:7" x14ac:dyDescent="0.2">
      <c r="A1284" s="6" t="s">
        <v>8</v>
      </c>
      <c r="B1284" s="7" t="s">
        <v>13</v>
      </c>
      <c r="C1284" s="7" t="s">
        <v>1714</v>
      </c>
      <c r="D1284" s="7">
        <v>-1.9053389000000001</v>
      </c>
      <c r="E1284" s="7">
        <v>-1.1589905</v>
      </c>
      <c r="F1284" s="9" t="str">
        <f t="shared" si="7"/>
        <v>Direct</v>
      </c>
      <c r="G1284" s="7" t="s">
        <v>11</v>
      </c>
    </row>
    <row r="1285" spans="1:7" x14ac:dyDescent="0.2">
      <c r="A1285" s="6" t="s">
        <v>8</v>
      </c>
      <c r="B1285" s="7" t="s">
        <v>13</v>
      </c>
      <c r="C1285" s="7" t="s">
        <v>1715</v>
      </c>
      <c r="D1285" s="7">
        <v>-1.3298477</v>
      </c>
      <c r="E1285" s="7">
        <v>-2.7676794</v>
      </c>
      <c r="F1285" s="9" t="str">
        <f t="shared" si="7"/>
        <v>Direct</v>
      </c>
      <c r="G1285" s="7" t="s">
        <v>11</v>
      </c>
    </row>
    <row r="1286" spans="1:7" x14ac:dyDescent="0.2">
      <c r="A1286" s="6" t="s">
        <v>8</v>
      </c>
      <c r="B1286" s="7" t="s">
        <v>13</v>
      </c>
      <c r="C1286" s="7" t="s">
        <v>1716</v>
      </c>
      <c r="D1286" s="7">
        <v>1.3228857199999999</v>
      </c>
      <c r="E1286" s="7">
        <v>2.5635435800000002</v>
      </c>
      <c r="F1286" s="9" t="str">
        <f t="shared" si="7"/>
        <v>Direct</v>
      </c>
      <c r="G1286" s="7" t="s">
        <v>271</v>
      </c>
    </row>
    <row r="1287" spans="1:7" x14ac:dyDescent="0.2">
      <c r="A1287" s="6" t="s">
        <v>8</v>
      </c>
      <c r="B1287" s="7" t="s">
        <v>13</v>
      </c>
      <c r="C1287" s="7" t="s">
        <v>1717</v>
      </c>
      <c r="D1287" s="7">
        <v>1.22968214</v>
      </c>
      <c r="E1287" s="7">
        <v>2.8526790700000002</v>
      </c>
      <c r="F1287" s="9" t="str">
        <f t="shared" si="7"/>
        <v>Direct</v>
      </c>
      <c r="G1287" s="7" t="s">
        <v>271</v>
      </c>
    </row>
    <row r="1288" spans="1:7" x14ac:dyDescent="0.2">
      <c r="A1288" s="6" t="s">
        <v>8</v>
      </c>
      <c r="B1288" s="7" t="s">
        <v>13</v>
      </c>
      <c r="C1288" s="7" t="s">
        <v>1718</v>
      </c>
      <c r="D1288" s="7">
        <v>-3.9583995999999999</v>
      </c>
      <c r="E1288" s="7">
        <v>-1.9350423999999999</v>
      </c>
      <c r="F1288" s="9" t="str">
        <f t="shared" si="7"/>
        <v>Direct</v>
      </c>
      <c r="G1288" s="7" t="s">
        <v>11</v>
      </c>
    </row>
    <row r="1289" spans="1:7" x14ac:dyDescent="0.2">
      <c r="A1289" s="6" t="s">
        <v>8</v>
      </c>
      <c r="B1289" s="7" t="s">
        <v>13</v>
      </c>
      <c r="C1289" s="7" t="s">
        <v>1719</v>
      </c>
      <c r="D1289" s="7">
        <v>-1.2787598</v>
      </c>
      <c r="E1289" s="7">
        <v>-4.863963</v>
      </c>
      <c r="F1289" s="9" t="str">
        <f t="shared" si="7"/>
        <v>Direct</v>
      </c>
      <c r="G1289" s="7" t="s">
        <v>11</v>
      </c>
    </row>
    <row r="1290" spans="1:7" x14ac:dyDescent="0.2">
      <c r="A1290" s="6" t="s">
        <v>8</v>
      </c>
      <c r="B1290" s="7" t="s">
        <v>13</v>
      </c>
      <c r="C1290" s="7" t="s">
        <v>1720</v>
      </c>
      <c r="D1290" s="7">
        <v>-1.3389207000000001</v>
      </c>
      <c r="E1290" s="7">
        <v>-1.3657184</v>
      </c>
      <c r="F1290" s="9" t="str">
        <f t="shared" si="7"/>
        <v>Direct</v>
      </c>
      <c r="G1290" s="7" t="s">
        <v>1721</v>
      </c>
    </row>
    <row r="1291" spans="1:7" x14ac:dyDescent="0.2">
      <c r="A1291" s="6" t="s">
        <v>8</v>
      </c>
      <c r="B1291" s="7" t="s">
        <v>13</v>
      </c>
      <c r="C1291" s="7" t="s">
        <v>1722</v>
      </c>
      <c r="D1291" s="7">
        <v>-1.2618414</v>
      </c>
      <c r="E1291" s="7">
        <v>-1.4531974000000001</v>
      </c>
      <c r="F1291" s="9" t="str">
        <f t="shared" si="7"/>
        <v>Direct</v>
      </c>
      <c r="G1291" s="7" t="s">
        <v>1383</v>
      </c>
    </row>
    <row r="1292" spans="1:7" x14ac:dyDescent="0.2">
      <c r="A1292" s="6" t="s">
        <v>8</v>
      </c>
      <c r="B1292" s="7" t="s">
        <v>13</v>
      </c>
      <c r="C1292" s="7" t="s">
        <v>1723</v>
      </c>
      <c r="D1292" s="7">
        <v>-1.5030471999999999</v>
      </c>
      <c r="E1292" s="7">
        <v>-1.3598896</v>
      </c>
      <c r="F1292" s="9" t="str">
        <f t="shared" si="7"/>
        <v>Direct</v>
      </c>
      <c r="G1292" s="7" t="s">
        <v>1724</v>
      </c>
    </row>
    <row r="1293" spans="1:7" x14ac:dyDescent="0.2">
      <c r="A1293" s="6" t="s">
        <v>8</v>
      </c>
      <c r="B1293" s="7" t="s">
        <v>13</v>
      </c>
      <c r="C1293" s="7" t="s">
        <v>458</v>
      </c>
      <c r="D1293" s="7">
        <v>-1.8804775</v>
      </c>
      <c r="E1293" s="7">
        <v>-2.5887617000000001</v>
      </c>
      <c r="F1293" s="9" t="str">
        <f t="shared" si="7"/>
        <v>Direct</v>
      </c>
      <c r="G1293" s="7" t="s">
        <v>144</v>
      </c>
    </row>
    <row r="1294" spans="1:7" x14ac:dyDescent="0.2">
      <c r="A1294" s="6" t="s">
        <v>8</v>
      </c>
      <c r="B1294" s="7" t="s">
        <v>13</v>
      </c>
      <c r="C1294" s="7" t="s">
        <v>1725</v>
      </c>
      <c r="D1294" s="7">
        <v>1.01708939</v>
      </c>
      <c r="E1294" s="7">
        <v>1.49081968</v>
      </c>
      <c r="F1294" s="9" t="str">
        <f t="shared" si="7"/>
        <v>Direct</v>
      </c>
      <c r="G1294" s="7" t="s">
        <v>11</v>
      </c>
    </row>
    <row r="1295" spans="1:7" x14ac:dyDescent="0.2">
      <c r="A1295" s="6" t="s">
        <v>8</v>
      </c>
      <c r="B1295" s="7" t="s">
        <v>13</v>
      </c>
      <c r="C1295" s="7" t="s">
        <v>1726</v>
      </c>
      <c r="D1295" s="7">
        <v>3.0423036899999998</v>
      </c>
      <c r="E1295" s="7">
        <v>3.8670213100000002</v>
      </c>
      <c r="F1295" s="9" t="str">
        <f t="shared" si="7"/>
        <v>Direct</v>
      </c>
      <c r="G1295" s="7" t="s">
        <v>11</v>
      </c>
    </row>
    <row r="1296" spans="1:7" x14ac:dyDescent="0.2">
      <c r="A1296" s="6" t="s">
        <v>8</v>
      </c>
      <c r="B1296" s="7" t="s">
        <v>13</v>
      </c>
      <c r="C1296" s="7" t="s">
        <v>1727</v>
      </c>
      <c r="D1296" s="7">
        <v>-1.3407686000000001</v>
      </c>
      <c r="E1296" s="7">
        <v>-1.8232946999999999</v>
      </c>
      <c r="F1296" s="9" t="str">
        <f t="shared" si="7"/>
        <v>Direct</v>
      </c>
      <c r="G1296" s="7" t="s">
        <v>1728</v>
      </c>
    </row>
    <row r="1297" spans="1:7" x14ac:dyDescent="0.2">
      <c r="A1297" s="6" t="s">
        <v>8</v>
      </c>
      <c r="B1297" s="7" t="s">
        <v>13</v>
      </c>
      <c r="C1297" s="7" t="s">
        <v>1729</v>
      </c>
      <c r="D1297" s="7">
        <v>-2.8540258999999999</v>
      </c>
      <c r="E1297" s="7">
        <v>-2.6085348000000002</v>
      </c>
      <c r="F1297" s="9" t="str">
        <f t="shared" si="7"/>
        <v>Direct</v>
      </c>
      <c r="G1297" s="7" t="s">
        <v>1730</v>
      </c>
    </row>
    <row r="1298" spans="1:7" x14ac:dyDescent="0.2">
      <c r="A1298" s="6" t="s">
        <v>8</v>
      </c>
      <c r="B1298" s="7" t="s">
        <v>13</v>
      </c>
      <c r="C1298" s="7" t="s">
        <v>1731</v>
      </c>
      <c r="D1298" s="7">
        <v>2.2380182799999999</v>
      </c>
      <c r="E1298" s="7">
        <v>1.0146403500000001</v>
      </c>
      <c r="F1298" s="9" t="str">
        <f t="shared" si="7"/>
        <v>Direct</v>
      </c>
      <c r="G1298" s="7" t="s">
        <v>1732</v>
      </c>
    </row>
    <row r="1299" spans="1:7" x14ac:dyDescent="0.2">
      <c r="A1299" s="6" t="s">
        <v>8</v>
      </c>
      <c r="B1299" s="7" t="s">
        <v>13</v>
      </c>
      <c r="C1299" s="7" t="s">
        <v>1733</v>
      </c>
      <c r="D1299" s="7">
        <v>1.95390351</v>
      </c>
      <c r="E1299" s="7">
        <v>4.8797469900000001</v>
      </c>
      <c r="F1299" s="9" t="str">
        <f t="shared" si="7"/>
        <v>Direct</v>
      </c>
      <c r="G1299" s="7" t="s">
        <v>11</v>
      </c>
    </row>
    <row r="1300" spans="1:7" x14ac:dyDescent="0.2">
      <c r="A1300" s="6" t="s">
        <v>8</v>
      </c>
      <c r="B1300" s="7" t="s">
        <v>13</v>
      </c>
      <c r="C1300" s="7" t="s">
        <v>1734</v>
      </c>
      <c r="D1300" s="7">
        <v>1.09884932</v>
      </c>
      <c r="E1300" s="7">
        <v>2.9399403400000002</v>
      </c>
      <c r="F1300" s="9" t="str">
        <f t="shared" si="7"/>
        <v>Direct</v>
      </c>
      <c r="G1300" s="7" t="s">
        <v>1735</v>
      </c>
    </row>
    <row r="1301" spans="1:7" x14ac:dyDescent="0.2">
      <c r="A1301" s="6" t="s">
        <v>8</v>
      </c>
      <c r="B1301" s="7" t="s">
        <v>13</v>
      </c>
      <c r="C1301" s="7" t="s">
        <v>1736</v>
      </c>
      <c r="D1301" s="7">
        <v>-1.0064569999999999</v>
      </c>
      <c r="E1301" s="7">
        <v>-1.3467629999999999</v>
      </c>
      <c r="F1301" s="9" t="str">
        <f t="shared" si="7"/>
        <v>Direct</v>
      </c>
      <c r="G1301" s="7" t="s">
        <v>11</v>
      </c>
    </row>
    <row r="1302" spans="1:7" x14ac:dyDescent="0.2">
      <c r="A1302" s="6" t="s">
        <v>8</v>
      </c>
      <c r="B1302" s="7" t="s">
        <v>13</v>
      </c>
      <c r="C1302" s="7" t="s">
        <v>1737</v>
      </c>
      <c r="D1302" s="7">
        <v>1.63843009</v>
      </c>
      <c r="E1302" s="7">
        <v>2.0968414100000001</v>
      </c>
      <c r="F1302" s="9" t="str">
        <f t="shared" si="7"/>
        <v>Direct</v>
      </c>
      <c r="G1302" s="7" t="s">
        <v>11</v>
      </c>
    </row>
    <row r="1303" spans="1:7" x14ac:dyDescent="0.2">
      <c r="A1303" s="6" t="s">
        <v>8</v>
      </c>
      <c r="B1303" s="7" t="s">
        <v>13</v>
      </c>
      <c r="C1303" s="7" t="s">
        <v>1738</v>
      </c>
      <c r="D1303" s="7">
        <v>-1.1673297</v>
      </c>
      <c r="E1303" s="7">
        <v>-1.3439873</v>
      </c>
      <c r="F1303" s="9" t="str">
        <f t="shared" si="7"/>
        <v>Direct</v>
      </c>
      <c r="G1303" s="7" t="s">
        <v>11</v>
      </c>
    </row>
    <row r="1304" spans="1:7" x14ac:dyDescent="0.2">
      <c r="A1304" s="6" t="s">
        <v>8</v>
      </c>
      <c r="B1304" s="7" t="s">
        <v>13</v>
      </c>
      <c r="C1304" s="7" t="s">
        <v>1739</v>
      </c>
      <c r="D1304" s="7">
        <v>-2.9744215000000001</v>
      </c>
      <c r="E1304" s="7">
        <v>-5.7176039000000003</v>
      </c>
      <c r="F1304" s="9" t="str">
        <f t="shared" si="7"/>
        <v>Direct</v>
      </c>
      <c r="G1304" s="7" t="s">
        <v>1740</v>
      </c>
    </row>
    <row r="1305" spans="1:7" x14ac:dyDescent="0.2">
      <c r="A1305" s="6" t="s">
        <v>8</v>
      </c>
      <c r="B1305" s="7" t="s">
        <v>13</v>
      </c>
      <c r="C1305" s="7" t="s">
        <v>1741</v>
      </c>
      <c r="D1305" s="7">
        <v>-1.4180173</v>
      </c>
      <c r="E1305" s="7">
        <v>-3.6856201999999998</v>
      </c>
      <c r="F1305" s="9" t="str">
        <f t="shared" si="7"/>
        <v>Direct</v>
      </c>
      <c r="G1305" s="7" t="s">
        <v>1742</v>
      </c>
    </row>
    <row r="1306" spans="1:7" x14ac:dyDescent="0.2">
      <c r="A1306" s="6" t="s">
        <v>8</v>
      </c>
      <c r="B1306" s="7" t="s">
        <v>13</v>
      </c>
      <c r="C1306" s="7" t="s">
        <v>1743</v>
      </c>
      <c r="D1306" s="7">
        <v>-1.0653668999999999</v>
      </c>
      <c r="E1306" s="7">
        <v>-1.9051039000000001</v>
      </c>
      <c r="F1306" s="9" t="str">
        <f t="shared" si="7"/>
        <v>Direct</v>
      </c>
      <c r="G1306" s="7" t="s">
        <v>11</v>
      </c>
    </row>
    <row r="1307" spans="1:7" x14ac:dyDescent="0.2">
      <c r="A1307" s="6" t="s">
        <v>8</v>
      </c>
      <c r="B1307" s="7" t="s">
        <v>13</v>
      </c>
      <c r="C1307" s="7" t="s">
        <v>1744</v>
      </c>
      <c r="D1307" s="7">
        <v>-4.3409548999999998</v>
      </c>
      <c r="E1307" s="7">
        <v>-8.9394007000000002</v>
      </c>
      <c r="F1307" s="9" t="str">
        <f t="shared" si="7"/>
        <v>Direct</v>
      </c>
      <c r="G1307" s="7" t="s">
        <v>11</v>
      </c>
    </row>
    <row r="1308" spans="1:7" x14ac:dyDescent="0.2">
      <c r="A1308" s="6" t="s">
        <v>8</v>
      </c>
      <c r="B1308" s="7" t="s">
        <v>13</v>
      </c>
      <c r="C1308" s="7" t="s">
        <v>1745</v>
      </c>
      <c r="D1308" s="7">
        <v>-1.3038449000000001</v>
      </c>
      <c r="E1308" s="7">
        <v>-4.9273422</v>
      </c>
      <c r="F1308" s="9" t="str">
        <f t="shared" si="7"/>
        <v>Direct</v>
      </c>
      <c r="G1308" s="7" t="s">
        <v>1746</v>
      </c>
    </row>
    <row r="1309" spans="1:7" x14ac:dyDescent="0.2">
      <c r="A1309" s="6" t="s">
        <v>8</v>
      </c>
      <c r="B1309" s="7" t="s">
        <v>13</v>
      </c>
      <c r="C1309" s="7" t="s">
        <v>1747</v>
      </c>
      <c r="D1309" s="7">
        <v>-1.6757405999999999</v>
      </c>
      <c r="E1309" s="7">
        <v>-10.164966</v>
      </c>
      <c r="F1309" s="9" t="str">
        <f t="shared" si="7"/>
        <v>Direct</v>
      </c>
      <c r="G1309" s="7" t="s">
        <v>11</v>
      </c>
    </row>
    <row r="1310" spans="1:7" x14ac:dyDescent="0.2">
      <c r="A1310" s="6" t="s">
        <v>8</v>
      </c>
      <c r="B1310" s="7" t="s">
        <v>13</v>
      </c>
      <c r="C1310" s="7" t="s">
        <v>1748</v>
      </c>
      <c r="D1310" s="7">
        <v>1.5856638700000001</v>
      </c>
      <c r="E1310" s="7">
        <v>2.9022659200000001</v>
      </c>
      <c r="F1310" s="9" t="str">
        <f t="shared" si="7"/>
        <v>Direct</v>
      </c>
      <c r="G1310" s="7" t="s">
        <v>11</v>
      </c>
    </row>
    <row r="1311" spans="1:7" x14ac:dyDescent="0.2">
      <c r="A1311" s="6" t="s">
        <v>8</v>
      </c>
      <c r="B1311" s="7" t="s">
        <v>13</v>
      </c>
      <c r="C1311" s="7" t="s">
        <v>1749</v>
      </c>
      <c r="D1311" s="7">
        <v>1.4238173700000001</v>
      </c>
      <c r="E1311" s="7">
        <v>1.5257619899999999</v>
      </c>
      <c r="F1311" s="9" t="str">
        <f t="shared" si="7"/>
        <v>Direct</v>
      </c>
      <c r="G1311" s="7" t="s">
        <v>11</v>
      </c>
    </row>
    <row r="1312" spans="1:7" x14ac:dyDescent="0.2">
      <c r="A1312" s="6" t="s">
        <v>8</v>
      </c>
      <c r="B1312" s="7" t="s">
        <v>13</v>
      </c>
      <c r="C1312" s="7" t="s">
        <v>1750</v>
      </c>
      <c r="D1312" s="7">
        <v>1.2434282000000001</v>
      </c>
      <c r="E1312" s="7">
        <v>1.44650999</v>
      </c>
      <c r="F1312" s="9" t="str">
        <f t="shared" si="7"/>
        <v>Direct</v>
      </c>
      <c r="G1312" s="7" t="s">
        <v>1751</v>
      </c>
    </row>
    <row r="1313" spans="1:7" x14ac:dyDescent="0.2">
      <c r="A1313" s="6" t="s">
        <v>8</v>
      </c>
      <c r="B1313" s="7" t="s">
        <v>13</v>
      </c>
      <c r="C1313" s="7" t="s">
        <v>1752</v>
      </c>
      <c r="D1313" s="7">
        <v>-1.3155269999999999</v>
      </c>
      <c r="E1313" s="7">
        <v>-1.9525726999999999</v>
      </c>
      <c r="F1313" s="9" t="str">
        <f t="shared" si="7"/>
        <v>Direct</v>
      </c>
      <c r="G1313" s="7" t="s">
        <v>11</v>
      </c>
    </row>
    <row r="1314" spans="1:7" x14ac:dyDescent="0.2">
      <c r="A1314" s="6" t="s">
        <v>8</v>
      </c>
      <c r="B1314" s="7" t="s">
        <v>13</v>
      </c>
      <c r="C1314" s="7" t="s">
        <v>1753</v>
      </c>
      <c r="D1314" s="7">
        <v>2.2336497400000002</v>
      </c>
      <c r="E1314" s="7">
        <v>14.0127045</v>
      </c>
      <c r="F1314" s="9" t="str">
        <f t="shared" si="7"/>
        <v>Direct</v>
      </c>
      <c r="G1314" s="7" t="s">
        <v>11</v>
      </c>
    </row>
    <row r="1315" spans="1:7" x14ac:dyDescent="0.2">
      <c r="A1315" s="6" t="s">
        <v>8</v>
      </c>
      <c r="B1315" s="7" t="s">
        <v>13</v>
      </c>
      <c r="C1315" s="7" t="s">
        <v>1754</v>
      </c>
      <c r="D1315" s="7">
        <v>1.4088440099999999</v>
      </c>
      <c r="E1315" s="7">
        <v>9.6188307099999992</v>
      </c>
      <c r="F1315" s="9" t="str">
        <f t="shared" si="7"/>
        <v>Direct</v>
      </c>
      <c r="G1315" s="7" t="s">
        <v>11</v>
      </c>
    </row>
    <row r="1316" spans="1:7" x14ac:dyDescent="0.2">
      <c r="A1316" s="6" t="s">
        <v>8</v>
      </c>
      <c r="B1316" s="7" t="s">
        <v>13</v>
      </c>
      <c r="C1316" s="7" t="s">
        <v>1755</v>
      </c>
      <c r="D1316" s="7">
        <v>2.5360034300000001</v>
      </c>
      <c r="E1316" s="7">
        <v>1.62657253</v>
      </c>
      <c r="F1316" s="9" t="str">
        <f t="shared" si="7"/>
        <v>Direct</v>
      </c>
      <c r="G1316" s="7" t="s">
        <v>11</v>
      </c>
    </row>
    <row r="1317" spans="1:7" x14ac:dyDescent="0.2">
      <c r="A1317" s="6" t="s">
        <v>8</v>
      </c>
      <c r="B1317" s="7" t="s">
        <v>13</v>
      </c>
      <c r="C1317" s="7" t="s">
        <v>1756</v>
      </c>
      <c r="D1317" s="7">
        <v>1.25443609</v>
      </c>
      <c r="E1317" s="7">
        <v>4.6398471900000002</v>
      </c>
      <c r="F1317" s="9" t="str">
        <f t="shared" si="7"/>
        <v>Direct</v>
      </c>
      <c r="G1317" s="7" t="s">
        <v>461</v>
      </c>
    </row>
    <row r="1318" spans="1:7" x14ac:dyDescent="0.2">
      <c r="A1318" s="6" t="s">
        <v>8</v>
      </c>
      <c r="B1318" s="7" t="s">
        <v>13</v>
      </c>
      <c r="C1318" s="7" t="s">
        <v>1757</v>
      </c>
      <c r="D1318" s="7">
        <v>1.6423810000000001</v>
      </c>
      <c r="E1318" s="7">
        <v>4.06829515</v>
      </c>
      <c r="F1318" s="9" t="str">
        <f t="shared" si="7"/>
        <v>Direct</v>
      </c>
      <c r="G1318" s="7" t="s">
        <v>461</v>
      </c>
    </row>
    <row r="1319" spans="1:7" x14ac:dyDescent="0.2">
      <c r="A1319" s="6" t="s">
        <v>8</v>
      </c>
      <c r="B1319" s="7" t="s">
        <v>13</v>
      </c>
      <c r="C1319" s="7" t="s">
        <v>463</v>
      </c>
      <c r="D1319" s="7">
        <v>-1.6646715000000001</v>
      </c>
      <c r="E1319" s="7">
        <v>-1.8074535</v>
      </c>
      <c r="F1319" s="9" t="str">
        <f t="shared" si="7"/>
        <v>Direct</v>
      </c>
      <c r="G1319" s="7" t="s">
        <v>461</v>
      </c>
    </row>
    <row r="1320" spans="1:7" x14ac:dyDescent="0.2">
      <c r="A1320" s="6" t="s">
        <v>8</v>
      </c>
      <c r="B1320" s="7" t="s">
        <v>13</v>
      </c>
      <c r="C1320" s="7" t="s">
        <v>1758</v>
      </c>
      <c r="D1320" s="7">
        <v>-1.0005841</v>
      </c>
      <c r="E1320" s="7">
        <v>-2.5251538999999998</v>
      </c>
      <c r="F1320" s="9" t="str">
        <f t="shared" si="7"/>
        <v>Direct</v>
      </c>
      <c r="G1320" s="7" t="s">
        <v>465</v>
      </c>
    </row>
    <row r="1321" spans="1:7" x14ac:dyDescent="0.2">
      <c r="A1321" s="6" t="s">
        <v>8</v>
      </c>
      <c r="B1321" s="7" t="s">
        <v>13</v>
      </c>
      <c r="C1321" s="7" t="s">
        <v>1759</v>
      </c>
      <c r="D1321" s="7">
        <v>1.3483945399999999</v>
      </c>
      <c r="E1321" s="7">
        <v>3.9005255000000001</v>
      </c>
      <c r="F1321" s="9" t="str">
        <f t="shared" si="7"/>
        <v>Direct</v>
      </c>
      <c r="G1321" s="7" t="s">
        <v>11</v>
      </c>
    </row>
    <row r="1322" spans="1:7" x14ac:dyDescent="0.2">
      <c r="A1322" s="6" t="s">
        <v>8</v>
      </c>
      <c r="B1322" s="7" t="s">
        <v>13</v>
      </c>
      <c r="C1322" s="7" t="s">
        <v>1760</v>
      </c>
      <c r="D1322" s="7">
        <v>1.3467814899999999</v>
      </c>
      <c r="E1322" s="7">
        <v>1.99717787</v>
      </c>
      <c r="F1322" s="9" t="str">
        <f t="shared" si="7"/>
        <v>Direct</v>
      </c>
      <c r="G1322" s="7" t="s">
        <v>11</v>
      </c>
    </row>
    <row r="1323" spans="1:7" x14ac:dyDescent="0.2">
      <c r="A1323" s="6" t="s">
        <v>8</v>
      </c>
      <c r="B1323" s="7" t="s">
        <v>13</v>
      </c>
      <c r="C1323" s="7" t="s">
        <v>1761</v>
      </c>
      <c r="D1323" s="7">
        <v>1.26494427</v>
      </c>
      <c r="E1323" s="7">
        <v>2.48356961</v>
      </c>
      <c r="F1323" s="9" t="str">
        <f t="shared" si="7"/>
        <v>Direct</v>
      </c>
      <c r="G1323" s="7" t="s">
        <v>461</v>
      </c>
    </row>
    <row r="1324" spans="1:7" x14ac:dyDescent="0.2">
      <c r="A1324" s="6" t="s">
        <v>8</v>
      </c>
      <c r="B1324" s="7" t="s">
        <v>13</v>
      </c>
      <c r="C1324" s="7" t="s">
        <v>1762</v>
      </c>
      <c r="D1324" s="7">
        <v>1.74225027</v>
      </c>
      <c r="E1324" s="7">
        <v>3.1758846799999998</v>
      </c>
      <c r="F1324" s="9" t="str">
        <f t="shared" si="7"/>
        <v>Direct</v>
      </c>
      <c r="G1324" s="7" t="s">
        <v>1763</v>
      </c>
    </row>
    <row r="1325" spans="1:7" x14ac:dyDescent="0.2">
      <c r="A1325" s="6" t="s">
        <v>8</v>
      </c>
      <c r="B1325" s="7" t="s">
        <v>13</v>
      </c>
      <c r="C1325" s="7" t="s">
        <v>1764</v>
      </c>
      <c r="D1325" s="7">
        <v>-3.3779184999999998</v>
      </c>
      <c r="E1325" s="7">
        <v>-1.9175525</v>
      </c>
      <c r="F1325" s="9" t="str">
        <f t="shared" si="7"/>
        <v>Direct</v>
      </c>
      <c r="G1325" s="7" t="s">
        <v>11</v>
      </c>
    </row>
    <row r="1326" spans="1:7" x14ac:dyDescent="0.2">
      <c r="A1326" s="6" t="s">
        <v>8</v>
      </c>
      <c r="B1326" s="7" t="s">
        <v>13</v>
      </c>
      <c r="C1326" s="7" t="s">
        <v>1765</v>
      </c>
      <c r="D1326" s="7">
        <v>-1.0293691</v>
      </c>
      <c r="E1326" s="7">
        <v>-3.9909161000000002</v>
      </c>
      <c r="F1326" s="9" t="str">
        <f t="shared" si="7"/>
        <v>Direct</v>
      </c>
      <c r="G1326" s="7" t="s">
        <v>11</v>
      </c>
    </row>
    <row r="1327" spans="1:7" x14ac:dyDescent="0.2">
      <c r="A1327" s="6" t="s">
        <v>8</v>
      </c>
      <c r="B1327" s="7" t="s">
        <v>13</v>
      </c>
      <c r="C1327" s="7" t="s">
        <v>1766</v>
      </c>
      <c r="D1327" s="7">
        <v>-1.6190713999999999</v>
      </c>
      <c r="E1327" s="7">
        <v>-1.8226659000000001</v>
      </c>
      <c r="F1327" s="9" t="str">
        <f t="shared" si="7"/>
        <v>Direct</v>
      </c>
      <c r="G1327" s="7" t="s">
        <v>11</v>
      </c>
    </row>
    <row r="1328" spans="1:7" x14ac:dyDescent="0.2">
      <c r="A1328" s="6" t="s">
        <v>8</v>
      </c>
      <c r="B1328" s="7" t="s">
        <v>13</v>
      </c>
      <c r="C1328" s="7" t="s">
        <v>1767</v>
      </c>
      <c r="D1328" s="7">
        <v>-1.1826823</v>
      </c>
      <c r="E1328" s="7">
        <v>-1.4529041</v>
      </c>
      <c r="F1328" s="9" t="str">
        <f t="shared" si="7"/>
        <v>Direct</v>
      </c>
      <c r="G1328" s="7" t="s">
        <v>11</v>
      </c>
    </row>
    <row r="1329" spans="1:7" x14ac:dyDescent="0.2">
      <c r="A1329" s="6" t="s">
        <v>8</v>
      </c>
      <c r="B1329" s="7" t="s">
        <v>13</v>
      </c>
      <c r="C1329" s="7" t="s">
        <v>1768</v>
      </c>
      <c r="D1329" s="7">
        <v>-1.4017767000000001</v>
      </c>
      <c r="E1329" s="7">
        <v>-4.9336447000000003</v>
      </c>
      <c r="F1329" s="9" t="str">
        <f t="shared" si="7"/>
        <v>Direct</v>
      </c>
      <c r="G1329" s="7" t="s">
        <v>474</v>
      </c>
    </row>
    <row r="1330" spans="1:7" x14ac:dyDescent="0.2">
      <c r="A1330" s="6" t="s">
        <v>8</v>
      </c>
      <c r="B1330" s="7" t="s">
        <v>13</v>
      </c>
      <c r="C1330" s="7" t="s">
        <v>473</v>
      </c>
      <c r="D1330" s="7">
        <v>1.69054221</v>
      </c>
      <c r="E1330" s="7">
        <v>2.4253223099999999</v>
      </c>
      <c r="F1330" s="9" t="str">
        <f t="shared" si="7"/>
        <v>Direct</v>
      </c>
      <c r="G1330" s="7" t="s">
        <v>474</v>
      </c>
    </row>
    <row r="1331" spans="1:7" x14ac:dyDescent="0.2">
      <c r="A1331" s="6" t="s">
        <v>8</v>
      </c>
      <c r="B1331" s="7" t="s">
        <v>13</v>
      </c>
      <c r="C1331" s="7" t="s">
        <v>475</v>
      </c>
      <c r="D1331" s="7">
        <v>1.1028909</v>
      </c>
      <c r="E1331" s="7">
        <v>1.6831843399999999</v>
      </c>
      <c r="F1331" s="9" t="str">
        <f t="shared" si="7"/>
        <v>Direct</v>
      </c>
      <c r="G1331" s="7" t="s">
        <v>474</v>
      </c>
    </row>
    <row r="1332" spans="1:7" x14ac:dyDescent="0.2">
      <c r="A1332" s="6" t="s">
        <v>8</v>
      </c>
      <c r="B1332" s="7" t="s">
        <v>13</v>
      </c>
      <c r="C1332" s="7" t="s">
        <v>1769</v>
      </c>
      <c r="D1332" s="7">
        <v>-1.4068132</v>
      </c>
      <c r="E1332" s="7">
        <v>-1.3587180999999999</v>
      </c>
      <c r="F1332" s="9" t="str">
        <f t="shared" si="7"/>
        <v>Direct</v>
      </c>
      <c r="G1332" s="7" t="s">
        <v>11</v>
      </c>
    </row>
    <row r="1333" spans="1:7" x14ac:dyDescent="0.2">
      <c r="A1333" s="6" t="s">
        <v>8</v>
      </c>
      <c r="B1333" s="7" t="s">
        <v>13</v>
      </c>
      <c r="C1333" s="7" t="s">
        <v>1770</v>
      </c>
      <c r="D1333" s="7">
        <v>-2.6194245999999999</v>
      </c>
      <c r="E1333" s="7">
        <v>-1.7367022000000001</v>
      </c>
      <c r="F1333" s="9" t="str">
        <f t="shared" si="7"/>
        <v>Direct</v>
      </c>
      <c r="G1333" s="7" t="s">
        <v>1771</v>
      </c>
    </row>
    <row r="1334" spans="1:7" x14ac:dyDescent="0.2">
      <c r="A1334" s="6" t="s">
        <v>8</v>
      </c>
      <c r="B1334" s="7" t="s">
        <v>13</v>
      </c>
      <c r="C1334" s="7" t="s">
        <v>1772</v>
      </c>
      <c r="D1334" s="7">
        <v>-1.1459634000000001</v>
      </c>
      <c r="E1334" s="7">
        <v>-2.7321171999999998</v>
      </c>
      <c r="F1334" s="9" t="str">
        <f t="shared" si="7"/>
        <v>Direct</v>
      </c>
      <c r="G1334" s="7" t="s">
        <v>11</v>
      </c>
    </row>
    <row r="1335" spans="1:7" x14ac:dyDescent="0.2">
      <c r="A1335" s="6" t="s">
        <v>8</v>
      </c>
      <c r="B1335" s="7" t="s">
        <v>13</v>
      </c>
      <c r="C1335" s="7" t="s">
        <v>1773</v>
      </c>
      <c r="D1335" s="7">
        <v>-1.1576719</v>
      </c>
      <c r="E1335" s="7">
        <v>-1.6362897999999999</v>
      </c>
      <c r="F1335" s="9" t="str">
        <f t="shared" si="7"/>
        <v>Direct</v>
      </c>
      <c r="G1335" s="7" t="s">
        <v>1774</v>
      </c>
    </row>
    <row r="1336" spans="1:7" x14ac:dyDescent="0.2">
      <c r="A1336" s="6" t="s">
        <v>8</v>
      </c>
      <c r="B1336" s="7" t="s">
        <v>13</v>
      </c>
      <c r="C1336" s="7" t="s">
        <v>1775</v>
      </c>
      <c r="D1336" s="7">
        <v>-1.3565197</v>
      </c>
      <c r="E1336" s="7">
        <v>-1.2047656</v>
      </c>
      <c r="F1336" s="9" t="str">
        <f t="shared" si="7"/>
        <v>Direct</v>
      </c>
      <c r="G1336" s="7" t="s">
        <v>1776</v>
      </c>
    </row>
    <row r="1337" spans="1:7" x14ac:dyDescent="0.2">
      <c r="A1337" s="6" t="s">
        <v>8</v>
      </c>
      <c r="B1337" s="7" t="s">
        <v>13</v>
      </c>
      <c r="C1337" s="7" t="s">
        <v>1777</v>
      </c>
      <c r="D1337" s="7">
        <v>2.3669570499999999</v>
      </c>
      <c r="E1337" s="7">
        <v>1.2284975199999999</v>
      </c>
      <c r="F1337" s="9" t="str">
        <f t="shared" si="7"/>
        <v>Direct</v>
      </c>
      <c r="G1337" s="7" t="s">
        <v>1778</v>
      </c>
    </row>
    <row r="1338" spans="1:7" x14ac:dyDescent="0.2">
      <c r="A1338" s="6" t="s">
        <v>8</v>
      </c>
      <c r="B1338" s="7" t="s">
        <v>13</v>
      </c>
      <c r="C1338" s="7" t="s">
        <v>1779</v>
      </c>
      <c r="D1338" s="7">
        <v>1.05186296</v>
      </c>
      <c r="E1338" s="7">
        <v>1.47259988</v>
      </c>
      <c r="F1338" s="9" t="str">
        <f t="shared" si="7"/>
        <v>Direct</v>
      </c>
      <c r="G1338" s="7" t="s">
        <v>513</v>
      </c>
    </row>
    <row r="1339" spans="1:7" x14ac:dyDescent="0.2">
      <c r="A1339" s="6" t="s">
        <v>8</v>
      </c>
      <c r="B1339" s="7" t="s">
        <v>13</v>
      </c>
      <c r="C1339" s="7" t="s">
        <v>476</v>
      </c>
      <c r="D1339" s="7">
        <v>1.02215843</v>
      </c>
      <c r="E1339" s="7">
        <v>2.9942807600000001</v>
      </c>
      <c r="F1339" s="9" t="str">
        <f t="shared" si="7"/>
        <v>Direct</v>
      </c>
      <c r="G1339" s="7" t="s">
        <v>11</v>
      </c>
    </row>
    <row r="1340" spans="1:7" x14ac:dyDescent="0.2">
      <c r="A1340" s="6" t="s">
        <v>8</v>
      </c>
      <c r="B1340" s="7" t="s">
        <v>13</v>
      </c>
      <c r="C1340" s="7" t="s">
        <v>1780</v>
      </c>
      <c r="D1340" s="7">
        <v>-1.0504788</v>
      </c>
      <c r="E1340" s="7">
        <v>-3.4947271999999998</v>
      </c>
      <c r="F1340" s="9" t="str">
        <f t="shared" si="7"/>
        <v>Direct</v>
      </c>
      <c r="G1340" s="7" t="s">
        <v>11</v>
      </c>
    </row>
    <row r="1341" spans="1:7" x14ac:dyDescent="0.2">
      <c r="A1341" s="6" t="s">
        <v>8</v>
      </c>
      <c r="B1341" s="7" t="s">
        <v>13</v>
      </c>
      <c r="C1341" s="7" t="s">
        <v>1781</v>
      </c>
      <c r="D1341" s="7">
        <v>1.51557886</v>
      </c>
      <c r="E1341" s="7">
        <v>7.3833941300000001</v>
      </c>
      <c r="F1341" s="9" t="str">
        <f t="shared" si="7"/>
        <v>Direct</v>
      </c>
      <c r="G1341" s="7" t="s">
        <v>11</v>
      </c>
    </row>
    <row r="1342" spans="1:7" x14ac:dyDescent="0.2">
      <c r="A1342" s="6" t="s">
        <v>8</v>
      </c>
      <c r="B1342" s="7" t="s">
        <v>13</v>
      </c>
      <c r="C1342" s="7" t="s">
        <v>1782</v>
      </c>
      <c r="D1342" s="7">
        <v>-1.1576340000000001</v>
      </c>
      <c r="E1342" s="7">
        <v>-3.9907897000000001</v>
      </c>
      <c r="F1342" s="9" t="str">
        <f t="shared" si="7"/>
        <v>Direct</v>
      </c>
      <c r="G1342" s="7" t="s">
        <v>1783</v>
      </c>
    </row>
    <row r="1343" spans="1:7" x14ac:dyDescent="0.2">
      <c r="A1343" s="6" t="s">
        <v>8</v>
      </c>
      <c r="B1343" s="7" t="s">
        <v>13</v>
      </c>
      <c r="C1343" s="7" t="s">
        <v>1784</v>
      </c>
      <c r="D1343" s="7">
        <v>-3.0395827</v>
      </c>
      <c r="E1343" s="7">
        <v>-4.5034365000000003</v>
      </c>
      <c r="F1343" s="9" t="str">
        <f t="shared" si="7"/>
        <v>Direct</v>
      </c>
      <c r="G1343" s="7" t="s">
        <v>1785</v>
      </c>
    </row>
    <row r="1344" spans="1:7" x14ac:dyDescent="0.2">
      <c r="A1344" s="6" t="s">
        <v>8</v>
      </c>
      <c r="B1344" s="7" t="s">
        <v>13</v>
      </c>
      <c r="C1344" s="7" t="s">
        <v>477</v>
      </c>
      <c r="D1344" s="7">
        <v>-3.0332080000000001</v>
      </c>
      <c r="E1344" s="7">
        <v>-7.0627186000000002</v>
      </c>
      <c r="F1344" s="9" t="str">
        <f t="shared" si="7"/>
        <v>Direct</v>
      </c>
      <c r="G1344" s="7" t="s">
        <v>478</v>
      </c>
    </row>
    <row r="1345" spans="1:7" x14ac:dyDescent="0.2">
      <c r="A1345" s="6" t="s">
        <v>8</v>
      </c>
      <c r="B1345" s="7" t="s">
        <v>13</v>
      </c>
      <c r="C1345" s="7" t="s">
        <v>479</v>
      </c>
      <c r="D1345" s="7">
        <v>2.2336497400000002</v>
      </c>
      <c r="E1345" s="7">
        <v>1.06127507</v>
      </c>
      <c r="F1345" s="9" t="str">
        <f t="shared" si="7"/>
        <v>Direct</v>
      </c>
      <c r="G1345" s="7" t="s">
        <v>480</v>
      </c>
    </row>
    <row r="1346" spans="1:7" x14ac:dyDescent="0.2">
      <c r="A1346" s="6" t="s">
        <v>8</v>
      </c>
      <c r="B1346" s="7" t="s">
        <v>13</v>
      </c>
      <c r="C1346" s="7" t="s">
        <v>1786</v>
      </c>
      <c r="D1346" s="7">
        <v>1.3672930599999999</v>
      </c>
      <c r="E1346" s="7">
        <v>1.9007026300000001</v>
      </c>
      <c r="F1346" s="9" t="str">
        <f t="shared" si="7"/>
        <v>Direct</v>
      </c>
      <c r="G1346" s="7" t="s">
        <v>11</v>
      </c>
    </row>
    <row r="1347" spans="1:7" x14ac:dyDescent="0.2">
      <c r="A1347" s="6" t="s">
        <v>8</v>
      </c>
      <c r="B1347" s="7" t="s">
        <v>13</v>
      </c>
      <c r="C1347" s="7" t="s">
        <v>1787</v>
      </c>
      <c r="D1347" s="7">
        <v>1.31552699</v>
      </c>
      <c r="E1347" s="7">
        <v>2.8145386800000001</v>
      </c>
      <c r="F1347" s="9" t="str">
        <f t="shared" si="7"/>
        <v>Direct</v>
      </c>
      <c r="G1347" s="7" t="s">
        <v>1788</v>
      </c>
    </row>
    <row r="1348" spans="1:7" x14ac:dyDescent="0.2">
      <c r="A1348" s="6" t="s">
        <v>8</v>
      </c>
      <c r="B1348" s="7" t="s">
        <v>13</v>
      </c>
      <c r="C1348" s="7" t="s">
        <v>1789</v>
      </c>
      <c r="D1348" s="7">
        <v>5.7189461899999996</v>
      </c>
      <c r="E1348" s="7">
        <v>11.2419194</v>
      </c>
      <c r="F1348" s="9" t="str">
        <f t="shared" si="7"/>
        <v>Direct</v>
      </c>
      <c r="G1348" s="7" t="s">
        <v>1790</v>
      </c>
    </row>
    <row r="1349" spans="1:7" x14ac:dyDescent="0.2">
      <c r="A1349" s="6" t="s">
        <v>8</v>
      </c>
      <c r="B1349" s="7" t="s">
        <v>13</v>
      </c>
      <c r="C1349" s="7" t="s">
        <v>1791</v>
      </c>
      <c r="D1349" s="7">
        <v>1.2771230200000001</v>
      </c>
      <c r="E1349" s="7">
        <v>1.13089773</v>
      </c>
      <c r="F1349" s="9" t="str">
        <f t="shared" si="7"/>
        <v>Direct</v>
      </c>
      <c r="G1349" s="7" t="s">
        <v>1792</v>
      </c>
    </row>
    <row r="1350" spans="1:7" x14ac:dyDescent="0.2">
      <c r="A1350" s="6" t="s">
        <v>8</v>
      </c>
      <c r="B1350" s="7" t="s">
        <v>13</v>
      </c>
      <c r="C1350" s="7" t="s">
        <v>1793</v>
      </c>
      <c r="D1350" s="7">
        <v>1.2386672000000001</v>
      </c>
      <c r="E1350" s="7">
        <v>1.47602893</v>
      </c>
      <c r="F1350" s="9" t="str">
        <f t="shared" si="7"/>
        <v>Direct</v>
      </c>
      <c r="G1350" s="7" t="s">
        <v>1794</v>
      </c>
    </row>
    <row r="1351" spans="1:7" x14ac:dyDescent="0.2">
      <c r="A1351" s="6" t="s">
        <v>8</v>
      </c>
      <c r="B1351" s="7" t="s">
        <v>13</v>
      </c>
      <c r="C1351" s="7" t="s">
        <v>1795</v>
      </c>
      <c r="D1351" s="7">
        <v>2.1576345899999998</v>
      </c>
      <c r="E1351" s="7">
        <v>3.06089996</v>
      </c>
      <c r="F1351" s="9" t="str">
        <f t="shared" si="7"/>
        <v>Direct</v>
      </c>
      <c r="G1351" s="7" t="s">
        <v>1794</v>
      </c>
    </row>
    <row r="1352" spans="1:7" x14ac:dyDescent="0.2">
      <c r="A1352" s="6" t="s">
        <v>8</v>
      </c>
      <c r="B1352" s="7" t="s">
        <v>13</v>
      </c>
      <c r="C1352" s="7" t="s">
        <v>1796</v>
      </c>
      <c r="D1352" s="7">
        <v>-2.2336497</v>
      </c>
      <c r="E1352" s="7">
        <v>-6.2926510000000002</v>
      </c>
      <c r="F1352" s="9" t="str">
        <f t="shared" si="7"/>
        <v>Direct</v>
      </c>
      <c r="G1352" s="7" t="s">
        <v>11</v>
      </c>
    </row>
    <row r="1353" spans="1:7" x14ac:dyDescent="0.2">
      <c r="A1353" s="6" t="s">
        <v>8</v>
      </c>
      <c r="B1353" s="7" t="s">
        <v>13</v>
      </c>
      <c r="C1353" s="7" t="s">
        <v>1797</v>
      </c>
      <c r="D1353" s="7">
        <v>1.96262782</v>
      </c>
      <c r="E1353" s="7">
        <v>1.1241954199999999</v>
      </c>
      <c r="F1353" s="9" t="str">
        <f t="shared" si="7"/>
        <v>Direct</v>
      </c>
      <c r="G1353" s="7" t="s">
        <v>1699</v>
      </c>
    </row>
    <row r="1354" spans="1:7" x14ac:dyDescent="0.2">
      <c r="A1354" s="6" t="s">
        <v>8</v>
      </c>
      <c r="B1354" s="7" t="s">
        <v>13</v>
      </c>
      <c r="C1354" s="7" t="s">
        <v>1798</v>
      </c>
      <c r="D1354" s="7">
        <v>-2.2336497</v>
      </c>
      <c r="E1354" s="7">
        <v>-1.7881514999999999</v>
      </c>
      <c r="F1354" s="9" t="str">
        <f t="shared" si="7"/>
        <v>Direct</v>
      </c>
      <c r="G1354" s="7" t="s">
        <v>1799</v>
      </c>
    </row>
    <row r="1355" spans="1:7" x14ac:dyDescent="0.2">
      <c r="A1355" s="6" t="s">
        <v>8</v>
      </c>
      <c r="B1355" s="7" t="s">
        <v>13</v>
      </c>
      <c r="C1355" s="7" t="s">
        <v>1800</v>
      </c>
      <c r="D1355" s="7">
        <v>1.33403502</v>
      </c>
      <c r="E1355" s="7">
        <v>2.61461371</v>
      </c>
      <c r="F1355" s="9" t="str">
        <f t="shared" si="7"/>
        <v>Direct</v>
      </c>
      <c r="G1355" s="7" t="s">
        <v>11</v>
      </c>
    </row>
    <row r="1356" spans="1:7" x14ac:dyDescent="0.2">
      <c r="A1356" s="6" t="s">
        <v>8</v>
      </c>
      <c r="B1356" s="7" t="s">
        <v>13</v>
      </c>
      <c r="C1356" s="7" t="s">
        <v>1801</v>
      </c>
      <c r="D1356" s="7">
        <v>6.2382223000000003</v>
      </c>
      <c r="E1356" s="7">
        <v>2.5457305699999999</v>
      </c>
      <c r="F1356" s="9" t="str">
        <f t="shared" si="7"/>
        <v>Direct</v>
      </c>
      <c r="G1356" s="7" t="s">
        <v>327</v>
      </c>
    </row>
    <row r="1357" spans="1:7" x14ac:dyDescent="0.2">
      <c r="A1357" s="6" t="s">
        <v>8</v>
      </c>
      <c r="B1357" s="7" t="s">
        <v>13</v>
      </c>
      <c r="C1357" s="7" t="s">
        <v>1802</v>
      </c>
      <c r="D1357" s="7">
        <v>3.7964918600000002</v>
      </c>
      <c r="E1357" s="7">
        <v>5.4084193699999998</v>
      </c>
      <c r="F1357" s="9" t="str">
        <f t="shared" si="7"/>
        <v>Direct</v>
      </c>
      <c r="G1357" s="7" t="s">
        <v>11</v>
      </c>
    </row>
    <row r="1358" spans="1:7" x14ac:dyDescent="0.2">
      <c r="A1358" s="6" t="s">
        <v>8</v>
      </c>
      <c r="B1358" s="7" t="s">
        <v>13</v>
      </c>
      <c r="C1358" s="7" t="s">
        <v>1803</v>
      </c>
      <c r="D1358" s="7">
        <v>-5.1622431000000004</v>
      </c>
      <c r="E1358" s="7">
        <v>-6.9606304999999997</v>
      </c>
      <c r="F1358" s="9" t="str">
        <f t="shared" si="7"/>
        <v>Direct</v>
      </c>
      <c r="G1358" s="7" t="s">
        <v>1804</v>
      </c>
    </row>
    <row r="1359" spans="1:7" x14ac:dyDescent="0.2">
      <c r="A1359" s="6" t="s">
        <v>8</v>
      </c>
      <c r="B1359" s="7" t="s">
        <v>13</v>
      </c>
      <c r="C1359" s="7" t="s">
        <v>1805</v>
      </c>
      <c r="D1359" s="7">
        <v>-4.1539786000000003</v>
      </c>
      <c r="E1359" s="7">
        <v>-6.8754068000000004</v>
      </c>
      <c r="F1359" s="9" t="str">
        <f t="shared" si="7"/>
        <v>Direct</v>
      </c>
      <c r="G1359" s="7" t="s">
        <v>11</v>
      </c>
    </row>
    <row r="1360" spans="1:7" x14ac:dyDescent="0.2">
      <c r="A1360" s="6" t="s">
        <v>8</v>
      </c>
      <c r="B1360" s="7" t="s">
        <v>13</v>
      </c>
      <c r="C1360" s="7" t="s">
        <v>1806</v>
      </c>
      <c r="D1360" s="7">
        <v>-1.7160489000000001</v>
      </c>
      <c r="E1360" s="7">
        <v>-2.9694957</v>
      </c>
      <c r="F1360" s="9" t="str">
        <f t="shared" si="7"/>
        <v>Direct</v>
      </c>
      <c r="G1360" s="7" t="s">
        <v>1807</v>
      </c>
    </row>
    <row r="1361" spans="1:7" x14ac:dyDescent="0.2">
      <c r="A1361" s="6" t="s">
        <v>8</v>
      </c>
      <c r="B1361" s="7" t="s">
        <v>13</v>
      </c>
      <c r="C1361" s="7" t="s">
        <v>1808</v>
      </c>
      <c r="D1361" s="7">
        <v>-1.0660992</v>
      </c>
      <c r="E1361" s="7">
        <v>-3.5262714000000002</v>
      </c>
      <c r="F1361" s="9" t="str">
        <f t="shared" si="7"/>
        <v>Direct</v>
      </c>
      <c r="G1361" s="7" t="s">
        <v>11</v>
      </c>
    </row>
    <row r="1362" spans="1:7" x14ac:dyDescent="0.2">
      <c r="A1362" s="6" t="s">
        <v>8</v>
      </c>
      <c r="B1362" s="7" t="s">
        <v>13</v>
      </c>
      <c r="C1362" s="7" t="s">
        <v>1809</v>
      </c>
      <c r="D1362" s="7">
        <v>2.0745887199999999</v>
      </c>
      <c r="E1362" s="7">
        <v>1.6848965899999999</v>
      </c>
      <c r="F1362" s="9" t="str">
        <f t="shared" si="7"/>
        <v>Direct</v>
      </c>
      <c r="G1362" s="7" t="s">
        <v>1468</v>
      </c>
    </row>
    <row r="1363" spans="1:7" x14ac:dyDescent="0.2">
      <c r="A1363" s="6" t="s">
        <v>8</v>
      </c>
      <c r="B1363" s="7" t="s">
        <v>13</v>
      </c>
      <c r="C1363" s="7" t="s">
        <v>1810</v>
      </c>
      <c r="D1363" s="7">
        <v>3.22938138</v>
      </c>
      <c r="E1363" s="7">
        <v>9.3916222999999999</v>
      </c>
      <c r="F1363" s="9" t="str">
        <f t="shared" si="7"/>
        <v>Direct</v>
      </c>
      <c r="G1363" s="7" t="s">
        <v>11</v>
      </c>
    </row>
    <row r="1364" spans="1:7" x14ac:dyDescent="0.2">
      <c r="A1364" s="6" t="s">
        <v>8</v>
      </c>
      <c r="B1364" s="7" t="s">
        <v>13</v>
      </c>
      <c r="C1364" s="7" t="s">
        <v>1811</v>
      </c>
      <c r="D1364" s="7">
        <v>1.23442472</v>
      </c>
      <c r="E1364" s="7">
        <v>3.5926015100000002</v>
      </c>
      <c r="F1364" s="9" t="str">
        <f t="shared" si="7"/>
        <v>Direct</v>
      </c>
      <c r="G1364" s="7" t="s">
        <v>11</v>
      </c>
    </row>
    <row r="1365" spans="1:7" x14ac:dyDescent="0.2">
      <c r="A1365" s="6" t="s">
        <v>8</v>
      </c>
      <c r="B1365" s="7" t="s">
        <v>13</v>
      </c>
      <c r="C1365" s="7" t="s">
        <v>1812</v>
      </c>
      <c r="D1365" s="7">
        <v>1.2533337099999999</v>
      </c>
      <c r="E1365" s="7">
        <v>3.6229197499999999</v>
      </c>
      <c r="F1365" s="9" t="str">
        <f t="shared" si="7"/>
        <v>Direct</v>
      </c>
      <c r="G1365" s="7" t="s">
        <v>1813</v>
      </c>
    </row>
    <row r="1366" spans="1:7" x14ac:dyDescent="0.2">
      <c r="A1366" s="6" t="s">
        <v>8</v>
      </c>
      <c r="B1366" s="7" t="s">
        <v>13</v>
      </c>
      <c r="C1366" s="7" t="s">
        <v>1814</v>
      </c>
      <c r="D1366" s="7">
        <v>-1.6637069</v>
      </c>
      <c r="E1366" s="7">
        <v>-1.5199872999999999</v>
      </c>
      <c r="F1366" s="9" t="str">
        <f t="shared" si="7"/>
        <v>Direct</v>
      </c>
      <c r="G1366" s="7" t="s">
        <v>1815</v>
      </c>
    </row>
    <row r="1367" spans="1:7" x14ac:dyDescent="0.2">
      <c r="A1367" s="6" t="s">
        <v>8</v>
      </c>
      <c r="B1367" s="7" t="s">
        <v>13</v>
      </c>
      <c r="C1367" s="7" t="s">
        <v>1816</v>
      </c>
      <c r="D1367" s="7">
        <v>2.7733463299999999</v>
      </c>
      <c r="E1367" s="7">
        <v>3.0034049399999998</v>
      </c>
      <c r="F1367" s="9" t="str">
        <f t="shared" si="7"/>
        <v>Direct</v>
      </c>
      <c r="G1367" s="7" t="s">
        <v>11</v>
      </c>
    </row>
    <row r="1368" spans="1:7" x14ac:dyDescent="0.2">
      <c r="A1368" s="6" t="s">
        <v>8</v>
      </c>
      <c r="B1368" s="7" t="s">
        <v>13</v>
      </c>
      <c r="C1368" s="7" t="s">
        <v>1817</v>
      </c>
      <c r="D1368" s="7">
        <v>-1.1687741</v>
      </c>
      <c r="E1368" s="7">
        <v>-2.8365355000000001</v>
      </c>
      <c r="F1368" s="9" t="str">
        <f t="shared" si="7"/>
        <v>Direct</v>
      </c>
      <c r="G1368" s="7" t="s">
        <v>1818</v>
      </c>
    </row>
    <row r="1369" spans="1:7" x14ac:dyDescent="0.2">
      <c r="A1369" s="6" t="s">
        <v>8</v>
      </c>
      <c r="B1369" s="7" t="s">
        <v>13</v>
      </c>
      <c r="C1369" s="7" t="s">
        <v>1819</v>
      </c>
      <c r="D1369" s="7">
        <v>1.06707471</v>
      </c>
      <c r="E1369" s="7">
        <v>2.08519801</v>
      </c>
      <c r="F1369" s="9" t="str">
        <f t="shared" si="7"/>
        <v>Direct</v>
      </c>
      <c r="G1369" s="7" t="s">
        <v>1818</v>
      </c>
    </row>
    <row r="1370" spans="1:7" x14ac:dyDescent="0.2">
      <c r="A1370" s="6" t="s">
        <v>8</v>
      </c>
      <c r="B1370" s="7" t="s">
        <v>13</v>
      </c>
      <c r="C1370" s="7" t="s">
        <v>1820</v>
      </c>
      <c r="D1370" s="7">
        <v>2.3664728799999999</v>
      </c>
      <c r="E1370" s="7">
        <v>3.6415582299999998</v>
      </c>
      <c r="F1370" s="9" t="str">
        <f t="shared" si="7"/>
        <v>Direct</v>
      </c>
      <c r="G1370" s="7" t="s">
        <v>11</v>
      </c>
    </row>
    <row r="1371" spans="1:7" x14ac:dyDescent="0.2">
      <c r="A1371" s="6" t="s">
        <v>8</v>
      </c>
      <c r="B1371" s="7" t="s">
        <v>13</v>
      </c>
      <c r="C1371" s="7" t="s">
        <v>1821</v>
      </c>
      <c r="D1371" s="7">
        <v>1.2846960999999999</v>
      </c>
      <c r="E1371" s="7">
        <v>-4.6070776000000002</v>
      </c>
      <c r="F1371" s="9" t="str">
        <f t="shared" si="7"/>
        <v>Inverse</v>
      </c>
      <c r="G1371" s="7" t="s">
        <v>1732</v>
      </c>
    </row>
    <row r="1372" spans="1:7" x14ac:dyDescent="0.2">
      <c r="A1372" s="6" t="s">
        <v>8</v>
      </c>
      <c r="B1372" s="7" t="s">
        <v>13</v>
      </c>
      <c r="C1372" s="7" t="s">
        <v>1822</v>
      </c>
      <c r="D1372" s="7">
        <v>1.0548182800000001</v>
      </c>
      <c r="E1372" s="7">
        <v>4.7703347000000003</v>
      </c>
      <c r="F1372" s="9" t="str">
        <f t="shared" si="7"/>
        <v>Direct</v>
      </c>
      <c r="G1372" s="7" t="s">
        <v>1823</v>
      </c>
    </row>
    <row r="1373" spans="1:7" x14ac:dyDescent="0.2">
      <c r="A1373" s="6" t="s">
        <v>8</v>
      </c>
      <c r="B1373" s="7" t="s">
        <v>13</v>
      </c>
      <c r="C1373" s="7" t="s">
        <v>1824</v>
      </c>
      <c r="D1373" s="7">
        <v>-1.4103178000000001</v>
      </c>
      <c r="E1373" s="7">
        <v>-3.0067056000000001</v>
      </c>
      <c r="F1373" s="9" t="str">
        <f t="shared" si="7"/>
        <v>Direct</v>
      </c>
      <c r="G1373" s="7" t="s">
        <v>11</v>
      </c>
    </row>
    <row r="1374" spans="1:7" x14ac:dyDescent="0.2">
      <c r="A1374" s="6" t="s">
        <v>8</v>
      </c>
      <c r="B1374" s="7" t="s">
        <v>13</v>
      </c>
      <c r="C1374" s="7" t="s">
        <v>1825</v>
      </c>
      <c r="D1374" s="7">
        <v>1.01752164</v>
      </c>
      <c r="E1374" s="7">
        <v>1.4432376099999999</v>
      </c>
      <c r="F1374" s="9" t="str">
        <f t="shared" si="7"/>
        <v>Direct</v>
      </c>
      <c r="G1374" s="7" t="s">
        <v>11</v>
      </c>
    </row>
    <row r="1375" spans="1:7" x14ac:dyDescent="0.2">
      <c r="A1375" s="6" t="s">
        <v>8</v>
      </c>
      <c r="B1375" s="7" t="s">
        <v>13</v>
      </c>
      <c r="C1375" s="7" t="s">
        <v>1826</v>
      </c>
      <c r="D1375" s="7">
        <v>-1.1187391</v>
      </c>
      <c r="E1375" s="7">
        <v>-4.7741458000000003</v>
      </c>
      <c r="F1375" s="9" t="str">
        <f t="shared" si="7"/>
        <v>Direct</v>
      </c>
      <c r="G1375" s="7" t="s">
        <v>11</v>
      </c>
    </row>
    <row r="1376" spans="1:7" x14ac:dyDescent="0.2">
      <c r="A1376" s="6" t="s">
        <v>8</v>
      </c>
      <c r="B1376" s="7" t="s">
        <v>13</v>
      </c>
      <c r="C1376" s="7" t="s">
        <v>1827</v>
      </c>
      <c r="D1376" s="7">
        <v>1.1688501600000001</v>
      </c>
      <c r="E1376" s="7">
        <v>1.6960453499999999</v>
      </c>
      <c r="F1376" s="9" t="str">
        <f t="shared" si="7"/>
        <v>Direct</v>
      </c>
      <c r="G1376" s="7" t="s">
        <v>11</v>
      </c>
    </row>
    <row r="1377" spans="1:7" x14ac:dyDescent="0.2">
      <c r="A1377" s="6" t="s">
        <v>8</v>
      </c>
      <c r="B1377" s="7" t="s">
        <v>13</v>
      </c>
      <c r="C1377" s="7" t="s">
        <v>1828</v>
      </c>
      <c r="D1377" s="7">
        <v>-1.2747142</v>
      </c>
      <c r="E1377" s="7">
        <v>-1.9638732999999999</v>
      </c>
      <c r="F1377" s="9" t="str">
        <f t="shared" si="7"/>
        <v>Direct</v>
      </c>
      <c r="G1377" s="7" t="s">
        <v>1829</v>
      </c>
    </row>
    <row r="1378" spans="1:7" x14ac:dyDescent="0.2">
      <c r="A1378" s="6" t="s">
        <v>8</v>
      </c>
      <c r="B1378" s="7" t="s">
        <v>13</v>
      </c>
      <c r="C1378" s="7" t="s">
        <v>1830</v>
      </c>
      <c r="D1378" s="7">
        <v>-2.3683144999999999</v>
      </c>
      <c r="E1378" s="7">
        <v>-2.2022731000000002</v>
      </c>
      <c r="F1378" s="9" t="str">
        <f t="shared" si="7"/>
        <v>Direct</v>
      </c>
      <c r="G1378" s="7" t="s">
        <v>1831</v>
      </c>
    </row>
    <row r="1379" spans="1:7" x14ac:dyDescent="0.2">
      <c r="A1379" s="6" t="s">
        <v>8</v>
      </c>
      <c r="B1379" s="7" t="s">
        <v>13</v>
      </c>
      <c r="C1379" s="7" t="s">
        <v>1832</v>
      </c>
      <c r="D1379" s="7">
        <v>2.4360676400000001</v>
      </c>
      <c r="E1379" s="7">
        <v>4.0951035899999999</v>
      </c>
      <c r="F1379" s="9" t="str">
        <f t="shared" si="7"/>
        <v>Direct</v>
      </c>
      <c r="G1379" s="7" t="s">
        <v>11</v>
      </c>
    </row>
    <row r="1380" spans="1:7" x14ac:dyDescent="0.2">
      <c r="A1380" s="6" t="s">
        <v>8</v>
      </c>
      <c r="B1380" s="7" t="s">
        <v>13</v>
      </c>
      <c r="C1380" s="7" t="s">
        <v>1833</v>
      </c>
      <c r="D1380" s="7">
        <v>-1.1914457000000001</v>
      </c>
      <c r="E1380" s="7">
        <v>-1.2660117</v>
      </c>
      <c r="F1380" s="9" t="str">
        <f t="shared" si="7"/>
        <v>Direct</v>
      </c>
      <c r="G1380" s="7" t="s">
        <v>1834</v>
      </c>
    </row>
    <row r="1381" spans="1:7" x14ac:dyDescent="0.2">
      <c r="A1381" s="6" t="s">
        <v>8</v>
      </c>
      <c r="B1381" s="7" t="s">
        <v>13</v>
      </c>
      <c r="C1381" s="7" t="s">
        <v>1835</v>
      </c>
      <c r="D1381" s="7">
        <v>1.12115882</v>
      </c>
      <c r="E1381" s="7">
        <v>8.6015648200000001</v>
      </c>
      <c r="F1381" s="9" t="str">
        <f t="shared" si="7"/>
        <v>Direct</v>
      </c>
      <c r="G1381" s="7" t="s">
        <v>106</v>
      </c>
    </row>
    <row r="1382" spans="1:7" x14ac:dyDescent="0.2">
      <c r="A1382" s="6" t="s">
        <v>8</v>
      </c>
      <c r="B1382" s="7" t="s">
        <v>13</v>
      </c>
      <c r="C1382" s="7" t="s">
        <v>494</v>
      </c>
      <c r="D1382" s="7">
        <v>2.4890570599999999</v>
      </c>
      <c r="E1382" s="7">
        <v>8.6120161300000007</v>
      </c>
      <c r="F1382" s="9" t="str">
        <f t="shared" si="7"/>
        <v>Direct</v>
      </c>
      <c r="G1382" s="7" t="s">
        <v>106</v>
      </c>
    </row>
    <row r="1383" spans="1:7" x14ac:dyDescent="0.2">
      <c r="A1383" s="6" t="s">
        <v>8</v>
      </c>
      <c r="B1383" s="7" t="s">
        <v>13</v>
      </c>
      <c r="C1383" s="7" t="s">
        <v>1836</v>
      </c>
      <c r="D1383" s="7">
        <v>1.6011077600000001</v>
      </c>
      <c r="E1383" s="7">
        <v>4.8797469900000001</v>
      </c>
      <c r="F1383" s="9" t="str">
        <f t="shared" si="7"/>
        <v>Direct</v>
      </c>
      <c r="G1383" s="7" t="s">
        <v>1837</v>
      </c>
    </row>
    <row r="1384" spans="1:7" x14ac:dyDescent="0.2">
      <c r="A1384" s="6" t="s">
        <v>8</v>
      </c>
      <c r="B1384" s="7" t="s">
        <v>13</v>
      </c>
      <c r="C1384" s="7" t="s">
        <v>1838</v>
      </c>
      <c r="D1384" s="7">
        <v>-2.3111989999999998</v>
      </c>
      <c r="E1384" s="7">
        <v>-1.7874821999999999</v>
      </c>
      <c r="F1384" s="9" t="str">
        <f t="shared" si="7"/>
        <v>Direct</v>
      </c>
      <c r="G1384" s="7" t="s">
        <v>11</v>
      </c>
    </row>
    <row r="1385" spans="1:7" x14ac:dyDescent="0.2">
      <c r="A1385" s="6" t="s">
        <v>8</v>
      </c>
      <c r="B1385" s="7" t="s">
        <v>13</v>
      </c>
      <c r="C1385" s="7" t="s">
        <v>495</v>
      </c>
      <c r="D1385" s="7">
        <v>2.5494391900000002</v>
      </c>
      <c r="E1385" s="7">
        <v>2.2143107999999998</v>
      </c>
      <c r="F1385" s="9" t="str">
        <f t="shared" si="7"/>
        <v>Direct</v>
      </c>
      <c r="G1385" s="7" t="s">
        <v>11</v>
      </c>
    </row>
    <row r="1386" spans="1:7" x14ac:dyDescent="0.2">
      <c r="A1386" s="6" t="s">
        <v>8</v>
      </c>
      <c r="B1386" s="7" t="s">
        <v>13</v>
      </c>
      <c r="C1386" s="7" t="s">
        <v>1839</v>
      </c>
      <c r="D1386" s="7">
        <v>1.7775505300000001</v>
      </c>
      <c r="E1386" s="7">
        <v>3.010122</v>
      </c>
      <c r="F1386" s="9" t="str">
        <f t="shared" si="7"/>
        <v>Direct</v>
      </c>
      <c r="G1386" s="7" t="s">
        <v>11</v>
      </c>
    </row>
    <row r="1387" spans="1:7" x14ac:dyDescent="0.2">
      <c r="A1387" s="6" t="s">
        <v>8</v>
      </c>
      <c r="B1387" s="7" t="s">
        <v>13</v>
      </c>
      <c r="C1387" s="7" t="s">
        <v>1840</v>
      </c>
      <c r="D1387" s="7">
        <v>3.8837439900000001</v>
      </c>
      <c r="E1387" s="7">
        <v>3.05639869</v>
      </c>
      <c r="F1387" s="9" t="str">
        <f t="shared" si="7"/>
        <v>Direct</v>
      </c>
      <c r="G1387" s="7" t="s">
        <v>1841</v>
      </c>
    </row>
    <row r="1388" spans="1:7" x14ac:dyDescent="0.2">
      <c r="A1388" s="6" t="s">
        <v>8</v>
      </c>
      <c r="B1388" s="7" t="s">
        <v>13</v>
      </c>
      <c r="C1388" s="7" t="s">
        <v>1842</v>
      </c>
      <c r="D1388" s="7">
        <v>6.6494924500000003</v>
      </c>
      <c r="E1388" s="7">
        <v>9.9881107799999995</v>
      </c>
      <c r="F1388" s="9" t="str">
        <f t="shared" si="7"/>
        <v>Direct</v>
      </c>
      <c r="G1388" s="7" t="s">
        <v>11</v>
      </c>
    </row>
    <row r="1389" spans="1:7" x14ac:dyDescent="0.2">
      <c r="A1389" s="6" t="s">
        <v>8</v>
      </c>
      <c r="B1389" s="7" t="s">
        <v>13</v>
      </c>
      <c r="C1389" s="7" t="s">
        <v>496</v>
      </c>
      <c r="D1389" s="7">
        <v>2.2064220799999998</v>
      </c>
      <c r="E1389" s="7">
        <v>5.7155680699999998</v>
      </c>
      <c r="F1389" s="9" t="str">
        <f t="shared" si="7"/>
        <v>Direct</v>
      </c>
      <c r="G1389" s="7" t="s">
        <v>497</v>
      </c>
    </row>
    <row r="1390" spans="1:7" x14ac:dyDescent="0.2">
      <c r="A1390" s="6" t="s">
        <v>8</v>
      </c>
      <c r="B1390" s="7" t="s">
        <v>13</v>
      </c>
      <c r="C1390" s="7" t="s">
        <v>500</v>
      </c>
      <c r="D1390" s="7">
        <v>2.1690200100000001</v>
      </c>
      <c r="E1390" s="7">
        <v>2.4246598000000001</v>
      </c>
      <c r="F1390" s="9" t="str">
        <f t="shared" si="7"/>
        <v>Direct</v>
      </c>
      <c r="G1390" s="7" t="s">
        <v>501</v>
      </c>
    </row>
    <row r="1391" spans="1:7" x14ac:dyDescent="0.2">
      <c r="A1391" s="6" t="s">
        <v>8</v>
      </c>
      <c r="B1391" s="7" t="s">
        <v>13</v>
      </c>
      <c r="C1391" s="7" t="s">
        <v>1843</v>
      </c>
      <c r="D1391" s="7">
        <v>3.2049561999999998</v>
      </c>
      <c r="E1391" s="7">
        <v>1.14555433</v>
      </c>
      <c r="F1391" s="9" t="str">
        <f t="shared" si="7"/>
        <v>Direct</v>
      </c>
      <c r="G1391" s="7" t="s">
        <v>1168</v>
      </c>
    </row>
    <row r="1392" spans="1:7" x14ac:dyDescent="0.2">
      <c r="A1392" s="6" t="s">
        <v>8</v>
      </c>
      <c r="B1392" s="7" t="s">
        <v>13</v>
      </c>
      <c r="C1392" s="7" t="s">
        <v>1844</v>
      </c>
      <c r="D1392" s="7">
        <v>-1.6368783</v>
      </c>
      <c r="E1392" s="7">
        <v>-7.9454661</v>
      </c>
      <c r="F1392" s="9" t="str">
        <f t="shared" si="7"/>
        <v>Direct</v>
      </c>
      <c r="G1392" s="7" t="s">
        <v>11</v>
      </c>
    </row>
    <row r="1393" spans="1:7" x14ac:dyDescent="0.2">
      <c r="A1393" s="6" t="s">
        <v>8</v>
      </c>
      <c r="B1393" s="7" t="s">
        <v>13</v>
      </c>
      <c r="C1393" s="7" t="s">
        <v>1845</v>
      </c>
      <c r="D1393" s="7">
        <v>-1.3890175</v>
      </c>
      <c r="E1393" s="7">
        <v>-1.0168832000000001</v>
      </c>
      <c r="F1393" s="9" t="str">
        <f t="shared" si="7"/>
        <v>Direct</v>
      </c>
      <c r="G1393" s="7" t="s">
        <v>11</v>
      </c>
    </row>
    <row r="1394" spans="1:7" x14ac:dyDescent="0.2">
      <c r="A1394" s="6" t="s">
        <v>8</v>
      </c>
      <c r="B1394" s="7" t="s">
        <v>13</v>
      </c>
      <c r="C1394" s="7" t="s">
        <v>503</v>
      </c>
      <c r="D1394" s="7">
        <v>-2.2538615000000002</v>
      </c>
      <c r="E1394" s="7">
        <v>-3.1452403000000002</v>
      </c>
      <c r="F1394" s="9" t="str">
        <f t="shared" si="7"/>
        <v>Direct</v>
      </c>
      <c r="G1394" s="7" t="s">
        <v>11</v>
      </c>
    </row>
    <row r="1395" spans="1:7" x14ac:dyDescent="0.2">
      <c r="A1395" s="6" t="s">
        <v>8</v>
      </c>
      <c r="B1395" s="7" t="s">
        <v>13</v>
      </c>
      <c r="C1395" s="7" t="s">
        <v>1846</v>
      </c>
      <c r="D1395" s="7">
        <v>1.26727324</v>
      </c>
      <c r="E1395" s="7">
        <v>4.5730667199999999</v>
      </c>
      <c r="F1395" s="9" t="str">
        <f t="shared" si="7"/>
        <v>Direct</v>
      </c>
      <c r="G1395" s="7" t="s">
        <v>11</v>
      </c>
    </row>
    <row r="1396" spans="1:7" x14ac:dyDescent="0.2">
      <c r="A1396" s="6" t="s">
        <v>8</v>
      </c>
      <c r="B1396" s="7" t="s">
        <v>13</v>
      </c>
      <c r="C1396" s="7" t="s">
        <v>506</v>
      </c>
      <c r="D1396" s="7">
        <v>-1.9498854000000001</v>
      </c>
      <c r="E1396" s="7">
        <v>-1.849178</v>
      </c>
      <c r="F1396" s="9" t="str">
        <f t="shared" si="7"/>
        <v>Direct</v>
      </c>
      <c r="G1396" s="7" t="s">
        <v>11</v>
      </c>
    </row>
    <row r="1397" spans="1:7" x14ac:dyDescent="0.2">
      <c r="A1397" s="6" t="s">
        <v>8</v>
      </c>
      <c r="B1397" s="7" t="s">
        <v>13</v>
      </c>
      <c r="C1397" s="7" t="s">
        <v>1847</v>
      </c>
      <c r="D1397" s="7">
        <v>-1.6953526000000001</v>
      </c>
      <c r="E1397" s="7">
        <v>-9.2224129000000001</v>
      </c>
      <c r="F1397" s="9" t="str">
        <f t="shared" si="7"/>
        <v>Direct</v>
      </c>
      <c r="G1397" s="7" t="s">
        <v>11</v>
      </c>
    </row>
    <row r="1398" spans="1:7" x14ac:dyDescent="0.2">
      <c r="A1398" s="6" t="s">
        <v>8</v>
      </c>
      <c r="B1398" s="7" t="s">
        <v>13</v>
      </c>
      <c r="C1398" s="7" t="s">
        <v>1848</v>
      </c>
      <c r="D1398" s="7">
        <v>-1.0854245</v>
      </c>
      <c r="E1398" s="7">
        <v>-1.5603498</v>
      </c>
      <c r="F1398" s="9" t="str">
        <f t="shared" si="7"/>
        <v>Direct</v>
      </c>
      <c r="G1398" s="7" t="s">
        <v>11</v>
      </c>
    </row>
    <row r="1399" spans="1:7" x14ac:dyDescent="0.2">
      <c r="A1399" s="6" t="s">
        <v>8</v>
      </c>
      <c r="B1399" s="7" t="s">
        <v>13</v>
      </c>
      <c r="C1399" s="7" t="s">
        <v>508</v>
      </c>
      <c r="D1399" s="7">
        <v>-1.4390912</v>
      </c>
      <c r="E1399" s="7">
        <v>-2.7547465999999998</v>
      </c>
      <c r="F1399" s="9" t="str">
        <f t="shared" si="7"/>
        <v>Direct</v>
      </c>
      <c r="G1399" s="7" t="s">
        <v>11</v>
      </c>
    </row>
    <row r="1400" spans="1:7" x14ac:dyDescent="0.2">
      <c r="A1400" s="6" t="s">
        <v>8</v>
      </c>
      <c r="B1400" s="7" t="s">
        <v>13</v>
      </c>
      <c r="C1400" s="7" t="s">
        <v>1849</v>
      </c>
      <c r="D1400" s="7">
        <v>-1.1932659000000001</v>
      </c>
      <c r="E1400" s="7">
        <v>-2.8627107999999999</v>
      </c>
      <c r="F1400" s="9" t="str">
        <f t="shared" si="7"/>
        <v>Direct</v>
      </c>
      <c r="G1400" s="7" t="s">
        <v>11</v>
      </c>
    </row>
    <row r="1401" spans="1:7" x14ac:dyDescent="0.2">
      <c r="A1401" s="6" t="s">
        <v>8</v>
      </c>
      <c r="B1401" s="7" t="s">
        <v>13</v>
      </c>
      <c r="C1401" s="7" t="s">
        <v>1850</v>
      </c>
      <c r="D1401" s="7">
        <v>1.21578393</v>
      </c>
      <c r="E1401" s="7">
        <v>3.0227617800000002</v>
      </c>
      <c r="F1401" s="9" t="str">
        <f t="shared" si="7"/>
        <v>Direct</v>
      </c>
      <c r="G1401" s="7" t="s">
        <v>11</v>
      </c>
    </row>
    <row r="1402" spans="1:7" x14ac:dyDescent="0.2">
      <c r="A1402" s="6" t="s">
        <v>8</v>
      </c>
      <c r="B1402" s="7" t="s">
        <v>13</v>
      </c>
      <c r="C1402" s="7" t="s">
        <v>1851</v>
      </c>
      <c r="D1402" s="7">
        <v>-2.8193358000000002</v>
      </c>
      <c r="E1402" s="7">
        <v>-1.4793839</v>
      </c>
      <c r="F1402" s="9" t="str">
        <f t="shared" si="7"/>
        <v>Direct</v>
      </c>
      <c r="G1402" s="7" t="s">
        <v>1852</v>
      </c>
    </row>
    <row r="1403" spans="1:7" x14ac:dyDescent="0.2">
      <c r="A1403" s="6" t="s">
        <v>8</v>
      </c>
      <c r="B1403" s="7" t="s">
        <v>13</v>
      </c>
      <c r="C1403" s="7" t="s">
        <v>1853</v>
      </c>
      <c r="D1403" s="7">
        <v>1.7492728200000001</v>
      </c>
      <c r="E1403" s="7">
        <v>2.3361918799999999</v>
      </c>
      <c r="F1403" s="9" t="str">
        <f t="shared" si="7"/>
        <v>Direct</v>
      </c>
      <c r="G1403" s="7" t="s">
        <v>11</v>
      </c>
    </row>
    <row r="1404" spans="1:7" x14ac:dyDescent="0.2">
      <c r="A1404" s="6" t="s">
        <v>8</v>
      </c>
      <c r="B1404" s="7" t="s">
        <v>13</v>
      </c>
      <c r="C1404" s="7" t="s">
        <v>509</v>
      </c>
      <c r="D1404" s="7">
        <v>1.00540976</v>
      </c>
      <c r="E1404" s="7">
        <v>1.96086754</v>
      </c>
      <c r="F1404" s="9" t="str">
        <f t="shared" si="7"/>
        <v>Direct</v>
      </c>
      <c r="G1404" s="7" t="s">
        <v>510</v>
      </c>
    </row>
    <row r="1405" spans="1:7" x14ac:dyDescent="0.2">
      <c r="A1405" s="6" t="s">
        <v>8</v>
      </c>
      <c r="B1405" s="7" t="s">
        <v>13</v>
      </c>
      <c r="C1405" s="7" t="s">
        <v>1854</v>
      </c>
      <c r="D1405" s="7">
        <v>-2.4261469999999998</v>
      </c>
      <c r="E1405" s="7">
        <v>-4.2114484000000001</v>
      </c>
      <c r="F1405" s="9" t="str">
        <f t="shared" si="7"/>
        <v>Direct</v>
      </c>
      <c r="G1405" s="7" t="s">
        <v>1855</v>
      </c>
    </row>
    <row r="1406" spans="1:7" x14ac:dyDescent="0.2">
      <c r="A1406" s="6" t="s">
        <v>8</v>
      </c>
      <c r="B1406" s="7" t="s">
        <v>13</v>
      </c>
      <c r="C1406" s="7" t="s">
        <v>1856</v>
      </c>
      <c r="D1406" s="7">
        <v>-2.0865594999999999</v>
      </c>
      <c r="E1406" s="7">
        <v>-2.2473325000000002</v>
      </c>
      <c r="F1406" s="9" t="str">
        <f t="shared" si="7"/>
        <v>Direct</v>
      </c>
      <c r="G1406" s="7" t="s">
        <v>1857</v>
      </c>
    </row>
    <row r="1407" spans="1:7" x14ac:dyDescent="0.2">
      <c r="A1407" s="6" t="s">
        <v>8</v>
      </c>
      <c r="B1407" s="7" t="s">
        <v>13</v>
      </c>
      <c r="C1407" s="7" t="s">
        <v>1858</v>
      </c>
      <c r="D1407" s="7">
        <v>1.74754839</v>
      </c>
      <c r="E1407" s="7">
        <v>2.6716742400000002</v>
      </c>
      <c r="F1407" s="9" t="str">
        <f t="shared" si="7"/>
        <v>Direct</v>
      </c>
      <c r="G1407" s="7" t="s">
        <v>513</v>
      </c>
    </row>
    <row r="1408" spans="1:7" x14ac:dyDescent="0.2">
      <c r="A1408" s="6" t="s">
        <v>8</v>
      </c>
      <c r="B1408" s="7" t="s">
        <v>13</v>
      </c>
      <c r="C1408" s="7" t="s">
        <v>1859</v>
      </c>
      <c r="D1408" s="7">
        <v>2.37974351</v>
      </c>
      <c r="E1408" s="7">
        <v>3.0731430999999998</v>
      </c>
      <c r="F1408" s="9" t="str">
        <f t="shared" si="7"/>
        <v>Direct</v>
      </c>
      <c r="G1408" s="7" t="s">
        <v>776</v>
      </c>
    </row>
    <row r="1409" spans="1:7" x14ac:dyDescent="0.2">
      <c r="A1409" s="6" t="s">
        <v>8</v>
      </c>
      <c r="B1409" s="7" t="s">
        <v>13</v>
      </c>
      <c r="C1409" s="7" t="s">
        <v>1860</v>
      </c>
      <c r="D1409" s="7">
        <v>-2.9366026999999999</v>
      </c>
      <c r="E1409" s="7">
        <v>-3.1727641000000002</v>
      </c>
      <c r="F1409" s="9" t="str">
        <f t="shared" si="7"/>
        <v>Direct</v>
      </c>
      <c r="G1409" s="7" t="s">
        <v>1861</v>
      </c>
    </row>
    <row r="1410" spans="1:7" x14ac:dyDescent="0.2">
      <c r="A1410" s="6" t="s">
        <v>8</v>
      </c>
      <c r="B1410" s="7" t="s">
        <v>13</v>
      </c>
      <c r="C1410" s="7" t="s">
        <v>1862</v>
      </c>
      <c r="D1410" s="7">
        <v>1.12500098</v>
      </c>
      <c r="E1410" s="7">
        <v>1.95258299</v>
      </c>
      <c r="F1410" s="9" t="str">
        <f t="shared" si="7"/>
        <v>Direct</v>
      </c>
      <c r="G1410" s="7" t="s">
        <v>11</v>
      </c>
    </row>
    <row r="1411" spans="1:7" x14ac:dyDescent="0.2">
      <c r="A1411" s="6" t="s">
        <v>8</v>
      </c>
      <c r="B1411" s="7" t="s">
        <v>13</v>
      </c>
      <c r="C1411" s="7" t="s">
        <v>1863</v>
      </c>
      <c r="D1411" s="7">
        <v>2.4310512000000002</v>
      </c>
      <c r="E1411" s="7">
        <v>7.0257622599999996</v>
      </c>
      <c r="F1411" s="9" t="str">
        <f t="shared" si="7"/>
        <v>Direct</v>
      </c>
      <c r="G1411" s="7" t="s">
        <v>1864</v>
      </c>
    </row>
    <row r="1412" spans="1:7" x14ac:dyDescent="0.2">
      <c r="A1412" s="6" t="s">
        <v>8</v>
      </c>
      <c r="B1412" s="7" t="s">
        <v>13</v>
      </c>
      <c r="C1412" s="7" t="s">
        <v>1865</v>
      </c>
      <c r="D1412" s="7">
        <v>1.33171745</v>
      </c>
      <c r="E1412" s="7">
        <v>6.4890153100000001</v>
      </c>
      <c r="F1412" s="9" t="str">
        <f t="shared" si="7"/>
        <v>Direct</v>
      </c>
      <c r="G1412" s="7" t="s">
        <v>1866</v>
      </c>
    </row>
    <row r="1413" spans="1:7" x14ac:dyDescent="0.2">
      <c r="A1413" s="6" t="s">
        <v>8</v>
      </c>
      <c r="B1413" s="7" t="s">
        <v>13</v>
      </c>
      <c r="C1413" s="7" t="s">
        <v>1867</v>
      </c>
      <c r="D1413" s="7">
        <v>-1.9924272000000001</v>
      </c>
      <c r="E1413" s="7">
        <v>-2.3703243000000001</v>
      </c>
      <c r="F1413" s="9" t="str">
        <f t="shared" si="7"/>
        <v>Direct</v>
      </c>
      <c r="G1413" s="7" t="s">
        <v>11</v>
      </c>
    </row>
    <row r="1414" spans="1:7" x14ac:dyDescent="0.2">
      <c r="A1414" s="6" t="s">
        <v>8</v>
      </c>
      <c r="B1414" s="7" t="s">
        <v>13</v>
      </c>
      <c r="C1414" s="7" t="s">
        <v>1868</v>
      </c>
      <c r="D1414" s="7">
        <v>2.5826051200000002</v>
      </c>
      <c r="E1414" s="7">
        <v>1.8033327800000001</v>
      </c>
      <c r="F1414" s="9" t="str">
        <f t="shared" si="7"/>
        <v>Direct</v>
      </c>
      <c r="G1414" s="7" t="s">
        <v>11</v>
      </c>
    </row>
    <row r="1415" spans="1:7" x14ac:dyDescent="0.2">
      <c r="A1415" s="6" t="s">
        <v>8</v>
      </c>
      <c r="B1415" s="7" t="s">
        <v>13</v>
      </c>
      <c r="C1415" s="7" t="s">
        <v>1869</v>
      </c>
      <c r="D1415" s="7">
        <v>1.1107311799999999</v>
      </c>
      <c r="E1415" s="7">
        <v>1.7343389499999999</v>
      </c>
      <c r="F1415" s="9" t="str">
        <f t="shared" si="7"/>
        <v>Direct</v>
      </c>
      <c r="G1415" s="7" t="s">
        <v>1870</v>
      </c>
    </row>
    <row r="1416" spans="1:7" x14ac:dyDescent="0.2">
      <c r="A1416" s="6" t="s">
        <v>8</v>
      </c>
      <c r="B1416" s="7" t="s">
        <v>13</v>
      </c>
      <c r="C1416" s="7" t="s">
        <v>1871</v>
      </c>
      <c r="D1416" s="7">
        <v>-2.0102639999999998</v>
      </c>
      <c r="E1416" s="7">
        <v>-4.4686776999999998</v>
      </c>
      <c r="F1416" s="9" t="str">
        <f t="shared" si="7"/>
        <v>Direct</v>
      </c>
      <c r="G1416" s="7" t="s">
        <v>11</v>
      </c>
    </row>
    <row r="1417" spans="1:7" x14ac:dyDescent="0.2">
      <c r="A1417" s="6" t="s">
        <v>8</v>
      </c>
      <c r="B1417" s="7" t="s">
        <v>13</v>
      </c>
      <c r="C1417" s="7" t="s">
        <v>519</v>
      </c>
      <c r="D1417" s="7">
        <v>2.8651066300000001</v>
      </c>
      <c r="E1417" s="7">
        <v>8.4356911300000004</v>
      </c>
      <c r="F1417" s="9" t="str">
        <f t="shared" si="7"/>
        <v>Direct</v>
      </c>
      <c r="G1417" s="7" t="s">
        <v>11</v>
      </c>
    </row>
    <row r="1418" spans="1:7" x14ac:dyDescent="0.2">
      <c r="A1418" s="6" t="s">
        <v>8</v>
      </c>
      <c r="B1418" s="7" t="s">
        <v>13</v>
      </c>
      <c r="C1418" s="7" t="s">
        <v>1872</v>
      </c>
      <c r="D1418" s="7">
        <v>1.50053894</v>
      </c>
      <c r="E1418" s="7">
        <v>1.9265855000000001</v>
      </c>
      <c r="F1418" s="9" t="str">
        <f t="shared" si="7"/>
        <v>Direct</v>
      </c>
      <c r="G1418" s="7" t="s">
        <v>11</v>
      </c>
    </row>
    <row r="1419" spans="1:7" x14ac:dyDescent="0.2">
      <c r="A1419" s="6" t="s">
        <v>8</v>
      </c>
      <c r="B1419" s="7" t="s">
        <v>13</v>
      </c>
      <c r="C1419" s="7" t="s">
        <v>1873</v>
      </c>
      <c r="D1419" s="7">
        <v>2.4750897900000002</v>
      </c>
      <c r="E1419" s="7">
        <v>4.0616946199999999</v>
      </c>
      <c r="F1419" s="9" t="str">
        <f t="shared" si="7"/>
        <v>Direct</v>
      </c>
      <c r="G1419" s="7" t="s">
        <v>11</v>
      </c>
    </row>
    <row r="1420" spans="1:7" x14ac:dyDescent="0.2">
      <c r="A1420" s="6" t="s">
        <v>8</v>
      </c>
      <c r="B1420" s="7" t="s">
        <v>13</v>
      </c>
      <c r="C1420" s="7" t="s">
        <v>520</v>
      </c>
      <c r="D1420" s="7">
        <v>1.7415193099999999</v>
      </c>
      <c r="E1420" s="7">
        <v>5.3379104999999996</v>
      </c>
      <c r="F1420" s="9" t="str">
        <f t="shared" si="7"/>
        <v>Direct</v>
      </c>
      <c r="G1420" s="7" t="s">
        <v>11</v>
      </c>
    </row>
    <row r="1421" spans="1:7" x14ac:dyDescent="0.2">
      <c r="A1421" s="6" t="s">
        <v>8</v>
      </c>
      <c r="B1421" s="7" t="s">
        <v>13</v>
      </c>
      <c r="C1421" s="7" t="s">
        <v>1874</v>
      </c>
      <c r="D1421" s="7">
        <v>-1.0895952</v>
      </c>
      <c r="E1421" s="7">
        <v>-1.185848</v>
      </c>
      <c r="F1421" s="9" t="str">
        <f t="shared" si="7"/>
        <v>Direct</v>
      </c>
      <c r="G1421" s="7" t="s">
        <v>11</v>
      </c>
    </row>
    <row r="1422" spans="1:7" x14ac:dyDescent="0.2">
      <c r="A1422" s="6" t="s">
        <v>8</v>
      </c>
      <c r="B1422" s="7" t="s">
        <v>13</v>
      </c>
      <c r="C1422" s="7" t="s">
        <v>1875</v>
      </c>
      <c r="D1422" s="7">
        <v>-3.2279928</v>
      </c>
      <c r="E1422" s="7">
        <v>-6.7164877000000001</v>
      </c>
      <c r="F1422" s="9" t="str">
        <f t="shared" si="7"/>
        <v>Direct</v>
      </c>
      <c r="G1422" s="7" t="s">
        <v>11</v>
      </c>
    </row>
    <row r="1423" spans="1:7" x14ac:dyDescent="0.2">
      <c r="A1423" s="6" t="s">
        <v>8</v>
      </c>
      <c r="B1423" s="7" t="s">
        <v>13</v>
      </c>
      <c r="C1423" s="7" t="s">
        <v>1876</v>
      </c>
      <c r="D1423" s="7">
        <v>1.0278358400000001</v>
      </c>
      <c r="E1423" s="7">
        <v>1.1550334900000001</v>
      </c>
      <c r="F1423" s="9" t="str">
        <f t="shared" si="7"/>
        <v>Direct</v>
      </c>
      <c r="G1423" s="7" t="s">
        <v>11</v>
      </c>
    </row>
    <row r="1424" spans="1:7" x14ac:dyDescent="0.2">
      <c r="A1424" s="6" t="s">
        <v>8</v>
      </c>
      <c r="B1424" s="7" t="s">
        <v>13</v>
      </c>
      <c r="C1424" s="7" t="s">
        <v>1877</v>
      </c>
      <c r="D1424" s="7">
        <v>1.97652516</v>
      </c>
      <c r="E1424" s="7">
        <v>5.5793312000000004</v>
      </c>
      <c r="F1424" s="9" t="str">
        <f t="shared" si="7"/>
        <v>Direct</v>
      </c>
      <c r="G1424" s="7" t="s">
        <v>11</v>
      </c>
    </row>
    <row r="1425" spans="1:7" x14ac:dyDescent="0.2">
      <c r="A1425" s="6" t="s">
        <v>8</v>
      </c>
      <c r="B1425" s="7" t="s">
        <v>13</v>
      </c>
      <c r="C1425" s="7" t="s">
        <v>521</v>
      </c>
      <c r="D1425" s="7">
        <v>2.0967831499999998</v>
      </c>
      <c r="E1425" s="7">
        <v>2.9198458199999999</v>
      </c>
      <c r="F1425" s="9" t="str">
        <f t="shared" si="7"/>
        <v>Direct</v>
      </c>
      <c r="G1425" s="7" t="s">
        <v>11</v>
      </c>
    </row>
    <row r="1426" spans="1:7" x14ac:dyDescent="0.2">
      <c r="A1426" s="6" t="s">
        <v>8</v>
      </c>
      <c r="B1426" s="7" t="s">
        <v>13</v>
      </c>
      <c r="C1426" s="7" t="s">
        <v>1878</v>
      </c>
      <c r="D1426" s="7">
        <v>1.33671074</v>
      </c>
      <c r="E1426" s="7">
        <v>5.9320646999999997</v>
      </c>
      <c r="F1426" s="9" t="str">
        <f t="shared" si="7"/>
        <v>Direct</v>
      </c>
      <c r="G1426" s="7" t="s">
        <v>693</v>
      </c>
    </row>
    <row r="1427" spans="1:7" x14ac:dyDescent="0.2">
      <c r="A1427" s="6" t="s">
        <v>8</v>
      </c>
      <c r="B1427" s="7" t="s">
        <v>13</v>
      </c>
      <c r="C1427" s="7" t="s">
        <v>1879</v>
      </c>
      <c r="D1427" s="7">
        <v>-4.4345568000000002</v>
      </c>
      <c r="E1427" s="7">
        <v>-1.0590820000000001</v>
      </c>
      <c r="F1427" s="9" t="str">
        <f t="shared" si="7"/>
        <v>Direct</v>
      </c>
      <c r="G1427" s="7" t="s">
        <v>1880</v>
      </c>
    </row>
    <row r="1428" spans="1:7" x14ac:dyDescent="0.2">
      <c r="A1428" s="6" t="s">
        <v>8</v>
      </c>
      <c r="B1428" s="7" t="s">
        <v>13</v>
      </c>
      <c r="C1428" s="7" t="s">
        <v>1881</v>
      </c>
      <c r="D1428" s="7">
        <v>2.1525907100000001</v>
      </c>
      <c r="E1428" s="7">
        <v>3.08288429</v>
      </c>
      <c r="F1428" s="9" t="str">
        <f t="shared" si="7"/>
        <v>Direct</v>
      </c>
      <c r="G1428" s="7" t="s">
        <v>526</v>
      </c>
    </row>
    <row r="1429" spans="1:7" x14ac:dyDescent="0.2">
      <c r="A1429" s="6" t="s">
        <v>8</v>
      </c>
      <c r="B1429" s="7" t="s">
        <v>13</v>
      </c>
      <c r="C1429" s="7" t="s">
        <v>527</v>
      </c>
      <c r="D1429" s="7">
        <v>2.6148582899999999</v>
      </c>
      <c r="E1429" s="7">
        <v>6.4684030400000001</v>
      </c>
      <c r="F1429" s="9" t="str">
        <f t="shared" si="7"/>
        <v>Direct</v>
      </c>
      <c r="G1429" s="7" t="s">
        <v>528</v>
      </c>
    </row>
    <row r="1430" spans="1:7" x14ac:dyDescent="0.2">
      <c r="A1430" s="6" t="s">
        <v>8</v>
      </c>
      <c r="B1430" s="7" t="s">
        <v>13</v>
      </c>
      <c r="C1430" s="7" t="s">
        <v>1882</v>
      </c>
      <c r="D1430" s="7">
        <v>1.95443118</v>
      </c>
      <c r="E1430" s="7">
        <v>5.5913701700000003</v>
      </c>
      <c r="F1430" s="9" t="str">
        <f t="shared" si="7"/>
        <v>Direct</v>
      </c>
      <c r="G1430" s="7" t="s">
        <v>11</v>
      </c>
    </row>
    <row r="1431" spans="1:7" x14ac:dyDescent="0.2">
      <c r="A1431" s="6" t="s">
        <v>8</v>
      </c>
      <c r="B1431" s="7" t="s">
        <v>13</v>
      </c>
      <c r="C1431" s="7" t="s">
        <v>1883</v>
      </c>
      <c r="D1431" s="7">
        <v>1.40816596</v>
      </c>
      <c r="E1431" s="7">
        <v>1.4825225799999999</v>
      </c>
      <c r="F1431" s="9" t="str">
        <f t="shared" si="7"/>
        <v>Direct</v>
      </c>
      <c r="G1431" s="7" t="s">
        <v>1804</v>
      </c>
    </row>
    <row r="1432" spans="1:7" x14ac:dyDescent="0.2">
      <c r="A1432" s="6" t="s">
        <v>8</v>
      </c>
      <c r="B1432" s="7" t="s">
        <v>13</v>
      </c>
      <c r="C1432" s="7" t="s">
        <v>530</v>
      </c>
      <c r="D1432" s="7">
        <v>-1.7532481</v>
      </c>
      <c r="E1432" s="7">
        <v>-3.1444223999999998</v>
      </c>
      <c r="F1432" s="9" t="str">
        <f t="shared" si="7"/>
        <v>Direct</v>
      </c>
      <c r="G1432" s="7" t="s">
        <v>11</v>
      </c>
    </row>
    <row r="1433" spans="1:7" x14ac:dyDescent="0.2">
      <c r="A1433" s="6" t="s">
        <v>8</v>
      </c>
      <c r="B1433" s="7" t="s">
        <v>13</v>
      </c>
      <c r="C1433" s="7" t="s">
        <v>1884</v>
      </c>
      <c r="D1433" s="7">
        <v>-1.0948966</v>
      </c>
      <c r="E1433" s="7">
        <v>-1.3793812000000001</v>
      </c>
      <c r="F1433" s="9" t="str">
        <f t="shared" si="7"/>
        <v>Direct</v>
      </c>
      <c r="G1433" s="7" t="s">
        <v>11</v>
      </c>
    </row>
    <row r="1434" spans="1:7" x14ac:dyDescent="0.2">
      <c r="A1434" s="6" t="s">
        <v>8</v>
      </c>
      <c r="B1434" s="7" t="s">
        <v>13</v>
      </c>
      <c r="C1434" s="7" t="s">
        <v>1885</v>
      </c>
      <c r="D1434" s="7">
        <v>1.10742881</v>
      </c>
      <c r="E1434" s="7">
        <v>1.36333361</v>
      </c>
      <c r="F1434" s="9" t="str">
        <f t="shared" si="7"/>
        <v>Direct</v>
      </c>
      <c r="G1434" s="7" t="s">
        <v>58</v>
      </c>
    </row>
    <row r="1435" spans="1:7" x14ac:dyDescent="0.2">
      <c r="A1435" s="6" t="s">
        <v>8</v>
      </c>
      <c r="B1435" s="7" t="s">
        <v>13</v>
      </c>
      <c r="C1435" s="7" t="s">
        <v>1886</v>
      </c>
      <c r="D1435" s="7">
        <v>1.34395051</v>
      </c>
      <c r="E1435" s="7">
        <v>6.2926510499999999</v>
      </c>
      <c r="F1435" s="9" t="str">
        <f t="shared" si="7"/>
        <v>Direct</v>
      </c>
      <c r="G1435" s="7" t="s">
        <v>11</v>
      </c>
    </row>
    <row r="1436" spans="1:7" x14ac:dyDescent="0.2">
      <c r="A1436" s="6" t="s">
        <v>8</v>
      </c>
      <c r="B1436" s="7" t="s">
        <v>13</v>
      </c>
      <c r="C1436" s="7" t="s">
        <v>1887</v>
      </c>
      <c r="D1436" s="7">
        <v>1.29956973</v>
      </c>
      <c r="E1436" s="7">
        <v>4.2751343899999998</v>
      </c>
      <c r="F1436" s="9" t="str">
        <f t="shared" si="7"/>
        <v>Direct</v>
      </c>
      <c r="G1436" s="7" t="s">
        <v>1888</v>
      </c>
    </row>
    <row r="1437" spans="1:7" x14ac:dyDescent="0.2">
      <c r="A1437" s="6" t="s">
        <v>8</v>
      </c>
      <c r="B1437" s="7" t="s">
        <v>13</v>
      </c>
      <c r="C1437" s="7" t="s">
        <v>1889</v>
      </c>
      <c r="D1437" s="7">
        <v>1.3611504999999999</v>
      </c>
      <c r="E1437" s="7">
        <v>4.2170373300000001</v>
      </c>
      <c r="F1437" s="9" t="str">
        <f t="shared" si="7"/>
        <v>Direct</v>
      </c>
      <c r="G1437" s="7" t="s">
        <v>11</v>
      </c>
    </row>
    <row r="1438" spans="1:7" x14ac:dyDescent="0.2">
      <c r="A1438" s="6" t="s">
        <v>8</v>
      </c>
      <c r="B1438" s="7" t="s">
        <v>13</v>
      </c>
      <c r="C1438" s="7" t="s">
        <v>1890</v>
      </c>
      <c r="D1438" s="7">
        <v>-1.5587857000000001</v>
      </c>
      <c r="E1438" s="7">
        <v>-2.2996221000000001</v>
      </c>
      <c r="F1438" s="9" t="str">
        <f t="shared" si="7"/>
        <v>Direct</v>
      </c>
      <c r="G1438" s="7" t="s">
        <v>1891</v>
      </c>
    </row>
    <row r="1439" spans="1:7" x14ac:dyDescent="0.2">
      <c r="A1439" s="6" t="s">
        <v>8</v>
      </c>
      <c r="B1439" s="7" t="s">
        <v>13</v>
      </c>
      <c r="C1439" s="7" t="s">
        <v>1892</v>
      </c>
      <c r="D1439" s="7">
        <v>-2.0578815000000001</v>
      </c>
      <c r="E1439" s="7">
        <v>-1.2126496</v>
      </c>
      <c r="F1439" s="9" t="str">
        <f t="shared" si="7"/>
        <v>Direct</v>
      </c>
      <c r="G1439" s="7" t="s">
        <v>156</v>
      </c>
    </row>
    <row r="1440" spans="1:7" x14ac:dyDescent="0.2">
      <c r="A1440" s="6" t="s">
        <v>8</v>
      </c>
      <c r="B1440" s="7" t="s">
        <v>13</v>
      </c>
      <c r="C1440" s="7" t="s">
        <v>1893</v>
      </c>
      <c r="D1440" s="7">
        <v>2.4088601000000001</v>
      </c>
      <c r="E1440" s="7">
        <v>3.0533983400000002</v>
      </c>
      <c r="F1440" s="9" t="str">
        <f t="shared" si="7"/>
        <v>Direct</v>
      </c>
      <c r="G1440" s="7" t="s">
        <v>1894</v>
      </c>
    </row>
    <row r="1441" spans="1:7" x14ac:dyDescent="0.2">
      <c r="A1441" s="6" t="s">
        <v>8</v>
      </c>
      <c r="B1441" s="7" t="s">
        <v>13</v>
      </c>
      <c r="C1441" s="7" t="s">
        <v>1895</v>
      </c>
      <c r="D1441" s="7">
        <v>-2.71665</v>
      </c>
      <c r="E1441" s="7">
        <v>-1.2172323</v>
      </c>
      <c r="F1441" s="9" t="str">
        <f t="shared" si="7"/>
        <v>Direct</v>
      </c>
      <c r="G1441" s="7" t="s">
        <v>1345</v>
      </c>
    </row>
    <row r="1442" spans="1:7" x14ac:dyDescent="0.2">
      <c r="A1442" s="6" t="s">
        <v>8</v>
      </c>
      <c r="B1442" s="7" t="s">
        <v>13</v>
      </c>
      <c r="C1442" s="7" t="s">
        <v>1896</v>
      </c>
      <c r="D1442" s="7">
        <v>1.23442472</v>
      </c>
      <c r="E1442" s="7">
        <v>2.6150853700000001</v>
      </c>
      <c r="F1442" s="9" t="str">
        <f t="shared" si="7"/>
        <v>Direct</v>
      </c>
      <c r="G1442" s="7" t="s">
        <v>1897</v>
      </c>
    </row>
    <row r="1443" spans="1:7" x14ac:dyDescent="0.2">
      <c r="A1443" s="6" t="s">
        <v>8</v>
      </c>
      <c r="B1443" s="7" t="s">
        <v>13</v>
      </c>
      <c r="C1443" s="7" t="s">
        <v>1898</v>
      </c>
      <c r="D1443" s="7">
        <v>-2.4128552000000001</v>
      </c>
      <c r="E1443" s="7">
        <v>-1.9899825</v>
      </c>
      <c r="F1443" s="9" t="str">
        <f t="shared" si="7"/>
        <v>Direct</v>
      </c>
      <c r="G1443" s="7" t="s">
        <v>11</v>
      </c>
    </row>
    <row r="1444" spans="1:7" x14ac:dyDescent="0.2">
      <c r="A1444" s="6" t="s">
        <v>8</v>
      </c>
      <c r="B1444" s="7" t="s">
        <v>13</v>
      </c>
      <c r="C1444" s="7" t="s">
        <v>1899</v>
      </c>
      <c r="D1444" s="7">
        <v>1.6941065799999999</v>
      </c>
      <c r="E1444" s="7">
        <v>4.2784159400000004</v>
      </c>
      <c r="F1444" s="9" t="str">
        <f t="shared" si="7"/>
        <v>Direct</v>
      </c>
      <c r="G1444" s="7" t="s">
        <v>11</v>
      </c>
    </row>
    <row r="1445" spans="1:7" x14ac:dyDescent="0.2">
      <c r="A1445" s="6" t="s">
        <v>8</v>
      </c>
      <c r="B1445" s="7" t="s">
        <v>13</v>
      </c>
      <c r="C1445" s="7" t="s">
        <v>1900</v>
      </c>
      <c r="D1445" s="7">
        <v>2.3445447599999998</v>
      </c>
      <c r="E1445" s="7">
        <v>1.4951316699999999</v>
      </c>
      <c r="F1445" s="9" t="str">
        <f t="shared" si="7"/>
        <v>Direct</v>
      </c>
      <c r="G1445" s="7" t="s">
        <v>11</v>
      </c>
    </row>
    <row r="1446" spans="1:7" x14ac:dyDescent="0.2">
      <c r="A1446" s="6" t="s">
        <v>8</v>
      </c>
      <c r="B1446" s="7" t="s">
        <v>13</v>
      </c>
      <c r="C1446" s="7" t="s">
        <v>1901</v>
      </c>
      <c r="D1446" s="7">
        <v>1.7219401299999999</v>
      </c>
      <c r="E1446" s="7">
        <v>3.4242102000000001</v>
      </c>
      <c r="F1446" s="9" t="str">
        <f t="shared" si="7"/>
        <v>Direct</v>
      </c>
      <c r="G1446" s="7" t="s">
        <v>11</v>
      </c>
    </row>
    <row r="1447" spans="1:7" x14ac:dyDescent="0.2">
      <c r="A1447" s="6" t="s">
        <v>8</v>
      </c>
      <c r="B1447" s="7" t="s">
        <v>13</v>
      </c>
      <c r="C1447" s="7" t="s">
        <v>1902</v>
      </c>
      <c r="D1447" s="7">
        <v>1.1451285200000001</v>
      </c>
      <c r="E1447" s="7">
        <v>2.6967067500000002</v>
      </c>
      <c r="F1447" s="9" t="str">
        <f t="shared" si="7"/>
        <v>Direct</v>
      </c>
      <c r="G1447" s="7" t="s">
        <v>11</v>
      </c>
    </row>
    <row r="1448" spans="1:7" x14ac:dyDescent="0.2">
      <c r="A1448" s="6" t="s">
        <v>8</v>
      </c>
      <c r="B1448" s="7" t="s">
        <v>13</v>
      </c>
      <c r="C1448" s="7" t="s">
        <v>542</v>
      </c>
      <c r="D1448" s="7">
        <v>-2.2504464999999998</v>
      </c>
      <c r="E1448" s="7">
        <v>-3.8370411</v>
      </c>
      <c r="F1448" s="9" t="str">
        <f t="shared" si="7"/>
        <v>Direct</v>
      </c>
      <c r="G1448" s="7" t="s">
        <v>543</v>
      </c>
    </row>
    <row r="1449" spans="1:7" x14ac:dyDescent="0.2">
      <c r="A1449" s="6" t="s">
        <v>8</v>
      </c>
      <c r="B1449" s="7" t="s">
        <v>13</v>
      </c>
      <c r="C1449" s="7" t="s">
        <v>1903</v>
      </c>
      <c r="D1449" s="7">
        <v>1.2174596900000001</v>
      </c>
      <c r="E1449" s="7">
        <v>2.6034584399999998</v>
      </c>
      <c r="F1449" s="9" t="str">
        <f t="shared" si="7"/>
        <v>Direct</v>
      </c>
      <c r="G1449" s="7" t="s">
        <v>1904</v>
      </c>
    </row>
    <row r="1450" spans="1:7" x14ac:dyDescent="0.2">
      <c r="A1450" s="6" t="s">
        <v>8</v>
      </c>
      <c r="B1450" s="7" t="s">
        <v>13</v>
      </c>
      <c r="C1450" s="7" t="s">
        <v>1905</v>
      </c>
      <c r="D1450" s="7">
        <v>1.8358745400000001</v>
      </c>
      <c r="E1450" s="7">
        <v>2.1370152299999998</v>
      </c>
      <c r="F1450" s="9" t="str">
        <f t="shared" si="7"/>
        <v>Direct</v>
      </c>
      <c r="G1450" s="7" t="s">
        <v>11</v>
      </c>
    </row>
    <row r="1451" spans="1:7" x14ac:dyDescent="0.2">
      <c r="A1451" s="6" t="s">
        <v>8</v>
      </c>
      <c r="B1451" s="7" t="s">
        <v>13</v>
      </c>
      <c r="C1451" s="7" t="s">
        <v>1906</v>
      </c>
      <c r="D1451" s="7">
        <v>1.8553902499999999</v>
      </c>
      <c r="E1451" s="7">
        <v>1.47003872</v>
      </c>
      <c r="F1451" s="9" t="str">
        <f t="shared" si="7"/>
        <v>Direct</v>
      </c>
      <c r="G1451" s="7" t="s">
        <v>1907</v>
      </c>
    </row>
    <row r="1452" spans="1:7" x14ac:dyDescent="0.2">
      <c r="A1452" s="6" t="s">
        <v>8</v>
      </c>
      <c r="B1452" s="7" t="s">
        <v>13</v>
      </c>
      <c r="C1452" s="7" t="s">
        <v>1908</v>
      </c>
      <c r="D1452" s="7">
        <v>2.9744214699999998</v>
      </c>
      <c r="E1452" s="7">
        <v>4.8074802999999999</v>
      </c>
      <c r="F1452" s="9" t="str">
        <f t="shared" si="7"/>
        <v>Direct</v>
      </c>
      <c r="G1452" s="7" t="s">
        <v>1909</v>
      </c>
    </row>
    <row r="1453" spans="1:7" x14ac:dyDescent="0.2">
      <c r="A1453" s="6" t="s">
        <v>8</v>
      </c>
      <c r="B1453" s="7" t="s">
        <v>13</v>
      </c>
      <c r="C1453" s="7" t="s">
        <v>1910</v>
      </c>
      <c r="D1453" s="7">
        <v>-1.0548183</v>
      </c>
      <c r="E1453" s="7">
        <v>-1.2930318999999999</v>
      </c>
      <c r="F1453" s="9" t="str">
        <f t="shared" si="7"/>
        <v>Direct</v>
      </c>
      <c r="G1453" s="7" t="s">
        <v>11</v>
      </c>
    </row>
    <row r="1454" spans="1:7" x14ac:dyDescent="0.2">
      <c r="A1454" s="6" t="s">
        <v>8</v>
      </c>
      <c r="B1454" s="7" t="s">
        <v>13</v>
      </c>
      <c r="C1454" s="7" t="s">
        <v>545</v>
      </c>
      <c r="D1454" s="7">
        <v>2.45626393</v>
      </c>
      <c r="E1454" s="7">
        <v>3.6967733699999998</v>
      </c>
      <c r="F1454" s="9" t="str">
        <f t="shared" si="7"/>
        <v>Direct</v>
      </c>
      <c r="G1454" s="7" t="s">
        <v>546</v>
      </c>
    </row>
    <row r="1455" spans="1:7" x14ac:dyDescent="0.2">
      <c r="A1455" s="6" t="s">
        <v>8</v>
      </c>
      <c r="B1455" s="7" t="s">
        <v>13</v>
      </c>
      <c r="C1455" s="7" t="s">
        <v>1911</v>
      </c>
      <c r="D1455" s="7">
        <v>5.3959248799999999</v>
      </c>
      <c r="E1455" s="7">
        <v>5.2196285800000002</v>
      </c>
      <c r="F1455" s="9" t="str">
        <f t="shared" si="7"/>
        <v>Direct</v>
      </c>
      <c r="G1455" s="7" t="s">
        <v>11</v>
      </c>
    </row>
    <row r="1456" spans="1:7" x14ac:dyDescent="0.2">
      <c r="A1456" s="6" t="s">
        <v>8</v>
      </c>
      <c r="B1456" s="7" t="s">
        <v>13</v>
      </c>
      <c r="C1456" s="7" t="s">
        <v>1912</v>
      </c>
      <c r="D1456" s="7">
        <v>1.5409332600000001</v>
      </c>
      <c r="E1456" s="7">
        <v>2.6076012099999999</v>
      </c>
      <c r="F1456" s="9" t="str">
        <f t="shared" si="7"/>
        <v>Direct</v>
      </c>
      <c r="G1456" s="7" t="s">
        <v>1913</v>
      </c>
    </row>
    <row r="1457" spans="1:7" x14ac:dyDescent="0.2">
      <c r="A1457" s="6" t="s">
        <v>8</v>
      </c>
      <c r="B1457" s="7" t="s">
        <v>13</v>
      </c>
      <c r="C1457" s="7" t="s">
        <v>1914</v>
      </c>
      <c r="D1457" s="7">
        <v>-1.4063148000000001</v>
      </c>
      <c r="E1457" s="7">
        <v>-3.2571948000000002</v>
      </c>
      <c r="F1457" s="9" t="str">
        <f t="shared" si="7"/>
        <v>Direct</v>
      </c>
      <c r="G1457" s="7" t="s">
        <v>11</v>
      </c>
    </row>
    <row r="1458" spans="1:7" x14ac:dyDescent="0.2">
      <c r="A1458" s="6" t="s">
        <v>8</v>
      </c>
      <c r="B1458" s="7" t="s">
        <v>13</v>
      </c>
      <c r="C1458" s="7" t="s">
        <v>1915</v>
      </c>
      <c r="D1458" s="7">
        <v>-3.7695406</v>
      </c>
      <c r="E1458" s="7">
        <v>-1.6176183</v>
      </c>
      <c r="F1458" s="9" t="str">
        <f t="shared" si="7"/>
        <v>Direct</v>
      </c>
      <c r="G1458" s="7" t="s">
        <v>11</v>
      </c>
    </row>
    <row r="1459" spans="1:7" x14ac:dyDescent="0.2">
      <c r="A1459" s="6" t="s">
        <v>8</v>
      </c>
      <c r="B1459" s="7" t="s">
        <v>13</v>
      </c>
      <c r="C1459" s="7" t="s">
        <v>1916</v>
      </c>
      <c r="D1459" s="7">
        <v>1.11330003</v>
      </c>
      <c r="E1459" s="7">
        <v>2.42122802</v>
      </c>
      <c r="F1459" s="9" t="str">
        <f t="shared" si="7"/>
        <v>Direct</v>
      </c>
      <c r="G1459" s="7" t="s">
        <v>11</v>
      </c>
    </row>
    <row r="1460" spans="1:7" x14ac:dyDescent="0.2">
      <c r="A1460" s="6" t="s">
        <v>8</v>
      </c>
      <c r="B1460" s="7" t="s">
        <v>13</v>
      </c>
      <c r="C1460" s="7" t="s">
        <v>1917</v>
      </c>
      <c r="D1460" s="7">
        <v>-2.9416142000000001</v>
      </c>
      <c r="E1460" s="7">
        <v>-2.1048217999999999</v>
      </c>
      <c r="F1460" s="9" t="str">
        <f t="shared" si="7"/>
        <v>Direct</v>
      </c>
      <c r="G1460" s="7" t="s">
        <v>1404</v>
      </c>
    </row>
    <row r="1461" spans="1:7" x14ac:dyDescent="0.2">
      <c r="A1461" s="6" t="s">
        <v>8</v>
      </c>
      <c r="B1461" s="7" t="s">
        <v>13</v>
      </c>
      <c r="C1461" s="7" t="s">
        <v>1918</v>
      </c>
      <c r="D1461" s="7">
        <v>-1.6342673999999999</v>
      </c>
      <c r="E1461" s="7">
        <v>-5.2422797000000001</v>
      </c>
      <c r="F1461" s="9" t="str">
        <f t="shared" si="7"/>
        <v>Direct</v>
      </c>
      <c r="G1461" s="7" t="s">
        <v>1555</v>
      </c>
    </row>
    <row r="1462" spans="1:7" x14ac:dyDescent="0.2">
      <c r="A1462" s="6" t="s">
        <v>8</v>
      </c>
      <c r="B1462" s="7" t="s">
        <v>13</v>
      </c>
      <c r="C1462" s="7" t="s">
        <v>551</v>
      </c>
      <c r="D1462" s="7">
        <v>2.45626393</v>
      </c>
      <c r="E1462" s="7">
        <v>1.1774560700000001</v>
      </c>
      <c r="F1462" s="9" t="str">
        <f t="shared" si="7"/>
        <v>Direct</v>
      </c>
      <c r="G1462" s="7" t="s">
        <v>182</v>
      </c>
    </row>
    <row r="1463" spans="1:7" x14ac:dyDescent="0.2">
      <c r="A1463" s="6" t="s">
        <v>8</v>
      </c>
      <c r="B1463" s="7" t="s">
        <v>13</v>
      </c>
      <c r="C1463" s="7" t="s">
        <v>1919</v>
      </c>
      <c r="D1463" s="7">
        <v>-1.475346</v>
      </c>
      <c r="E1463" s="7">
        <v>-1.7857320000000001</v>
      </c>
      <c r="F1463" s="9" t="str">
        <f t="shared" si="7"/>
        <v>Direct</v>
      </c>
      <c r="G1463" s="7" t="s">
        <v>1920</v>
      </c>
    </row>
    <row r="1464" spans="1:7" x14ac:dyDescent="0.2">
      <c r="A1464" s="6" t="s">
        <v>8</v>
      </c>
      <c r="B1464" s="7" t="s">
        <v>13</v>
      </c>
      <c r="C1464" s="7" t="s">
        <v>1921</v>
      </c>
      <c r="D1464" s="7">
        <v>-1.8793496000000001</v>
      </c>
      <c r="E1464" s="7">
        <v>-1.5847610999999999</v>
      </c>
      <c r="F1464" s="9" t="str">
        <f t="shared" si="7"/>
        <v>Direct</v>
      </c>
      <c r="G1464" s="7" t="s">
        <v>11</v>
      </c>
    </row>
    <row r="1465" spans="1:7" x14ac:dyDescent="0.2">
      <c r="A1465" s="6" t="s">
        <v>8</v>
      </c>
      <c r="B1465" s="7" t="s">
        <v>13</v>
      </c>
      <c r="C1465" s="7" t="s">
        <v>1922</v>
      </c>
      <c r="D1465" s="7">
        <v>1.23640386</v>
      </c>
      <c r="E1465" s="7">
        <v>2.1802264299999998</v>
      </c>
      <c r="F1465" s="9" t="str">
        <f t="shared" si="7"/>
        <v>Direct</v>
      </c>
      <c r="G1465" s="7" t="s">
        <v>11</v>
      </c>
    </row>
    <row r="1466" spans="1:7" x14ac:dyDescent="0.2">
      <c r="A1466" s="6" t="s">
        <v>8</v>
      </c>
      <c r="B1466" s="7" t="s">
        <v>13</v>
      </c>
      <c r="C1466" s="7" t="s">
        <v>1923</v>
      </c>
      <c r="D1466" s="7">
        <v>-1.2878620999999999</v>
      </c>
      <c r="E1466" s="7">
        <v>-1.5327679999999999</v>
      </c>
      <c r="F1466" s="9" t="str">
        <f t="shared" si="7"/>
        <v>Direct</v>
      </c>
      <c r="G1466" s="7" t="s">
        <v>1924</v>
      </c>
    </row>
    <row r="1467" spans="1:7" x14ac:dyDescent="0.2">
      <c r="A1467" s="6" t="s">
        <v>8</v>
      </c>
      <c r="B1467" s="7" t="s">
        <v>13</v>
      </c>
      <c r="C1467" s="7" t="s">
        <v>552</v>
      </c>
      <c r="D1467" s="7">
        <v>-1.5634191</v>
      </c>
      <c r="E1467" s="7">
        <v>-1.5375399999999999</v>
      </c>
      <c r="F1467" s="9" t="str">
        <f t="shared" si="7"/>
        <v>Direct</v>
      </c>
      <c r="G1467" s="7" t="s">
        <v>11</v>
      </c>
    </row>
    <row r="1468" spans="1:7" x14ac:dyDescent="0.2">
      <c r="A1468" s="6" t="s">
        <v>8</v>
      </c>
      <c r="B1468" s="7" t="s">
        <v>13</v>
      </c>
      <c r="C1468" s="7" t="s">
        <v>1925</v>
      </c>
      <c r="D1468" s="7">
        <v>1.00394468</v>
      </c>
      <c r="E1468" s="7">
        <v>1.4757293499999999</v>
      </c>
      <c r="F1468" s="9" t="str">
        <f t="shared" si="7"/>
        <v>Direct</v>
      </c>
      <c r="G1468" s="7" t="s">
        <v>1632</v>
      </c>
    </row>
    <row r="1469" spans="1:7" x14ac:dyDescent="0.2">
      <c r="A1469" s="6" t="s">
        <v>8</v>
      </c>
      <c r="B1469" s="7" t="s">
        <v>13</v>
      </c>
      <c r="C1469" s="7" t="s">
        <v>1926</v>
      </c>
      <c r="D1469" s="7">
        <v>-1.3430785000000001</v>
      </c>
      <c r="E1469" s="7">
        <v>-4.5688658999999996</v>
      </c>
      <c r="F1469" s="9" t="str">
        <f t="shared" si="7"/>
        <v>Direct</v>
      </c>
      <c r="G1469" s="7" t="s">
        <v>1927</v>
      </c>
    </row>
    <row r="1470" spans="1:7" x14ac:dyDescent="0.2">
      <c r="A1470" s="6" t="s">
        <v>8</v>
      </c>
      <c r="B1470" s="7" t="s">
        <v>13</v>
      </c>
      <c r="C1470" s="7" t="s">
        <v>1928</v>
      </c>
      <c r="D1470" s="7">
        <v>-1.8431173999999999</v>
      </c>
      <c r="E1470" s="7">
        <v>-1.4399223000000001</v>
      </c>
      <c r="F1470" s="9" t="str">
        <f t="shared" si="7"/>
        <v>Direct</v>
      </c>
      <c r="G1470" s="7" t="s">
        <v>11</v>
      </c>
    </row>
    <row r="1471" spans="1:7" x14ac:dyDescent="0.2">
      <c r="A1471" s="6" t="s">
        <v>8</v>
      </c>
      <c r="B1471" s="7" t="s">
        <v>13</v>
      </c>
      <c r="C1471" s="7" t="s">
        <v>1929</v>
      </c>
      <c r="D1471" s="7">
        <v>-1.408166</v>
      </c>
      <c r="E1471" s="7">
        <v>-2.8860733000000001</v>
      </c>
      <c r="F1471" s="9" t="str">
        <f t="shared" si="7"/>
        <v>Direct</v>
      </c>
      <c r="G1471" s="7" t="s">
        <v>11</v>
      </c>
    </row>
    <row r="1472" spans="1:7" x14ac:dyDescent="0.2">
      <c r="A1472" s="6" t="s">
        <v>8</v>
      </c>
      <c r="B1472" s="7" t="s">
        <v>13</v>
      </c>
      <c r="C1472" s="7" t="s">
        <v>1930</v>
      </c>
      <c r="D1472" s="7">
        <v>1.6687744200000001</v>
      </c>
      <c r="E1472" s="7">
        <v>1.7846358600000001</v>
      </c>
      <c r="F1472" s="9" t="str">
        <f t="shared" si="7"/>
        <v>Direct</v>
      </c>
      <c r="G1472" s="7" t="s">
        <v>453</v>
      </c>
    </row>
    <row r="1473" spans="1:7" x14ac:dyDescent="0.2">
      <c r="A1473" s="6" t="s">
        <v>8</v>
      </c>
      <c r="B1473" s="7" t="s">
        <v>13</v>
      </c>
      <c r="C1473" s="7" t="s">
        <v>556</v>
      </c>
      <c r="D1473" s="7">
        <v>-2.9308885999999998</v>
      </c>
      <c r="E1473" s="7">
        <v>-2.4283294</v>
      </c>
      <c r="F1473" s="9" t="str">
        <f t="shared" si="7"/>
        <v>Direct</v>
      </c>
      <c r="G1473" s="7" t="s">
        <v>11</v>
      </c>
    </row>
    <row r="1474" spans="1:7" x14ac:dyDescent="0.2">
      <c r="A1474" s="6" t="s">
        <v>8</v>
      </c>
      <c r="B1474" s="7" t="s">
        <v>13</v>
      </c>
      <c r="C1474" s="7" t="s">
        <v>557</v>
      </c>
      <c r="D1474" s="7">
        <v>-1.0932063999999999</v>
      </c>
      <c r="E1474" s="7">
        <v>1.7317478100000001</v>
      </c>
      <c r="F1474" s="9" t="str">
        <f t="shared" si="7"/>
        <v>Inverse</v>
      </c>
      <c r="G1474" s="7" t="s">
        <v>11</v>
      </c>
    </row>
    <row r="1475" spans="1:7" x14ac:dyDescent="0.2">
      <c r="A1475" s="6" t="s">
        <v>8</v>
      </c>
      <c r="B1475" s="7" t="s">
        <v>13</v>
      </c>
      <c r="C1475" s="7" t="s">
        <v>558</v>
      </c>
      <c r="D1475" s="7">
        <v>-3.8910041</v>
      </c>
      <c r="E1475" s="7">
        <v>-3.1192514999999998</v>
      </c>
      <c r="F1475" s="9" t="str">
        <f t="shared" si="7"/>
        <v>Direct</v>
      </c>
      <c r="G1475" s="7" t="s">
        <v>11</v>
      </c>
    </row>
    <row r="1476" spans="1:7" x14ac:dyDescent="0.2">
      <c r="A1476" s="6" t="s">
        <v>8</v>
      </c>
      <c r="B1476" s="7" t="s">
        <v>13</v>
      </c>
      <c r="C1476" s="7" t="s">
        <v>1931</v>
      </c>
      <c r="D1476" s="7">
        <v>-2.7526174999999999</v>
      </c>
      <c r="E1476" s="7">
        <v>-1.1354519000000001</v>
      </c>
      <c r="F1476" s="9" t="str">
        <f t="shared" si="7"/>
        <v>Direct</v>
      </c>
      <c r="G1476" s="7" t="s">
        <v>11</v>
      </c>
    </row>
    <row r="1477" spans="1:7" x14ac:dyDescent="0.2">
      <c r="A1477" s="6" t="s">
        <v>8</v>
      </c>
      <c r="B1477" s="7" t="s">
        <v>13</v>
      </c>
      <c r="C1477" s="7" t="s">
        <v>1932</v>
      </c>
      <c r="D1477" s="7">
        <v>-4.8831221999999999</v>
      </c>
      <c r="E1477" s="7">
        <v>-6.8157848000000003</v>
      </c>
      <c r="F1477" s="9" t="str">
        <f t="shared" si="7"/>
        <v>Direct</v>
      </c>
      <c r="G1477" s="7" t="s">
        <v>1933</v>
      </c>
    </row>
    <row r="1478" spans="1:7" x14ac:dyDescent="0.2">
      <c r="A1478" s="6" t="s">
        <v>8</v>
      </c>
      <c r="B1478" s="7" t="s">
        <v>13</v>
      </c>
      <c r="C1478" s="7" t="s">
        <v>1934</v>
      </c>
      <c r="D1478" s="7">
        <v>1.5409332600000001</v>
      </c>
      <c r="E1478" s="7">
        <v>4.2936008000000001</v>
      </c>
      <c r="F1478" s="9" t="str">
        <f t="shared" si="7"/>
        <v>Direct</v>
      </c>
      <c r="G1478" s="7" t="s">
        <v>11</v>
      </c>
    </row>
    <row r="1479" spans="1:7" x14ac:dyDescent="0.2">
      <c r="A1479" s="6" t="s">
        <v>8</v>
      </c>
      <c r="B1479" s="7" t="s">
        <v>13</v>
      </c>
      <c r="C1479" s="7" t="s">
        <v>560</v>
      </c>
      <c r="D1479" s="7">
        <v>-1.7795498999999999</v>
      </c>
      <c r="E1479" s="7">
        <v>-1.4815573</v>
      </c>
      <c r="F1479" s="9" t="str">
        <f t="shared" si="7"/>
        <v>Direct</v>
      </c>
      <c r="G1479" s="7" t="s">
        <v>561</v>
      </c>
    </row>
    <row r="1480" spans="1:7" x14ac:dyDescent="0.2">
      <c r="A1480" s="6" t="s">
        <v>8</v>
      </c>
      <c r="B1480" s="7" t="s">
        <v>13</v>
      </c>
      <c r="C1480" s="7" t="s">
        <v>1935</v>
      </c>
      <c r="D1480" s="7">
        <v>-2.7801222999999999</v>
      </c>
      <c r="E1480" s="7">
        <v>-3.8896487999999998</v>
      </c>
      <c r="F1480" s="9" t="str">
        <f t="shared" si="7"/>
        <v>Direct</v>
      </c>
      <c r="G1480" s="7" t="s">
        <v>11</v>
      </c>
    </row>
    <row r="1481" spans="1:7" x14ac:dyDescent="0.2">
      <c r="A1481" s="6" t="s">
        <v>8</v>
      </c>
      <c r="B1481" s="7" t="s">
        <v>13</v>
      </c>
      <c r="C1481" s="7" t="s">
        <v>1936</v>
      </c>
      <c r="D1481" s="7">
        <v>1.91548962</v>
      </c>
      <c r="E1481" s="7">
        <v>3.6055867300000002</v>
      </c>
      <c r="F1481" s="9" t="str">
        <f t="shared" si="7"/>
        <v>Direct</v>
      </c>
      <c r="G1481" s="7" t="s">
        <v>1937</v>
      </c>
    </row>
    <row r="1482" spans="1:7" x14ac:dyDescent="0.2">
      <c r="A1482" s="6" t="s">
        <v>8</v>
      </c>
      <c r="B1482" s="7" t="s">
        <v>13</v>
      </c>
      <c r="C1482" s="7" t="s">
        <v>1938</v>
      </c>
      <c r="D1482" s="7">
        <v>-3.4627207000000002</v>
      </c>
      <c r="E1482" s="7">
        <v>-2.1708612999999999</v>
      </c>
      <c r="F1482" s="9" t="str">
        <f t="shared" si="7"/>
        <v>Direct</v>
      </c>
      <c r="G1482" s="7" t="s">
        <v>11</v>
      </c>
    </row>
    <row r="1483" spans="1:7" x14ac:dyDescent="0.2">
      <c r="A1483" s="6" t="s">
        <v>8</v>
      </c>
      <c r="B1483" s="7" t="s">
        <v>13</v>
      </c>
      <c r="C1483" s="7" t="s">
        <v>1939</v>
      </c>
      <c r="D1483" s="7">
        <v>1.6127715</v>
      </c>
      <c r="E1483" s="7">
        <v>2.37421024</v>
      </c>
      <c r="F1483" s="9" t="str">
        <f t="shared" si="7"/>
        <v>Direct</v>
      </c>
      <c r="G1483" s="7" t="s">
        <v>1940</v>
      </c>
    </row>
    <row r="1484" spans="1:7" x14ac:dyDescent="0.2">
      <c r="A1484" s="6" t="s">
        <v>8</v>
      </c>
      <c r="B1484" s="7" t="s">
        <v>13</v>
      </c>
      <c r="C1484" s="7" t="s">
        <v>1941</v>
      </c>
      <c r="D1484" s="7">
        <v>3.26970809</v>
      </c>
      <c r="E1484" s="7">
        <v>4.3412262000000004</v>
      </c>
      <c r="F1484" s="9" t="str">
        <f t="shared" si="7"/>
        <v>Direct</v>
      </c>
      <c r="G1484" s="7" t="s">
        <v>1942</v>
      </c>
    </row>
    <row r="1485" spans="1:7" x14ac:dyDescent="0.2">
      <c r="A1485" s="6" t="s">
        <v>8</v>
      </c>
      <c r="B1485" s="7" t="s">
        <v>13</v>
      </c>
      <c r="C1485" s="7" t="s">
        <v>1943</v>
      </c>
      <c r="D1485" s="7">
        <v>2.2336497400000002</v>
      </c>
      <c r="E1485" s="7">
        <v>5.9911553599999996</v>
      </c>
      <c r="F1485" s="9" t="str">
        <f t="shared" si="7"/>
        <v>Direct</v>
      </c>
      <c r="G1485" s="7" t="s">
        <v>11</v>
      </c>
    </row>
    <row r="1486" spans="1:7" x14ac:dyDescent="0.2">
      <c r="A1486" s="6" t="s">
        <v>8</v>
      </c>
      <c r="B1486" s="7" t="s">
        <v>13</v>
      </c>
      <c r="C1486" s="7" t="s">
        <v>1944</v>
      </c>
      <c r="D1486" s="7">
        <v>-1.6953526000000001</v>
      </c>
      <c r="E1486" s="7">
        <v>-2.0104166000000001</v>
      </c>
      <c r="F1486" s="9" t="str">
        <f t="shared" si="7"/>
        <v>Direct</v>
      </c>
      <c r="G1486" s="7" t="s">
        <v>11</v>
      </c>
    </row>
    <row r="1487" spans="1:7" x14ac:dyDescent="0.2">
      <c r="A1487" s="6" t="s">
        <v>8</v>
      </c>
      <c r="B1487" s="7" t="s">
        <v>13</v>
      </c>
      <c r="C1487" s="7" t="s">
        <v>566</v>
      </c>
      <c r="D1487" s="7">
        <v>-1.1424041</v>
      </c>
      <c r="E1487" s="7">
        <v>-1.3362240999999999</v>
      </c>
      <c r="F1487" s="9" t="str">
        <f t="shared" si="7"/>
        <v>Direct</v>
      </c>
      <c r="G1487" s="7" t="s">
        <v>11</v>
      </c>
    </row>
    <row r="1488" spans="1:7" x14ac:dyDescent="0.2">
      <c r="A1488" s="6" t="s">
        <v>8</v>
      </c>
      <c r="B1488" s="7" t="s">
        <v>13</v>
      </c>
      <c r="C1488" s="7" t="s">
        <v>1945</v>
      </c>
      <c r="D1488" s="7">
        <v>-1.3622258</v>
      </c>
      <c r="E1488" s="7">
        <v>-1.3381311</v>
      </c>
      <c r="F1488" s="9" t="str">
        <f t="shared" si="7"/>
        <v>Direct</v>
      </c>
      <c r="G1488" s="7" t="s">
        <v>11</v>
      </c>
    </row>
    <row r="1489" spans="1:7" x14ac:dyDescent="0.2">
      <c r="A1489" s="6" t="s">
        <v>8</v>
      </c>
      <c r="B1489" s="7" t="s">
        <v>13</v>
      </c>
      <c r="C1489" s="7" t="s">
        <v>1946</v>
      </c>
      <c r="D1489" s="7">
        <v>-1.1920109999999999</v>
      </c>
      <c r="E1489" s="7">
        <v>-3.7144832000000001</v>
      </c>
      <c r="F1489" s="9" t="str">
        <f t="shared" si="7"/>
        <v>Direct</v>
      </c>
      <c r="G1489" s="7" t="s">
        <v>11</v>
      </c>
    </row>
    <row r="1490" spans="1:7" x14ac:dyDescent="0.2">
      <c r="A1490" s="6" t="s">
        <v>8</v>
      </c>
      <c r="B1490" s="7" t="s">
        <v>13</v>
      </c>
      <c r="C1490" s="7" t="s">
        <v>569</v>
      </c>
      <c r="D1490" s="7">
        <v>-1.2783127999999999</v>
      </c>
      <c r="E1490" s="7">
        <v>-1.8033328</v>
      </c>
      <c r="F1490" s="9" t="str">
        <f t="shared" si="7"/>
        <v>Direct</v>
      </c>
      <c r="G1490" s="7" t="s">
        <v>11</v>
      </c>
    </row>
    <row r="1491" spans="1:7" x14ac:dyDescent="0.2">
      <c r="A1491" s="6" t="s">
        <v>8</v>
      </c>
      <c r="B1491" s="7" t="s">
        <v>13</v>
      </c>
      <c r="C1491" s="7" t="s">
        <v>1947</v>
      </c>
      <c r="D1491" s="7">
        <v>-1.1876469000000001</v>
      </c>
      <c r="E1491" s="7">
        <v>-6.2476979000000004</v>
      </c>
      <c r="F1491" s="9" t="str">
        <f t="shared" si="7"/>
        <v>Direct</v>
      </c>
      <c r="G1491" s="7" t="s">
        <v>11</v>
      </c>
    </row>
    <row r="1492" spans="1:7" x14ac:dyDescent="0.2">
      <c r="A1492" s="6" t="s">
        <v>8</v>
      </c>
      <c r="B1492" s="7" t="s">
        <v>13</v>
      </c>
      <c r="C1492" s="7" t="s">
        <v>1948</v>
      </c>
      <c r="D1492" s="7">
        <v>-1.9239208999999999</v>
      </c>
      <c r="E1492" s="7">
        <v>-2.1891699</v>
      </c>
      <c r="F1492" s="9" t="str">
        <f t="shared" si="7"/>
        <v>Direct</v>
      </c>
      <c r="G1492" s="7" t="s">
        <v>11</v>
      </c>
    </row>
    <row r="1493" spans="1:7" x14ac:dyDescent="0.2">
      <c r="A1493" s="6" t="s">
        <v>8</v>
      </c>
      <c r="B1493" s="7" t="s">
        <v>13</v>
      </c>
      <c r="C1493" s="7" t="s">
        <v>1949</v>
      </c>
      <c r="D1493" s="7">
        <v>2.8540258500000002</v>
      </c>
      <c r="E1493" s="7">
        <v>2.5661989300000001</v>
      </c>
      <c r="F1493" s="9" t="str">
        <f t="shared" si="7"/>
        <v>Direct</v>
      </c>
      <c r="G1493" s="7" t="s">
        <v>11</v>
      </c>
    </row>
    <row r="1494" spans="1:7" x14ac:dyDescent="0.2">
      <c r="A1494" s="6" t="s">
        <v>8</v>
      </c>
      <c r="B1494" s="7" t="s">
        <v>13</v>
      </c>
      <c r="C1494" s="7" t="s">
        <v>1950</v>
      </c>
      <c r="D1494" s="7">
        <v>-1.1333943</v>
      </c>
      <c r="E1494" s="7">
        <v>-2.5896514000000002</v>
      </c>
      <c r="F1494" s="9" t="str">
        <f t="shared" si="7"/>
        <v>Direct</v>
      </c>
      <c r="G1494" s="7" t="s">
        <v>1951</v>
      </c>
    </row>
    <row r="1495" spans="1:7" x14ac:dyDescent="0.2">
      <c r="A1495" s="6" t="s">
        <v>8</v>
      </c>
      <c r="B1495" s="7" t="s">
        <v>13</v>
      </c>
      <c r="C1495" s="7" t="s">
        <v>1952</v>
      </c>
      <c r="D1495" s="7">
        <v>-1.2003321</v>
      </c>
      <c r="E1495" s="7">
        <v>-3.5658173</v>
      </c>
      <c r="F1495" s="9" t="str">
        <f t="shared" si="7"/>
        <v>Direct</v>
      </c>
      <c r="G1495" s="7" t="s">
        <v>474</v>
      </c>
    </row>
    <row r="1496" spans="1:7" x14ac:dyDescent="0.2">
      <c r="A1496" s="6" t="s">
        <v>8</v>
      </c>
      <c r="B1496" s="7" t="s">
        <v>13</v>
      </c>
      <c r="C1496" s="7" t="s">
        <v>1953</v>
      </c>
      <c r="D1496" s="7">
        <v>1.04081299</v>
      </c>
      <c r="E1496" s="7">
        <v>1.74498785</v>
      </c>
      <c r="F1496" s="9" t="str">
        <f t="shared" si="7"/>
        <v>Direct</v>
      </c>
      <c r="G1496" s="7" t="s">
        <v>1954</v>
      </c>
    </row>
    <row r="1497" spans="1:7" x14ac:dyDescent="0.2">
      <c r="A1497" s="6" t="s">
        <v>8</v>
      </c>
      <c r="B1497" s="7" t="s">
        <v>13</v>
      </c>
      <c r="C1497" s="7" t="s">
        <v>1955</v>
      </c>
      <c r="D1497" s="7">
        <v>2.55674329</v>
      </c>
      <c r="E1497" s="7">
        <v>3.7810222599999999</v>
      </c>
      <c r="F1497" s="9" t="str">
        <f t="shared" si="7"/>
        <v>Direct</v>
      </c>
      <c r="G1497" s="7" t="s">
        <v>1956</v>
      </c>
    </row>
    <row r="1498" spans="1:7" x14ac:dyDescent="0.2">
      <c r="A1498" s="6" t="s">
        <v>8</v>
      </c>
      <c r="B1498" s="7" t="s">
        <v>13</v>
      </c>
      <c r="C1498" s="7" t="s">
        <v>1957</v>
      </c>
      <c r="D1498" s="7">
        <v>-2.2415552999999999</v>
      </c>
      <c r="E1498" s="7">
        <v>-4.7793030999999999</v>
      </c>
      <c r="F1498" s="9" t="str">
        <f t="shared" si="7"/>
        <v>Direct</v>
      </c>
      <c r="G1498" s="7" t="s">
        <v>11</v>
      </c>
    </row>
    <row r="1499" spans="1:7" x14ac:dyDescent="0.2">
      <c r="A1499" s="6" t="s">
        <v>8</v>
      </c>
      <c r="B1499" s="7" t="s">
        <v>13</v>
      </c>
      <c r="C1499" s="7" t="s">
        <v>1958</v>
      </c>
      <c r="D1499" s="7">
        <v>1.41154997</v>
      </c>
      <c r="E1499" s="7">
        <v>10.3056927</v>
      </c>
      <c r="F1499" s="9" t="str">
        <f t="shared" si="7"/>
        <v>Direct</v>
      </c>
      <c r="G1499" s="7" t="s">
        <v>1959</v>
      </c>
    </row>
    <row r="1500" spans="1:7" x14ac:dyDescent="0.2">
      <c r="A1500" s="6" t="s">
        <v>8</v>
      </c>
      <c r="B1500" s="7" t="s">
        <v>13</v>
      </c>
      <c r="C1500" s="7" t="s">
        <v>1960</v>
      </c>
      <c r="D1500" s="7">
        <v>1.6488222100000001</v>
      </c>
      <c r="E1500" s="7">
        <v>1.78085954</v>
      </c>
      <c r="F1500" s="9" t="str">
        <f t="shared" si="7"/>
        <v>Direct</v>
      </c>
      <c r="G1500" s="7" t="s">
        <v>11</v>
      </c>
    </row>
    <row r="1501" spans="1:7" x14ac:dyDescent="0.2">
      <c r="A1501" s="6" t="s">
        <v>8</v>
      </c>
      <c r="B1501" s="7" t="s">
        <v>13</v>
      </c>
      <c r="C1501" s="7" t="s">
        <v>1961</v>
      </c>
      <c r="D1501" s="7">
        <v>-1.9542896000000001</v>
      </c>
      <c r="E1501" s="7">
        <v>-1.3723106</v>
      </c>
      <c r="F1501" s="9" t="str">
        <f t="shared" si="7"/>
        <v>Direct</v>
      </c>
      <c r="G1501" s="7" t="s">
        <v>11</v>
      </c>
    </row>
    <row r="1502" spans="1:7" x14ac:dyDescent="0.2">
      <c r="A1502" s="6" t="s">
        <v>8</v>
      </c>
      <c r="B1502" s="7" t="s">
        <v>13</v>
      </c>
      <c r="C1502" s="7" t="s">
        <v>1962</v>
      </c>
      <c r="D1502" s="7">
        <v>1.22105419</v>
      </c>
      <c r="E1502" s="7">
        <v>1.1658044299999999</v>
      </c>
      <c r="F1502" s="9" t="str">
        <f t="shared" si="7"/>
        <v>Direct</v>
      </c>
      <c r="G1502" s="7" t="s">
        <v>1963</v>
      </c>
    </row>
    <row r="1503" spans="1:7" x14ac:dyDescent="0.2">
      <c r="A1503" s="6" t="s">
        <v>8</v>
      </c>
      <c r="B1503" s="7" t="s">
        <v>13</v>
      </c>
      <c r="C1503" s="7" t="s">
        <v>1964</v>
      </c>
      <c r="D1503" s="7">
        <v>-1.3788407</v>
      </c>
      <c r="E1503" s="7">
        <v>-1.5498376</v>
      </c>
      <c r="F1503" s="9" t="str">
        <f t="shared" si="7"/>
        <v>Direct</v>
      </c>
      <c r="G1503" s="7" t="s">
        <v>1965</v>
      </c>
    </row>
    <row r="1504" spans="1:7" x14ac:dyDescent="0.2">
      <c r="A1504" s="6" t="s">
        <v>8</v>
      </c>
      <c r="B1504" s="7" t="s">
        <v>13</v>
      </c>
      <c r="C1504" s="7" t="s">
        <v>576</v>
      </c>
      <c r="D1504" s="7">
        <v>15.1661451</v>
      </c>
      <c r="E1504" s="7">
        <v>29.201173600000001</v>
      </c>
      <c r="F1504" s="9" t="str">
        <f t="shared" si="7"/>
        <v>Direct</v>
      </c>
      <c r="G1504" s="7" t="s">
        <v>11</v>
      </c>
    </row>
    <row r="1505" spans="1:7" x14ac:dyDescent="0.2">
      <c r="A1505" s="6" t="s">
        <v>8</v>
      </c>
      <c r="B1505" s="7" t="s">
        <v>13</v>
      </c>
      <c r="C1505" s="7" t="s">
        <v>1966</v>
      </c>
      <c r="D1505" s="7">
        <v>-1.9274210000000001</v>
      </c>
      <c r="E1505" s="7">
        <v>-2.0277433</v>
      </c>
      <c r="F1505" s="9" t="str">
        <f t="shared" si="7"/>
        <v>Direct</v>
      </c>
      <c r="G1505" s="7" t="s">
        <v>11</v>
      </c>
    </row>
    <row r="1506" spans="1:7" x14ac:dyDescent="0.2">
      <c r="A1506" s="6" t="s">
        <v>8</v>
      </c>
      <c r="B1506" s="7" t="s">
        <v>13</v>
      </c>
      <c r="C1506" s="7" t="s">
        <v>1967</v>
      </c>
      <c r="D1506" s="7">
        <v>-1.6904870999999999</v>
      </c>
      <c r="E1506" s="7">
        <v>-1.3585039999999999</v>
      </c>
      <c r="F1506" s="9" t="str">
        <f t="shared" si="7"/>
        <v>Direct</v>
      </c>
      <c r="G1506" s="7" t="s">
        <v>11</v>
      </c>
    </row>
    <row r="1507" spans="1:7" x14ac:dyDescent="0.2">
      <c r="A1507" s="6" t="s">
        <v>8</v>
      </c>
      <c r="B1507" s="7" t="s">
        <v>13</v>
      </c>
      <c r="C1507" s="7" t="s">
        <v>1968</v>
      </c>
      <c r="D1507" s="7">
        <v>-1.9544311999999999</v>
      </c>
      <c r="E1507" s="7">
        <v>-3.3814072999999998</v>
      </c>
      <c r="F1507" s="9" t="str">
        <f t="shared" si="7"/>
        <v>Direct</v>
      </c>
      <c r="G1507" s="7" t="s">
        <v>11</v>
      </c>
    </row>
    <row r="1508" spans="1:7" x14ac:dyDescent="0.2">
      <c r="A1508" s="6" t="s">
        <v>8</v>
      </c>
      <c r="B1508" s="7" t="s">
        <v>13</v>
      </c>
      <c r="C1508" s="7" t="s">
        <v>577</v>
      </c>
      <c r="D1508" s="7">
        <v>1.2611401200000001</v>
      </c>
      <c r="E1508" s="7">
        <v>1.63391094</v>
      </c>
      <c r="F1508" s="9" t="str">
        <f t="shared" si="7"/>
        <v>Direct</v>
      </c>
      <c r="G1508" s="7" t="s">
        <v>578</v>
      </c>
    </row>
    <row r="1509" spans="1:7" x14ac:dyDescent="0.2">
      <c r="A1509" s="6" t="s">
        <v>8</v>
      </c>
      <c r="B1509" s="7" t="s">
        <v>13</v>
      </c>
      <c r="C1509" s="7" t="s">
        <v>1969</v>
      </c>
      <c r="D1509" s="7">
        <v>-2.6053009999999999</v>
      </c>
      <c r="E1509" s="7">
        <v>-2.9808807000000002</v>
      </c>
      <c r="F1509" s="9" t="str">
        <f t="shared" si="7"/>
        <v>Direct</v>
      </c>
      <c r="G1509" s="7" t="s">
        <v>11</v>
      </c>
    </row>
    <row r="1510" spans="1:7" x14ac:dyDescent="0.2">
      <c r="A1510" s="6" t="s">
        <v>8</v>
      </c>
      <c r="B1510" s="7" t="s">
        <v>13</v>
      </c>
      <c r="C1510" s="7" t="s">
        <v>579</v>
      </c>
      <c r="D1510" s="7">
        <v>-1.2051187999999999</v>
      </c>
      <c r="E1510" s="7">
        <v>-2.9394041999999998</v>
      </c>
      <c r="F1510" s="9" t="str">
        <f t="shared" si="7"/>
        <v>Direct</v>
      </c>
      <c r="G1510" s="7" t="s">
        <v>11</v>
      </c>
    </row>
    <row r="1511" spans="1:7" x14ac:dyDescent="0.2">
      <c r="A1511" s="6" t="s">
        <v>8</v>
      </c>
      <c r="B1511" s="7" t="s">
        <v>13</v>
      </c>
      <c r="C1511" s="7" t="s">
        <v>1970</v>
      </c>
      <c r="D1511" s="7">
        <v>-1.1964442</v>
      </c>
      <c r="E1511" s="7">
        <v>-2.2737994000000001</v>
      </c>
      <c r="F1511" s="9" t="str">
        <f t="shared" si="7"/>
        <v>Direct</v>
      </c>
      <c r="G1511" s="7" t="s">
        <v>1971</v>
      </c>
    </row>
    <row r="1512" spans="1:7" x14ac:dyDescent="0.2">
      <c r="A1512" s="6" t="s">
        <v>8</v>
      </c>
      <c r="B1512" s="7" t="s">
        <v>13</v>
      </c>
      <c r="C1512" s="7" t="s">
        <v>1972</v>
      </c>
      <c r="D1512" s="7">
        <v>1.6742263799999999</v>
      </c>
      <c r="E1512" s="7">
        <v>2.2501869800000001</v>
      </c>
      <c r="F1512" s="9" t="str">
        <f t="shared" si="7"/>
        <v>Direct</v>
      </c>
      <c r="G1512" s="7" t="s">
        <v>712</v>
      </c>
    </row>
    <row r="1513" spans="1:7" x14ac:dyDescent="0.2">
      <c r="A1513" s="6" t="s">
        <v>8</v>
      </c>
      <c r="B1513" s="7" t="s">
        <v>13</v>
      </c>
      <c r="C1513" s="7" t="s">
        <v>589</v>
      </c>
      <c r="D1513" s="7">
        <v>-2.1694789000000001</v>
      </c>
      <c r="E1513" s="7">
        <v>-2.6051348999999999</v>
      </c>
      <c r="F1513" s="9" t="str">
        <f t="shared" si="7"/>
        <v>Direct</v>
      </c>
      <c r="G1513" s="7" t="s">
        <v>590</v>
      </c>
    </row>
    <row r="1514" spans="1:7" x14ac:dyDescent="0.2">
      <c r="A1514" s="6" t="s">
        <v>8</v>
      </c>
      <c r="B1514" s="7" t="s">
        <v>13</v>
      </c>
      <c r="C1514" s="7" t="s">
        <v>1973</v>
      </c>
      <c r="D1514" s="7">
        <v>-4.7008083999999997</v>
      </c>
      <c r="E1514" s="7">
        <v>-6.9566011000000003</v>
      </c>
      <c r="F1514" s="9" t="str">
        <f t="shared" si="7"/>
        <v>Direct</v>
      </c>
      <c r="G1514" s="7" t="s">
        <v>11</v>
      </c>
    </row>
    <row r="1515" spans="1:7" x14ac:dyDescent="0.2">
      <c r="A1515" s="6" t="s">
        <v>8</v>
      </c>
      <c r="B1515" s="7" t="s">
        <v>13</v>
      </c>
      <c r="C1515" s="7" t="s">
        <v>1974</v>
      </c>
      <c r="D1515" s="7">
        <v>-1.2450797</v>
      </c>
      <c r="E1515" s="7">
        <v>-5.7873738000000001</v>
      </c>
      <c r="F1515" s="9" t="str">
        <f t="shared" si="7"/>
        <v>Direct</v>
      </c>
      <c r="G1515" s="7" t="s">
        <v>11</v>
      </c>
    </row>
    <row r="1516" spans="1:7" x14ac:dyDescent="0.2">
      <c r="A1516" s="6" t="s">
        <v>8</v>
      </c>
      <c r="B1516" s="7" t="s">
        <v>13</v>
      </c>
      <c r="C1516" s="7" t="s">
        <v>593</v>
      </c>
      <c r="D1516" s="7">
        <v>-2.3620312999999999</v>
      </c>
      <c r="E1516" s="7">
        <v>-3.3113329999999999</v>
      </c>
      <c r="F1516" s="9" t="str">
        <f t="shared" si="7"/>
        <v>Direct</v>
      </c>
      <c r="G1516" s="7" t="s">
        <v>11</v>
      </c>
    </row>
    <row r="1517" spans="1:7" x14ac:dyDescent="0.2">
      <c r="A1517" s="6" t="s">
        <v>8</v>
      </c>
      <c r="B1517" s="7" t="s">
        <v>13</v>
      </c>
      <c r="C1517" s="7" t="s">
        <v>1975</v>
      </c>
      <c r="D1517" s="7">
        <v>2.6590152499999999</v>
      </c>
      <c r="E1517" s="7">
        <v>12.0740368</v>
      </c>
      <c r="F1517" s="9" t="str">
        <f t="shared" si="7"/>
        <v>Direct</v>
      </c>
      <c r="G1517" s="7" t="s">
        <v>11</v>
      </c>
    </row>
    <row r="1518" spans="1:7" x14ac:dyDescent="0.2">
      <c r="A1518" s="6" t="s">
        <v>8</v>
      </c>
      <c r="B1518" s="7" t="s">
        <v>13</v>
      </c>
      <c r="C1518" s="7" t="s">
        <v>598</v>
      </c>
      <c r="D1518" s="7">
        <v>-3.0555157999999998</v>
      </c>
      <c r="E1518" s="7">
        <v>-1.1907542</v>
      </c>
      <c r="F1518" s="9" t="str">
        <f t="shared" si="7"/>
        <v>Direct</v>
      </c>
      <c r="G1518" s="7" t="s">
        <v>599</v>
      </c>
    </row>
    <row r="1519" spans="1:7" x14ac:dyDescent="0.2">
      <c r="A1519" s="6" t="s">
        <v>8</v>
      </c>
      <c r="B1519" s="7" t="s">
        <v>13</v>
      </c>
      <c r="C1519" s="7" t="s">
        <v>1976</v>
      </c>
      <c r="D1519" s="7">
        <v>1.47256374</v>
      </c>
      <c r="E1519" s="7">
        <v>1.0582320999999999</v>
      </c>
      <c r="F1519" s="9" t="str">
        <f t="shared" si="7"/>
        <v>Direct</v>
      </c>
      <c r="G1519" s="7" t="s">
        <v>11</v>
      </c>
    </row>
    <row r="1520" spans="1:7" x14ac:dyDescent="0.2">
      <c r="A1520" s="6" t="s">
        <v>8</v>
      </c>
      <c r="B1520" s="7" t="s">
        <v>13</v>
      </c>
      <c r="C1520" s="7" t="s">
        <v>1977</v>
      </c>
      <c r="D1520" s="7">
        <v>2.8651066300000001</v>
      </c>
      <c r="E1520" s="7">
        <v>1.3497485899999999</v>
      </c>
      <c r="F1520" s="9" t="str">
        <f t="shared" si="7"/>
        <v>Direct</v>
      </c>
      <c r="G1520" s="7" t="s">
        <v>276</v>
      </c>
    </row>
    <row r="1521" spans="1:7" x14ac:dyDescent="0.2">
      <c r="A1521" s="6" t="s">
        <v>8</v>
      </c>
      <c r="B1521" s="7" t="s">
        <v>13</v>
      </c>
      <c r="C1521" s="7" t="s">
        <v>1978</v>
      </c>
      <c r="D1521" s="7">
        <v>1.7613784400000001</v>
      </c>
      <c r="E1521" s="7">
        <v>1.5137693299999999</v>
      </c>
      <c r="F1521" s="9" t="str">
        <f t="shared" si="7"/>
        <v>Direct</v>
      </c>
      <c r="G1521" s="7" t="s">
        <v>1979</v>
      </c>
    </row>
    <row r="1522" spans="1:7" x14ac:dyDescent="0.2">
      <c r="A1522" s="6" t="s">
        <v>8</v>
      </c>
      <c r="B1522" s="7" t="s">
        <v>13</v>
      </c>
      <c r="C1522" s="7" t="s">
        <v>1980</v>
      </c>
      <c r="D1522" s="7">
        <v>-1.6632461000000001</v>
      </c>
      <c r="E1522" s="7">
        <v>-7.7891984000000001</v>
      </c>
      <c r="F1522" s="9" t="str">
        <f t="shared" si="7"/>
        <v>Direct</v>
      </c>
      <c r="G1522" s="7" t="s">
        <v>11</v>
      </c>
    </row>
    <row r="1523" spans="1:7" x14ac:dyDescent="0.2">
      <c r="A1523" s="6" t="s">
        <v>8</v>
      </c>
      <c r="B1523" s="7" t="s">
        <v>13</v>
      </c>
      <c r="C1523" s="7" t="s">
        <v>1981</v>
      </c>
      <c r="D1523" s="7">
        <v>1.02836102</v>
      </c>
      <c r="E1523" s="7">
        <v>2.9040756399999998</v>
      </c>
      <c r="F1523" s="9" t="str">
        <f t="shared" si="7"/>
        <v>Direct</v>
      </c>
      <c r="G1523" s="7" t="s">
        <v>11</v>
      </c>
    </row>
    <row r="1524" spans="1:7" x14ac:dyDescent="0.2">
      <c r="A1524" s="6" t="s">
        <v>8</v>
      </c>
      <c r="B1524" s="7" t="s">
        <v>13</v>
      </c>
      <c r="C1524" s="7" t="s">
        <v>1982</v>
      </c>
      <c r="D1524" s="7">
        <v>-1.1932659000000001</v>
      </c>
      <c r="E1524" s="7">
        <v>-3.7853563000000001</v>
      </c>
      <c r="F1524" s="9" t="str">
        <f t="shared" si="7"/>
        <v>Direct</v>
      </c>
      <c r="G1524" s="7" t="s">
        <v>11</v>
      </c>
    </row>
    <row r="1525" spans="1:7" x14ac:dyDescent="0.2">
      <c r="A1525" s="6" t="s">
        <v>8</v>
      </c>
      <c r="B1525" s="7" t="s">
        <v>13</v>
      </c>
      <c r="C1525" s="7" t="s">
        <v>1983</v>
      </c>
      <c r="D1525" s="7">
        <v>-6.8130205000000004</v>
      </c>
      <c r="E1525" s="7">
        <v>-10.621002000000001</v>
      </c>
      <c r="F1525" s="9" t="str">
        <f t="shared" si="7"/>
        <v>Direct</v>
      </c>
      <c r="G1525" s="7" t="s">
        <v>11</v>
      </c>
    </row>
    <row r="1526" spans="1:7" x14ac:dyDescent="0.2">
      <c r="A1526" s="6" t="s">
        <v>8</v>
      </c>
      <c r="B1526" s="7" t="s">
        <v>13</v>
      </c>
      <c r="C1526" s="7" t="s">
        <v>1984</v>
      </c>
      <c r="D1526" s="7">
        <v>2.3164896700000002</v>
      </c>
      <c r="E1526" s="7">
        <v>3.5055296199999999</v>
      </c>
      <c r="F1526" s="9" t="str">
        <f t="shared" si="7"/>
        <v>Direct</v>
      </c>
      <c r="G1526" s="7" t="s">
        <v>11</v>
      </c>
    </row>
    <row r="1527" spans="1:7" x14ac:dyDescent="0.2">
      <c r="A1527" s="6" t="s">
        <v>8</v>
      </c>
      <c r="B1527" s="7" t="s">
        <v>13</v>
      </c>
      <c r="C1527" s="7" t="s">
        <v>1985</v>
      </c>
      <c r="D1527" s="7">
        <v>-1.1562060000000001</v>
      </c>
      <c r="E1527" s="7">
        <v>-1.1003541999999999</v>
      </c>
      <c r="F1527" s="9" t="str">
        <f t="shared" si="7"/>
        <v>Direct</v>
      </c>
      <c r="G1527" s="7" t="s">
        <v>11</v>
      </c>
    </row>
    <row r="1528" spans="1:7" x14ac:dyDescent="0.2">
      <c r="A1528" s="6" t="s">
        <v>8</v>
      </c>
      <c r="B1528" s="7" t="s">
        <v>13</v>
      </c>
      <c r="C1528" s="7" t="s">
        <v>1986</v>
      </c>
      <c r="D1528" s="7">
        <v>-1.8337429999999999</v>
      </c>
      <c r="E1528" s="7">
        <v>-3.3316507999999998</v>
      </c>
      <c r="F1528" s="9" t="str">
        <f t="shared" si="7"/>
        <v>Direct</v>
      </c>
      <c r="G1528" s="7" t="s">
        <v>11</v>
      </c>
    </row>
    <row r="1529" spans="1:7" x14ac:dyDescent="0.2">
      <c r="A1529" s="6" t="s">
        <v>8</v>
      </c>
      <c r="B1529" s="7" t="s">
        <v>13</v>
      </c>
      <c r="C1529" s="7" t="s">
        <v>1987</v>
      </c>
      <c r="D1529" s="7">
        <v>-2.2786659</v>
      </c>
      <c r="E1529" s="7">
        <v>-6.6504951999999999</v>
      </c>
      <c r="F1529" s="9" t="str">
        <f t="shared" si="7"/>
        <v>Direct</v>
      </c>
      <c r="G1529" s="7" t="s">
        <v>1988</v>
      </c>
    </row>
    <row r="1530" spans="1:7" x14ac:dyDescent="0.2">
      <c r="A1530" s="6" t="s">
        <v>8</v>
      </c>
      <c r="B1530" s="7" t="s">
        <v>13</v>
      </c>
      <c r="C1530" s="7" t="s">
        <v>1989</v>
      </c>
      <c r="D1530" s="7">
        <v>1.4995558600000001</v>
      </c>
      <c r="E1530" s="7">
        <v>3.2014150199999998</v>
      </c>
      <c r="F1530" s="9" t="str">
        <f t="shared" si="7"/>
        <v>Direct</v>
      </c>
      <c r="G1530" s="7" t="s">
        <v>1990</v>
      </c>
    </row>
    <row r="1531" spans="1:7" x14ac:dyDescent="0.2">
      <c r="A1531" s="6" t="s">
        <v>8</v>
      </c>
      <c r="B1531" s="7" t="s">
        <v>13</v>
      </c>
      <c r="C1531" s="7" t="s">
        <v>1991</v>
      </c>
      <c r="D1531" s="7">
        <v>1.04214958</v>
      </c>
      <c r="E1531" s="7">
        <v>3.39592932</v>
      </c>
      <c r="F1531" s="9" t="str">
        <f t="shared" si="7"/>
        <v>Direct</v>
      </c>
      <c r="G1531" s="7" t="s">
        <v>1992</v>
      </c>
    </row>
    <row r="1532" spans="1:7" x14ac:dyDescent="0.2">
      <c r="A1532" s="6" t="s">
        <v>8</v>
      </c>
      <c r="B1532" s="7" t="s">
        <v>13</v>
      </c>
      <c r="C1532" s="7" t="s">
        <v>1993</v>
      </c>
      <c r="D1532" s="7">
        <v>1.0499708299999999</v>
      </c>
      <c r="E1532" s="7">
        <v>2.12396669</v>
      </c>
      <c r="F1532" s="9" t="str">
        <f t="shared" ref="F1532:F1786" si="8">IF(OR(AND(D1532&gt;0,E1532&gt;0),AND(D1532&lt;0,E1532&lt;0)),"Direct","Inverse")</f>
        <v>Direct</v>
      </c>
      <c r="G1532" s="7" t="s">
        <v>1994</v>
      </c>
    </row>
    <row r="1533" spans="1:7" x14ac:dyDescent="0.2">
      <c r="A1533" s="6" t="s">
        <v>8</v>
      </c>
      <c r="B1533" s="7" t="s">
        <v>13</v>
      </c>
      <c r="C1533" s="7" t="s">
        <v>605</v>
      </c>
      <c r="D1533" s="7">
        <v>-1.5811721000000001</v>
      </c>
      <c r="E1533" s="7">
        <v>-3.0125993000000002</v>
      </c>
      <c r="F1533" s="9" t="str">
        <f t="shared" si="8"/>
        <v>Direct</v>
      </c>
      <c r="G1533" s="7" t="s">
        <v>11</v>
      </c>
    </row>
    <row r="1534" spans="1:7" x14ac:dyDescent="0.2">
      <c r="A1534" s="6" t="s">
        <v>8</v>
      </c>
      <c r="B1534" s="7" t="s">
        <v>13</v>
      </c>
      <c r="C1534" s="7" t="s">
        <v>1995</v>
      </c>
      <c r="D1534" s="7">
        <v>-1.0093356</v>
      </c>
      <c r="E1534" s="7">
        <v>-2.3398522000000002</v>
      </c>
      <c r="F1534" s="9" t="str">
        <f t="shared" si="8"/>
        <v>Direct</v>
      </c>
      <c r="G1534" s="7" t="s">
        <v>35</v>
      </c>
    </row>
    <row r="1535" spans="1:7" x14ac:dyDescent="0.2">
      <c r="A1535" s="6" t="s">
        <v>8</v>
      </c>
      <c r="B1535" s="7" t="s">
        <v>13</v>
      </c>
      <c r="C1535" s="7" t="s">
        <v>608</v>
      </c>
      <c r="D1535" s="7">
        <v>-1.4919534000000001</v>
      </c>
      <c r="E1535" s="7">
        <v>-2.1225337999999998</v>
      </c>
      <c r="F1535" s="9" t="str">
        <f t="shared" si="8"/>
        <v>Direct</v>
      </c>
      <c r="G1535" s="7" t="s">
        <v>58</v>
      </c>
    </row>
    <row r="1536" spans="1:7" x14ac:dyDescent="0.2">
      <c r="A1536" s="6" t="s">
        <v>8</v>
      </c>
      <c r="B1536" s="7" t="s">
        <v>13</v>
      </c>
      <c r="C1536" s="7" t="s">
        <v>609</v>
      </c>
      <c r="D1536" s="7">
        <v>-2.1269262000000002</v>
      </c>
      <c r="E1536" s="7">
        <v>-4.3670852</v>
      </c>
      <c r="F1536" s="9" t="str">
        <f t="shared" si="8"/>
        <v>Direct</v>
      </c>
      <c r="G1536" s="7" t="s">
        <v>11</v>
      </c>
    </row>
    <row r="1537" spans="1:7" x14ac:dyDescent="0.2">
      <c r="A1537" s="6" t="s">
        <v>8</v>
      </c>
      <c r="B1537" s="7" t="s">
        <v>13</v>
      </c>
      <c r="C1537" s="7" t="s">
        <v>1996</v>
      </c>
      <c r="D1537" s="7">
        <v>-4.0381516</v>
      </c>
      <c r="E1537" s="7">
        <v>-5.6005694999999998</v>
      </c>
      <c r="F1537" s="9" t="str">
        <f t="shared" si="8"/>
        <v>Direct</v>
      </c>
      <c r="G1537" s="7" t="s">
        <v>58</v>
      </c>
    </row>
    <row r="1538" spans="1:7" x14ac:dyDescent="0.2">
      <c r="A1538" s="6" t="s">
        <v>8</v>
      </c>
      <c r="B1538" s="7" t="s">
        <v>13</v>
      </c>
      <c r="C1538" s="7" t="s">
        <v>1997</v>
      </c>
      <c r="D1538" s="7">
        <v>-1.1421051</v>
      </c>
      <c r="E1538" s="7">
        <v>-1.1267906999999999</v>
      </c>
      <c r="F1538" s="9" t="str">
        <f t="shared" si="8"/>
        <v>Direct</v>
      </c>
      <c r="G1538" s="7" t="s">
        <v>1998</v>
      </c>
    </row>
    <row r="1539" spans="1:7" x14ac:dyDescent="0.2">
      <c r="A1539" s="6" t="s">
        <v>8</v>
      </c>
      <c r="B1539" s="7" t="s">
        <v>13</v>
      </c>
      <c r="C1539" s="7" t="s">
        <v>1999</v>
      </c>
      <c r="D1539" s="7">
        <v>1.3782255800000001</v>
      </c>
      <c r="E1539" s="7">
        <v>1.4356698699999999</v>
      </c>
      <c r="F1539" s="9" t="str">
        <f t="shared" si="8"/>
        <v>Direct</v>
      </c>
      <c r="G1539" s="7" t="s">
        <v>2000</v>
      </c>
    </row>
    <row r="1540" spans="1:7" x14ac:dyDescent="0.2">
      <c r="A1540" s="6" t="s">
        <v>8</v>
      </c>
      <c r="B1540" s="7" t="s">
        <v>13</v>
      </c>
      <c r="C1540" s="7" t="s">
        <v>2001</v>
      </c>
      <c r="D1540" s="7">
        <v>2.4360676400000001</v>
      </c>
      <c r="E1540" s="7">
        <v>9.6366780100000007</v>
      </c>
      <c r="F1540" s="9" t="str">
        <f t="shared" si="8"/>
        <v>Direct</v>
      </c>
      <c r="G1540" s="7" t="s">
        <v>11</v>
      </c>
    </row>
    <row r="1541" spans="1:7" x14ac:dyDescent="0.2">
      <c r="A1541" s="6" t="s">
        <v>8</v>
      </c>
      <c r="B1541" s="7" t="s">
        <v>13</v>
      </c>
      <c r="C1541" s="7" t="s">
        <v>613</v>
      </c>
      <c r="D1541" s="7">
        <v>-4.8439689000000001</v>
      </c>
      <c r="E1541" s="7">
        <v>-5.3574741000000001</v>
      </c>
      <c r="F1541" s="9" t="str">
        <f t="shared" si="8"/>
        <v>Direct</v>
      </c>
      <c r="G1541" s="7" t="s">
        <v>11</v>
      </c>
    </row>
    <row r="1542" spans="1:7" x14ac:dyDescent="0.2">
      <c r="A1542" s="6" t="s">
        <v>8</v>
      </c>
      <c r="B1542" s="7" t="s">
        <v>13</v>
      </c>
      <c r="C1542" s="7" t="s">
        <v>614</v>
      </c>
      <c r="D1542" s="7">
        <v>3.2987597000000002</v>
      </c>
      <c r="E1542" s="7">
        <v>4.0147123699999998</v>
      </c>
      <c r="F1542" s="9" t="str">
        <f t="shared" si="8"/>
        <v>Direct</v>
      </c>
      <c r="G1542" s="7" t="s">
        <v>11</v>
      </c>
    </row>
    <row r="1543" spans="1:7" x14ac:dyDescent="0.2">
      <c r="A1543" s="6" t="s">
        <v>8</v>
      </c>
      <c r="B1543" s="7" t="s">
        <v>13</v>
      </c>
      <c r="C1543" s="7" t="s">
        <v>2002</v>
      </c>
      <c r="D1543" s="7">
        <v>1.52826605</v>
      </c>
      <c r="E1543" s="7">
        <v>2.0668587999999999</v>
      </c>
      <c r="F1543" s="9" t="str">
        <f t="shared" si="8"/>
        <v>Direct</v>
      </c>
      <c r="G1543" s="7" t="s">
        <v>2003</v>
      </c>
    </row>
    <row r="1544" spans="1:7" x14ac:dyDescent="0.2">
      <c r="A1544" s="6" t="s">
        <v>8</v>
      </c>
      <c r="B1544" s="7" t="s">
        <v>13</v>
      </c>
      <c r="C1544" s="7" t="s">
        <v>2004</v>
      </c>
      <c r="D1544" s="7">
        <v>-1.3078699</v>
      </c>
      <c r="E1544" s="7">
        <v>-4.516661</v>
      </c>
      <c r="F1544" s="9" t="str">
        <f t="shared" si="8"/>
        <v>Direct</v>
      </c>
      <c r="G1544" s="7" t="s">
        <v>11</v>
      </c>
    </row>
    <row r="1545" spans="1:7" x14ac:dyDescent="0.2">
      <c r="A1545" s="6" t="s">
        <v>8</v>
      </c>
      <c r="B1545" s="7" t="s">
        <v>13</v>
      </c>
      <c r="C1545" s="7" t="s">
        <v>2005</v>
      </c>
      <c r="D1545" s="7">
        <v>1.1932659400000001</v>
      </c>
      <c r="E1545" s="7">
        <v>1.63653169</v>
      </c>
      <c r="F1545" s="9" t="str">
        <f t="shared" si="8"/>
        <v>Direct</v>
      </c>
      <c r="G1545" s="7" t="s">
        <v>2006</v>
      </c>
    </row>
    <row r="1546" spans="1:7" x14ac:dyDescent="0.2">
      <c r="A1546" s="6" t="s">
        <v>8</v>
      </c>
      <c r="B1546" s="7" t="s">
        <v>13</v>
      </c>
      <c r="C1546" s="7" t="s">
        <v>2007</v>
      </c>
      <c r="D1546" s="7">
        <v>1.15620604</v>
      </c>
      <c r="E1546" s="7">
        <v>1.65122565</v>
      </c>
      <c r="F1546" s="9" t="str">
        <f t="shared" si="8"/>
        <v>Direct</v>
      </c>
      <c r="G1546" s="7" t="s">
        <v>2008</v>
      </c>
    </row>
    <row r="1547" spans="1:7" x14ac:dyDescent="0.2">
      <c r="A1547" s="6" t="s">
        <v>8</v>
      </c>
      <c r="B1547" s="7" t="s">
        <v>13</v>
      </c>
      <c r="C1547" s="7" t="s">
        <v>2009</v>
      </c>
      <c r="D1547" s="7">
        <v>1.7482038600000001</v>
      </c>
      <c r="E1547" s="7">
        <v>2.30715424</v>
      </c>
      <c r="F1547" s="9" t="str">
        <f t="shared" si="8"/>
        <v>Direct</v>
      </c>
      <c r="G1547" s="7" t="s">
        <v>2010</v>
      </c>
    </row>
    <row r="1548" spans="1:7" x14ac:dyDescent="0.2">
      <c r="A1548" s="6" t="s">
        <v>8</v>
      </c>
      <c r="B1548" s="7" t="s">
        <v>13</v>
      </c>
      <c r="C1548" s="7" t="s">
        <v>2011</v>
      </c>
      <c r="D1548" s="7">
        <v>2.2336497400000002</v>
      </c>
      <c r="E1548" s="7">
        <v>1.62596757</v>
      </c>
      <c r="F1548" s="9" t="str">
        <f t="shared" si="8"/>
        <v>Direct</v>
      </c>
      <c r="G1548" s="7" t="s">
        <v>2012</v>
      </c>
    </row>
    <row r="1549" spans="1:7" x14ac:dyDescent="0.2">
      <c r="A1549" s="6" t="s">
        <v>8</v>
      </c>
      <c r="B1549" s="7" t="s">
        <v>13</v>
      </c>
      <c r="C1549" s="7" t="s">
        <v>2013</v>
      </c>
      <c r="D1549" s="7">
        <v>2.1669542399999999</v>
      </c>
      <c r="E1549" s="7">
        <v>7.2366549100000004</v>
      </c>
      <c r="F1549" s="9" t="str">
        <f t="shared" si="8"/>
        <v>Direct</v>
      </c>
      <c r="G1549" s="7" t="s">
        <v>276</v>
      </c>
    </row>
    <row r="1550" spans="1:7" x14ac:dyDescent="0.2">
      <c r="A1550" s="6" t="s">
        <v>8</v>
      </c>
      <c r="B1550" s="7" t="s">
        <v>13</v>
      </c>
      <c r="C1550" s="7" t="s">
        <v>2014</v>
      </c>
      <c r="D1550" s="7">
        <v>2.0996864400000002</v>
      </c>
      <c r="E1550" s="7">
        <v>7.3026246800000001</v>
      </c>
      <c r="F1550" s="9" t="str">
        <f t="shared" si="8"/>
        <v>Direct</v>
      </c>
      <c r="G1550" s="7" t="s">
        <v>11</v>
      </c>
    </row>
    <row r="1551" spans="1:7" x14ac:dyDescent="0.2">
      <c r="A1551" s="6" t="s">
        <v>8</v>
      </c>
      <c r="B1551" s="7" t="s">
        <v>13</v>
      </c>
      <c r="C1551" s="7" t="s">
        <v>622</v>
      </c>
      <c r="D1551" s="7">
        <v>-3.0305080000000002</v>
      </c>
      <c r="E1551" s="7">
        <v>-4.2429667000000002</v>
      </c>
      <c r="F1551" s="9" t="str">
        <f t="shared" si="8"/>
        <v>Direct</v>
      </c>
      <c r="G1551" s="7" t="s">
        <v>11</v>
      </c>
    </row>
    <row r="1552" spans="1:7" x14ac:dyDescent="0.2">
      <c r="A1552" s="6" t="s">
        <v>8</v>
      </c>
      <c r="B1552" s="7" t="s">
        <v>13</v>
      </c>
      <c r="C1552" s="7" t="s">
        <v>2015</v>
      </c>
      <c r="D1552" s="7">
        <v>-1.7178260999999999</v>
      </c>
      <c r="E1552" s="7">
        <v>-5.1008562</v>
      </c>
      <c r="F1552" s="9" t="str">
        <f t="shared" si="8"/>
        <v>Direct</v>
      </c>
      <c r="G1552" s="7" t="s">
        <v>2016</v>
      </c>
    </row>
    <row r="1553" spans="1:7" x14ac:dyDescent="0.2">
      <c r="A1553" s="6" t="s">
        <v>8</v>
      </c>
      <c r="B1553" s="7" t="s">
        <v>13</v>
      </c>
      <c r="C1553" s="7" t="s">
        <v>624</v>
      </c>
      <c r="D1553" s="7">
        <v>1.15451069</v>
      </c>
      <c r="E1553" s="7">
        <v>2.0155840700000001</v>
      </c>
      <c r="F1553" s="9" t="str">
        <f t="shared" si="8"/>
        <v>Direct</v>
      </c>
      <c r="G1553" s="7" t="s">
        <v>11</v>
      </c>
    </row>
    <row r="1554" spans="1:7" x14ac:dyDescent="0.2">
      <c r="A1554" s="6" t="s">
        <v>8</v>
      </c>
      <c r="B1554" s="7" t="s">
        <v>13</v>
      </c>
      <c r="C1554" s="7" t="s">
        <v>2017</v>
      </c>
      <c r="D1554" s="7">
        <v>1.44203383</v>
      </c>
      <c r="E1554" s="7">
        <v>1.03793994</v>
      </c>
      <c r="F1554" s="9" t="str">
        <f t="shared" si="8"/>
        <v>Direct</v>
      </c>
      <c r="G1554" s="7" t="s">
        <v>327</v>
      </c>
    </row>
    <row r="1555" spans="1:7" x14ac:dyDescent="0.2">
      <c r="A1555" s="6" t="s">
        <v>8</v>
      </c>
      <c r="B1555" s="7" t="s">
        <v>13</v>
      </c>
      <c r="C1555" s="7" t="s">
        <v>2018</v>
      </c>
      <c r="D1555" s="7">
        <v>1.5074283500000001</v>
      </c>
      <c r="E1555" s="7">
        <v>6.5944204800000001</v>
      </c>
      <c r="F1555" s="9" t="str">
        <f t="shared" si="8"/>
        <v>Direct</v>
      </c>
      <c r="G1555" s="7" t="s">
        <v>11</v>
      </c>
    </row>
    <row r="1556" spans="1:7" x14ac:dyDescent="0.2">
      <c r="A1556" s="6" t="s">
        <v>8</v>
      </c>
      <c r="B1556" s="7" t="s">
        <v>13</v>
      </c>
      <c r="C1556" s="7" t="s">
        <v>2019</v>
      </c>
      <c r="D1556" s="7">
        <v>2.4411331700000001</v>
      </c>
      <c r="E1556" s="7">
        <v>5.2542675000000001</v>
      </c>
      <c r="F1556" s="9" t="str">
        <f t="shared" si="8"/>
        <v>Direct</v>
      </c>
      <c r="G1556" s="7" t="s">
        <v>11</v>
      </c>
    </row>
    <row r="1557" spans="1:7" x14ac:dyDescent="0.2">
      <c r="A1557" s="6" t="s">
        <v>8</v>
      </c>
      <c r="B1557" s="7" t="s">
        <v>13</v>
      </c>
      <c r="C1557" s="7" t="s">
        <v>2020</v>
      </c>
      <c r="D1557" s="7">
        <v>-1.1602357000000001</v>
      </c>
      <c r="E1557" s="7">
        <v>-1.1672861000000001</v>
      </c>
      <c r="F1557" s="9" t="str">
        <f t="shared" si="8"/>
        <v>Direct</v>
      </c>
      <c r="G1557" s="7" t="s">
        <v>11</v>
      </c>
    </row>
    <row r="1558" spans="1:7" x14ac:dyDescent="0.2">
      <c r="A1558" s="6" t="s">
        <v>8</v>
      </c>
      <c r="B1558" s="7" t="s">
        <v>13</v>
      </c>
      <c r="C1558" s="7" t="s">
        <v>2021</v>
      </c>
      <c r="D1558" s="7">
        <v>-1.3867313999999999</v>
      </c>
      <c r="E1558" s="7">
        <v>-1.1577774999999999</v>
      </c>
      <c r="F1558" s="9" t="str">
        <f t="shared" si="8"/>
        <v>Direct</v>
      </c>
      <c r="G1558" s="7" t="s">
        <v>11</v>
      </c>
    </row>
    <row r="1559" spans="1:7" x14ac:dyDescent="0.2">
      <c r="A1559" s="6" t="s">
        <v>8</v>
      </c>
      <c r="B1559" s="7" t="s">
        <v>13</v>
      </c>
      <c r="C1559" s="7" t="s">
        <v>2022</v>
      </c>
      <c r="D1559" s="7">
        <v>-2.6815725000000001</v>
      </c>
      <c r="E1559" s="7">
        <v>-1.5674508</v>
      </c>
      <c r="F1559" s="9" t="str">
        <f t="shared" si="8"/>
        <v>Direct</v>
      </c>
      <c r="G1559" s="7" t="s">
        <v>2023</v>
      </c>
    </row>
    <row r="1560" spans="1:7" x14ac:dyDescent="0.2">
      <c r="A1560" s="6" t="s">
        <v>8</v>
      </c>
      <c r="B1560" s="7" t="s">
        <v>13</v>
      </c>
      <c r="C1560" s="7" t="s">
        <v>2024</v>
      </c>
      <c r="D1560" s="7">
        <v>-3.9921785999999999</v>
      </c>
      <c r="E1560" s="7">
        <v>-1.7698927</v>
      </c>
      <c r="F1560" s="9" t="str">
        <f t="shared" si="8"/>
        <v>Direct</v>
      </c>
      <c r="G1560" s="7" t="s">
        <v>11</v>
      </c>
    </row>
    <row r="1561" spans="1:7" x14ac:dyDescent="0.2">
      <c r="A1561" s="6" t="s">
        <v>8</v>
      </c>
      <c r="B1561" s="7" t="s">
        <v>13</v>
      </c>
      <c r="C1561" s="7" t="s">
        <v>2025</v>
      </c>
      <c r="D1561" s="7">
        <v>3.5849269100000001</v>
      </c>
      <c r="E1561" s="7">
        <v>8.8896191200000008</v>
      </c>
      <c r="F1561" s="9" t="str">
        <f t="shared" si="8"/>
        <v>Direct</v>
      </c>
      <c r="G1561" s="7" t="s">
        <v>2026</v>
      </c>
    </row>
    <row r="1562" spans="1:7" x14ac:dyDescent="0.2">
      <c r="A1562" s="6" t="s">
        <v>8</v>
      </c>
      <c r="B1562" s="7" t="s">
        <v>13</v>
      </c>
      <c r="C1562" s="7" t="s">
        <v>2027</v>
      </c>
      <c r="D1562" s="7">
        <v>-2.8227839000000001</v>
      </c>
      <c r="E1562" s="7">
        <v>-3.6039395999999999</v>
      </c>
      <c r="F1562" s="9" t="str">
        <f t="shared" si="8"/>
        <v>Direct</v>
      </c>
      <c r="G1562" s="7" t="s">
        <v>2028</v>
      </c>
    </row>
    <row r="1563" spans="1:7" x14ac:dyDescent="0.2">
      <c r="A1563" s="6" t="s">
        <v>8</v>
      </c>
      <c r="B1563" s="7" t="s">
        <v>13</v>
      </c>
      <c r="C1563" s="7" t="s">
        <v>2029</v>
      </c>
      <c r="D1563" s="7">
        <v>2.2336497400000002</v>
      </c>
      <c r="E1563" s="7">
        <v>5.8059527900000001</v>
      </c>
      <c r="F1563" s="9" t="str">
        <f t="shared" si="8"/>
        <v>Direct</v>
      </c>
      <c r="G1563" s="7" t="s">
        <v>53</v>
      </c>
    </row>
    <row r="1564" spans="1:7" x14ac:dyDescent="0.2">
      <c r="A1564" s="6" t="s">
        <v>8</v>
      </c>
      <c r="B1564" s="7" t="s">
        <v>13</v>
      </c>
      <c r="C1564" s="7" t="s">
        <v>2030</v>
      </c>
      <c r="D1564" s="7">
        <v>-6.1974274999999999</v>
      </c>
      <c r="E1564" s="7">
        <v>-2.9886607000000001</v>
      </c>
      <c r="F1564" s="9" t="str">
        <f t="shared" si="8"/>
        <v>Direct</v>
      </c>
      <c r="G1564" s="7" t="s">
        <v>2031</v>
      </c>
    </row>
    <row r="1565" spans="1:7" x14ac:dyDescent="0.2">
      <c r="A1565" s="6" t="s">
        <v>8</v>
      </c>
      <c r="B1565" s="7" t="s">
        <v>13</v>
      </c>
      <c r="C1565" s="7" t="s">
        <v>629</v>
      </c>
      <c r="D1565" s="7">
        <v>-4.0835856000000001</v>
      </c>
      <c r="E1565" s="7">
        <v>-5.4114819000000001</v>
      </c>
      <c r="F1565" s="9" t="str">
        <f t="shared" si="8"/>
        <v>Direct</v>
      </c>
      <c r="G1565" s="7" t="s">
        <v>11</v>
      </c>
    </row>
    <row r="1566" spans="1:7" x14ac:dyDescent="0.2">
      <c r="A1566" s="6" t="s">
        <v>8</v>
      </c>
      <c r="B1566" s="7" t="s">
        <v>13</v>
      </c>
      <c r="C1566" s="7" t="s">
        <v>2032</v>
      </c>
      <c r="D1566" s="7">
        <v>-2.2178490000000002</v>
      </c>
      <c r="E1566" s="7">
        <v>-23.504940000000001</v>
      </c>
      <c r="F1566" s="9" t="str">
        <f t="shared" si="8"/>
        <v>Direct</v>
      </c>
      <c r="G1566" s="7" t="s">
        <v>2033</v>
      </c>
    </row>
    <row r="1567" spans="1:7" x14ac:dyDescent="0.2">
      <c r="A1567" s="6" t="s">
        <v>8</v>
      </c>
      <c r="B1567" s="7" t="s">
        <v>13</v>
      </c>
      <c r="C1567" s="7" t="s">
        <v>2034</v>
      </c>
      <c r="D1567" s="7">
        <v>-1.1914062999999999</v>
      </c>
      <c r="E1567" s="7">
        <v>-6.3532662999999996</v>
      </c>
      <c r="F1567" s="9" t="str">
        <f t="shared" si="8"/>
        <v>Direct</v>
      </c>
      <c r="G1567" s="7" t="s">
        <v>11</v>
      </c>
    </row>
    <row r="1568" spans="1:7" x14ac:dyDescent="0.2">
      <c r="A1568" s="6" t="s">
        <v>8</v>
      </c>
      <c r="B1568" s="7" t="s">
        <v>13</v>
      </c>
      <c r="C1568" s="7" t="s">
        <v>633</v>
      </c>
      <c r="D1568" s="7">
        <v>1.1914456899999999</v>
      </c>
      <c r="E1568" s="7">
        <v>1.60634012</v>
      </c>
      <c r="F1568" s="9" t="str">
        <f t="shared" si="8"/>
        <v>Direct</v>
      </c>
      <c r="G1568" s="7" t="s">
        <v>634</v>
      </c>
    </row>
    <row r="1569" spans="1:7" x14ac:dyDescent="0.2">
      <c r="A1569" s="6" t="s">
        <v>8</v>
      </c>
      <c r="B1569" s="7" t="s">
        <v>13</v>
      </c>
      <c r="C1569" s="7" t="s">
        <v>635</v>
      </c>
      <c r="D1569" s="7">
        <v>1.2509085600000001</v>
      </c>
      <c r="E1569" s="7">
        <v>4.3289088800000002</v>
      </c>
      <c r="F1569" s="9" t="str">
        <f t="shared" si="8"/>
        <v>Direct</v>
      </c>
      <c r="G1569" s="7" t="s">
        <v>636</v>
      </c>
    </row>
    <row r="1570" spans="1:7" x14ac:dyDescent="0.2">
      <c r="A1570" s="6" t="s">
        <v>8</v>
      </c>
      <c r="B1570" s="7" t="s">
        <v>13</v>
      </c>
      <c r="C1570" s="7" t="s">
        <v>2035</v>
      </c>
      <c r="D1570" s="7">
        <v>-2.1690200000000002</v>
      </c>
      <c r="E1570" s="7">
        <v>-1.2982988</v>
      </c>
      <c r="F1570" s="9" t="str">
        <f t="shared" si="8"/>
        <v>Direct</v>
      </c>
      <c r="G1570" s="7" t="s">
        <v>2036</v>
      </c>
    </row>
    <row r="1571" spans="1:7" x14ac:dyDescent="0.2">
      <c r="A1571" s="6" t="s">
        <v>8</v>
      </c>
      <c r="B1571" s="7" t="s">
        <v>13</v>
      </c>
      <c r="C1571" s="7" t="s">
        <v>2037</v>
      </c>
      <c r="D1571" s="7">
        <v>1.7488578800000001</v>
      </c>
      <c r="E1571" s="7">
        <v>1.6955064900000001</v>
      </c>
      <c r="F1571" s="9" t="str">
        <f t="shared" si="8"/>
        <v>Direct</v>
      </c>
      <c r="G1571" s="7" t="s">
        <v>2038</v>
      </c>
    </row>
    <row r="1572" spans="1:7" x14ac:dyDescent="0.2">
      <c r="A1572" s="6" t="s">
        <v>8</v>
      </c>
      <c r="B1572" s="7" t="s">
        <v>13</v>
      </c>
      <c r="C1572" s="7" t="s">
        <v>2039</v>
      </c>
      <c r="D1572" s="7">
        <v>2.7801222600000002</v>
      </c>
      <c r="E1572" s="7">
        <v>1.39019556</v>
      </c>
      <c r="F1572" s="9" t="str">
        <f t="shared" si="8"/>
        <v>Direct</v>
      </c>
      <c r="G1572" s="7" t="s">
        <v>11</v>
      </c>
    </row>
    <row r="1573" spans="1:7" x14ac:dyDescent="0.2">
      <c r="A1573" s="6" t="s">
        <v>8</v>
      </c>
      <c r="B1573" s="7" t="s">
        <v>13</v>
      </c>
      <c r="C1573" s="7" t="s">
        <v>2040</v>
      </c>
      <c r="D1573" s="7">
        <v>-1.0633646000000001</v>
      </c>
      <c r="E1573" s="7">
        <v>-3.8054185</v>
      </c>
      <c r="F1573" s="9" t="str">
        <f t="shared" si="8"/>
        <v>Direct</v>
      </c>
      <c r="G1573" s="7" t="s">
        <v>11</v>
      </c>
    </row>
    <row r="1574" spans="1:7" x14ac:dyDescent="0.2">
      <c r="A1574" s="6" t="s">
        <v>8</v>
      </c>
      <c r="B1574" s="7" t="s">
        <v>13</v>
      </c>
      <c r="C1574" s="7" t="s">
        <v>2041</v>
      </c>
      <c r="D1574" s="7">
        <v>1.07130345</v>
      </c>
      <c r="E1574" s="7">
        <v>1.01433887</v>
      </c>
      <c r="F1574" s="9" t="str">
        <f t="shared" si="8"/>
        <v>Direct</v>
      </c>
      <c r="G1574" s="7" t="s">
        <v>2042</v>
      </c>
    </row>
    <row r="1575" spans="1:7" x14ac:dyDescent="0.2">
      <c r="A1575" s="6" t="s">
        <v>8</v>
      </c>
      <c r="B1575" s="7" t="s">
        <v>13</v>
      </c>
      <c r="C1575" s="7" t="s">
        <v>2043</v>
      </c>
      <c r="D1575" s="7">
        <v>1.58801657</v>
      </c>
      <c r="E1575" s="7">
        <v>1.0572910499999999</v>
      </c>
      <c r="F1575" s="9" t="str">
        <f t="shared" si="8"/>
        <v>Direct</v>
      </c>
      <c r="G1575" s="7" t="s">
        <v>2044</v>
      </c>
    </row>
    <row r="1576" spans="1:7" x14ac:dyDescent="0.2">
      <c r="A1576" s="6" t="s">
        <v>8</v>
      </c>
      <c r="B1576" s="7" t="s">
        <v>13</v>
      </c>
      <c r="C1576" s="7" t="s">
        <v>2045</v>
      </c>
      <c r="D1576" s="7">
        <v>2.86829789</v>
      </c>
      <c r="E1576" s="7">
        <v>4.7734703300000003</v>
      </c>
      <c r="F1576" s="9" t="str">
        <f t="shared" si="8"/>
        <v>Direct</v>
      </c>
      <c r="G1576" s="7" t="s">
        <v>1963</v>
      </c>
    </row>
    <row r="1577" spans="1:7" x14ac:dyDescent="0.2">
      <c r="A1577" s="6" t="s">
        <v>8</v>
      </c>
      <c r="B1577" s="7" t="s">
        <v>13</v>
      </c>
      <c r="C1577" s="7" t="s">
        <v>643</v>
      </c>
      <c r="D1577" s="7">
        <v>4.45454112</v>
      </c>
      <c r="E1577" s="7">
        <v>5.3535314200000004</v>
      </c>
      <c r="F1577" s="9" t="str">
        <f t="shared" si="8"/>
        <v>Direct</v>
      </c>
      <c r="G1577" s="7" t="s">
        <v>11</v>
      </c>
    </row>
    <row r="1578" spans="1:7" x14ac:dyDescent="0.2">
      <c r="A1578" s="6" t="s">
        <v>8</v>
      </c>
      <c r="B1578" s="7" t="s">
        <v>13</v>
      </c>
      <c r="C1578" s="7" t="s">
        <v>2046</v>
      </c>
      <c r="D1578" s="7">
        <v>1.25672871</v>
      </c>
      <c r="E1578" s="7">
        <v>1.1893633699999999</v>
      </c>
      <c r="F1578" s="9" t="str">
        <f t="shared" si="8"/>
        <v>Direct</v>
      </c>
      <c r="G1578" s="7" t="s">
        <v>11</v>
      </c>
    </row>
    <row r="1579" spans="1:7" x14ac:dyDescent="0.2">
      <c r="A1579" s="6" t="s">
        <v>8</v>
      </c>
      <c r="B1579" s="7" t="s">
        <v>13</v>
      </c>
      <c r="C1579" s="7" t="s">
        <v>2047</v>
      </c>
      <c r="D1579" s="7">
        <v>-1.0455165</v>
      </c>
      <c r="E1579" s="7">
        <v>-2.8069780999999998</v>
      </c>
      <c r="F1579" s="9" t="str">
        <f t="shared" si="8"/>
        <v>Direct</v>
      </c>
      <c r="G1579" s="7" t="s">
        <v>11</v>
      </c>
    </row>
    <row r="1580" spans="1:7" x14ac:dyDescent="0.2">
      <c r="A1580" s="6" t="s">
        <v>8</v>
      </c>
      <c r="B1580" s="7" t="s">
        <v>13</v>
      </c>
      <c r="C1580" s="7" t="s">
        <v>2048</v>
      </c>
      <c r="D1580" s="7">
        <v>-3.5702045999999998</v>
      </c>
      <c r="E1580" s="7">
        <v>-9.3791682000000005</v>
      </c>
      <c r="F1580" s="9" t="str">
        <f t="shared" si="8"/>
        <v>Direct</v>
      </c>
      <c r="G1580" s="7" t="s">
        <v>11</v>
      </c>
    </row>
    <row r="1581" spans="1:7" x14ac:dyDescent="0.2">
      <c r="A1581" s="6" t="s">
        <v>8</v>
      </c>
      <c r="B1581" s="7" t="s">
        <v>13</v>
      </c>
      <c r="C1581" s="7" t="s">
        <v>2049</v>
      </c>
      <c r="D1581" s="7">
        <v>1.6938895599999999</v>
      </c>
      <c r="E1581" s="7">
        <v>4.6227099300000001</v>
      </c>
      <c r="F1581" s="9" t="str">
        <f t="shared" si="8"/>
        <v>Direct</v>
      </c>
      <c r="G1581" s="7" t="s">
        <v>113</v>
      </c>
    </row>
    <row r="1582" spans="1:7" x14ac:dyDescent="0.2">
      <c r="A1582" s="6" t="s">
        <v>8</v>
      </c>
      <c r="B1582" s="7" t="s">
        <v>13</v>
      </c>
      <c r="C1582" s="7" t="s">
        <v>646</v>
      </c>
      <c r="D1582" s="7">
        <v>-2.3644221000000001</v>
      </c>
      <c r="E1582" s="7">
        <v>-7.8960752999999997</v>
      </c>
      <c r="F1582" s="9" t="str">
        <f t="shared" si="8"/>
        <v>Direct</v>
      </c>
      <c r="G1582" s="7" t="s">
        <v>11</v>
      </c>
    </row>
    <row r="1583" spans="1:7" x14ac:dyDescent="0.2">
      <c r="A1583" s="6" t="s">
        <v>8</v>
      </c>
      <c r="B1583" s="7" t="s">
        <v>13</v>
      </c>
      <c r="C1583" s="7" t="s">
        <v>647</v>
      </c>
      <c r="D1583" s="7">
        <v>2.11061649</v>
      </c>
      <c r="E1583" s="7">
        <v>3.0734229800000001</v>
      </c>
      <c r="F1583" s="9" t="str">
        <f t="shared" si="8"/>
        <v>Direct</v>
      </c>
      <c r="G1583" s="7" t="s">
        <v>648</v>
      </c>
    </row>
    <row r="1584" spans="1:7" x14ac:dyDescent="0.2">
      <c r="A1584" s="6" t="s">
        <v>8</v>
      </c>
      <c r="B1584" s="7" t="s">
        <v>13</v>
      </c>
      <c r="C1584" s="7" t="s">
        <v>2050</v>
      </c>
      <c r="D1584" s="7">
        <v>-1.5952124000000001</v>
      </c>
      <c r="E1584" s="7">
        <v>-1.4950843</v>
      </c>
      <c r="F1584" s="9" t="str">
        <f t="shared" si="8"/>
        <v>Direct</v>
      </c>
      <c r="G1584" s="7" t="s">
        <v>11</v>
      </c>
    </row>
    <row r="1585" spans="1:7" x14ac:dyDescent="0.2">
      <c r="A1585" s="6" t="s">
        <v>8</v>
      </c>
      <c r="B1585" s="7" t="s">
        <v>13</v>
      </c>
      <c r="C1585" s="7" t="s">
        <v>2051</v>
      </c>
      <c r="D1585" s="7">
        <v>-1.0301184000000001</v>
      </c>
      <c r="E1585" s="7">
        <v>-1.1934415</v>
      </c>
      <c r="F1585" s="9" t="str">
        <f t="shared" si="8"/>
        <v>Direct</v>
      </c>
      <c r="G1585" s="7" t="s">
        <v>2052</v>
      </c>
    </row>
    <row r="1586" spans="1:7" x14ac:dyDescent="0.2">
      <c r="A1586" s="6" t="s">
        <v>8</v>
      </c>
      <c r="B1586" s="7" t="s">
        <v>13</v>
      </c>
      <c r="C1586" s="7" t="s">
        <v>2053</v>
      </c>
      <c r="D1586" s="7">
        <v>2.9020793399999998</v>
      </c>
      <c r="E1586" s="7">
        <v>2.3919923000000001</v>
      </c>
      <c r="F1586" s="9" t="str">
        <f t="shared" si="8"/>
        <v>Direct</v>
      </c>
      <c r="G1586" s="7" t="s">
        <v>2054</v>
      </c>
    </row>
    <row r="1587" spans="1:7" x14ac:dyDescent="0.2">
      <c r="A1587" s="6" t="s">
        <v>8</v>
      </c>
      <c r="B1587" s="7" t="s">
        <v>13</v>
      </c>
      <c r="C1587" s="7" t="s">
        <v>2055</v>
      </c>
      <c r="D1587" s="7">
        <v>-1.6818461</v>
      </c>
      <c r="E1587" s="7">
        <v>-2.9394797000000001</v>
      </c>
      <c r="F1587" s="9" t="str">
        <f t="shared" si="8"/>
        <v>Direct</v>
      </c>
      <c r="G1587" s="7" t="s">
        <v>11</v>
      </c>
    </row>
    <row r="1588" spans="1:7" x14ac:dyDescent="0.2">
      <c r="A1588" s="6" t="s">
        <v>8</v>
      </c>
      <c r="B1588" s="7" t="s">
        <v>13</v>
      </c>
      <c r="C1588" s="7" t="s">
        <v>2056</v>
      </c>
      <c r="D1588" s="7">
        <v>-1.3545012000000001</v>
      </c>
      <c r="E1588" s="7">
        <v>-4.0140399000000002</v>
      </c>
      <c r="F1588" s="9" t="str">
        <f t="shared" si="8"/>
        <v>Direct</v>
      </c>
      <c r="G1588" s="7" t="s">
        <v>2057</v>
      </c>
    </row>
    <row r="1589" spans="1:7" x14ac:dyDescent="0.2">
      <c r="A1589" s="6" t="s">
        <v>8</v>
      </c>
      <c r="B1589" s="7" t="s">
        <v>13</v>
      </c>
      <c r="C1589" s="7" t="s">
        <v>2058</v>
      </c>
      <c r="D1589" s="7">
        <v>1.75491273</v>
      </c>
      <c r="E1589" s="7">
        <v>1.4785858000000001</v>
      </c>
      <c r="F1589" s="9" t="str">
        <f t="shared" si="8"/>
        <v>Direct</v>
      </c>
      <c r="G1589" s="7" t="s">
        <v>11</v>
      </c>
    </row>
    <row r="1590" spans="1:7" x14ac:dyDescent="0.2">
      <c r="A1590" s="6" t="s">
        <v>8</v>
      </c>
      <c r="B1590" s="7" t="s">
        <v>13</v>
      </c>
      <c r="C1590" s="7" t="s">
        <v>2059</v>
      </c>
      <c r="D1590" s="7">
        <v>-1.9702447999999999</v>
      </c>
      <c r="E1590" s="7">
        <v>-2.6215164</v>
      </c>
      <c r="F1590" s="9" t="str">
        <f t="shared" si="8"/>
        <v>Direct</v>
      </c>
      <c r="G1590" s="7" t="s">
        <v>653</v>
      </c>
    </row>
    <row r="1591" spans="1:7" x14ac:dyDescent="0.2">
      <c r="A1591" s="6" t="s">
        <v>8</v>
      </c>
      <c r="B1591" s="7" t="s">
        <v>13</v>
      </c>
      <c r="C1591" s="7" t="s">
        <v>2060</v>
      </c>
      <c r="D1591" s="7">
        <v>-2.3520781999999998</v>
      </c>
      <c r="E1591" s="7">
        <v>-3.1336129000000001</v>
      </c>
      <c r="F1591" s="9" t="str">
        <f t="shared" si="8"/>
        <v>Direct</v>
      </c>
      <c r="G1591" s="7" t="s">
        <v>653</v>
      </c>
    </row>
    <row r="1592" spans="1:7" x14ac:dyDescent="0.2">
      <c r="A1592" s="6" t="s">
        <v>8</v>
      </c>
      <c r="B1592" s="7" t="s">
        <v>13</v>
      </c>
      <c r="C1592" s="7" t="s">
        <v>2061</v>
      </c>
      <c r="D1592" s="7">
        <v>-2.2440937000000001</v>
      </c>
      <c r="E1592" s="7">
        <v>-2.2548054999999998</v>
      </c>
      <c r="F1592" s="9" t="str">
        <f t="shared" si="8"/>
        <v>Direct</v>
      </c>
      <c r="G1592" s="7" t="s">
        <v>653</v>
      </c>
    </row>
    <row r="1593" spans="1:7" x14ac:dyDescent="0.2">
      <c r="A1593" s="6" t="s">
        <v>8</v>
      </c>
      <c r="B1593" s="7" t="s">
        <v>13</v>
      </c>
      <c r="C1593" s="7" t="s">
        <v>2062</v>
      </c>
      <c r="D1593" s="7">
        <v>-1.4238173999999999</v>
      </c>
      <c r="E1593" s="7">
        <v>-1.7749637</v>
      </c>
      <c r="F1593" s="9" t="str">
        <f t="shared" si="8"/>
        <v>Direct</v>
      </c>
      <c r="G1593" s="7" t="s">
        <v>653</v>
      </c>
    </row>
    <row r="1594" spans="1:7" x14ac:dyDescent="0.2">
      <c r="A1594" s="6" t="s">
        <v>8</v>
      </c>
      <c r="B1594" s="7" t="s">
        <v>13</v>
      </c>
      <c r="C1594" s="7" t="s">
        <v>2063</v>
      </c>
      <c r="D1594" s="7">
        <v>1.3969508500000001</v>
      </c>
      <c r="E1594" s="7">
        <v>1.23537359</v>
      </c>
      <c r="F1594" s="9" t="str">
        <f t="shared" si="8"/>
        <v>Direct</v>
      </c>
      <c r="G1594" s="7" t="s">
        <v>2064</v>
      </c>
    </row>
    <row r="1595" spans="1:7" x14ac:dyDescent="0.2">
      <c r="A1595" s="6" t="s">
        <v>8</v>
      </c>
      <c r="B1595" s="7" t="s">
        <v>13</v>
      </c>
      <c r="C1595" s="7" t="s">
        <v>2065</v>
      </c>
      <c r="D1595" s="7">
        <v>-1.3147629000000001</v>
      </c>
      <c r="E1595" s="7">
        <v>-2.8495666000000002</v>
      </c>
      <c r="F1595" s="9" t="str">
        <f t="shared" si="8"/>
        <v>Direct</v>
      </c>
      <c r="G1595" s="7" t="s">
        <v>2066</v>
      </c>
    </row>
    <row r="1596" spans="1:7" x14ac:dyDescent="0.2">
      <c r="A1596" s="6" t="s">
        <v>8</v>
      </c>
      <c r="B1596" s="7" t="s">
        <v>13</v>
      </c>
      <c r="C1596" s="7" t="s">
        <v>654</v>
      </c>
      <c r="D1596" s="7">
        <v>-1.7916723000000001</v>
      </c>
      <c r="E1596" s="7">
        <v>-1.2041061</v>
      </c>
      <c r="F1596" s="9" t="str">
        <f t="shared" si="8"/>
        <v>Direct</v>
      </c>
      <c r="G1596" s="7" t="s">
        <v>11</v>
      </c>
    </row>
    <row r="1597" spans="1:7" x14ac:dyDescent="0.2">
      <c r="A1597" s="6" t="s">
        <v>8</v>
      </c>
      <c r="B1597" s="7" t="s">
        <v>13</v>
      </c>
      <c r="C1597" s="7" t="s">
        <v>2067</v>
      </c>
      <c r="D1597" s="7">
        <v>-2.3262100000000001</v>
      </c>
      <c r="E1597" s="7">
        <v>-1.6887462</v>
      </c>
      <c r="F1597" s="9" t="str">
        <f t="shared" si="8"/>
        <v>Direct</v>
      </c>
      <c r="G1597" s="7" t="s">
        <v>2066</v>
      </c>
    </row>
    <row r="1598" spans="1:7" x14ac:dyDescent="0.2">
      <c r="A1598" s="6" t="s">
        <v>8</v>
      </c>
      <c r="B1598" s="7" t="s">
        <v>13</v>
      </c>
      <c r="C1598" s="7" t="s">
        <v>2068</v>
      </c>
      <c r="D1598" s="7">
        <v>1.5334333899999999</v>
      </c>
      <c r="E1598" s="7">
        <v>3.27489908</v>
      </c>
      <c r="F1598" s="9" t="str">
        <f t="shared" si="8"/>
        <v>Direct</v>
      </c>
      <c r="G1598" s="7" t="s">
        <v>11</v>
      </c>
    </row>
    <row r="1599" spans="1:7" x14ac:dyDescent="0.2">
      <c r="A1599" s="6" t="s">
        <v>8</v>
      </c>
      <c r="B1599" s="7" t="s">
        <v>13</v>
      </c>
      <c r="C1599" s="7" t="s">
        <v>2069</v>
      </c>
      <c r="D1599" s="7">
        <v>-2.6480153</v>
      </c>
      <c r="E1599" s="7">
        <v>-1.5621038</v>
      </c>
      <c r="F1599" s="9" t="str">
        <f t="shared" si="8"/>
        <v>Direct</v>
      </c>
      <c r="G1599" s="7" t="s">
        <v>656</v>
      </c>
    </row>
    <row r="1600" spans="1:7" x14ac:dyDescent="0.2">
      <c r="A1600" s="6" t="s">
        <v>8</v>
      </c>
      <c r="B1600" s="7" t="s">
        <v>13</v>
      </c>
      <c r="C1600" s="7" t="s">
        <v>2070</v>
      </c>
      <c r="D1600" s="7">
        <v>-1.4254882</v>
      </c>
      <c r="E1600" s="7">
        <v>-6.3534739</v>
      </c>
      <c r="F1600" s="9" t="str">
        <f t="shared" si="8"/>
        <v>Direct</v>
      </c>
      <c r="G1600" s="7" t="s">
        <v>656</v>
      </c>
    </row>
    <row r="1601" spans="1:7" x14ac:dyDescent="0.2">
      <c r="A1601" s="6" t="s">
        <v>8</v>
      </c>
      <c r="B1601" s="7" t="s">
        <v>13</v>
      </c>
      <c r="C1601" s="7" t="s">
        <v>2071</v>
      </c>
      <c r="D1601" s="7">
        <v>-2.5695431000000002</v>
      </c>
      <c r="E1601" s="7">
        <v>-3.9254869999999999</v>
      </c>
      <c r="F1601" s="9" t="str">
        <f t="shared" si="8"/>
        <v>Direct</v>
      </c>
      <c r="G1601" s="7" t="s">
        <v>656</v>
      </c>
    </row>
    <row r="1602" spans="1:7" x14ac:dyDescent="0.2">
      <c r="A1602" s="6" t="s">
        <v>8</v>
      </c>
      <c r="B1602" s="7" t="s">
        <v>13</v>
      </c>
      <c r="C1602" s="7" t="s">
        <v>2072</v>
      </c>
      <c r="D1602" s="7">
        <v>2.6880253999999999</v>
      </c>
      <c r="E1602" s="7">
        <v>3.12076281</v>
      </c>
      <c r="F1602" s="9" t="str">
        <f t="shared" si="8"/>
        <v>Direct</v>
      </c>
      <c r="G1602" s="7" t="s">
        <v>886</v>
      </c>
    </row>
    <row r="1603" spans="1:7" x14ac:dyDescent="0.2">
      <c r="A1603" s="6" t="s">
        <v>8</v>
      </c>
      <c r="B1603" s="7" t="s">
        <v>13</v>
      </c>
      <c r="C1603" s="7" t="s">
        <v>2073</v>
      </c>
      <c r="D1603" s="7">
        <v>1.6938895599999999</v>
      </c>
      <c r="E1603" s="7">
        <v>5.79527985</v>
      </c>
      <c r="F1603" s="9" t="str">
        <f t="shared" si="8"/>
        <v>Direct</v>
      </c>
      <c r="G1603" s="7" t="s">
        <v>2074</v>
      </c>
    </row>
    <row r="1604" spans="1:7" x14ac:dyDescent="0.2">
      <c r="A1604" s="6" t="s">
        <v>8</v>
      </c>
      <c r="B1604" s="7" t="s">
        <v>13</v>
      </c>
      <c r="C1604" s="7" t="s">
        <v>661</v>
      </c>
      <c r="D1604" s="7">
        <v>1.3026906899999999</v>
      </c>
      <c r="E1604" s="7">
        <v>3.8284669400000002</v>
      </c>
      <c r="F1604" s="9" t="str">
        <f t="shared" si="8"/>
        <v>Direct</v>
      </c>
      <c r="G1604" s="7" t="s">
        <v>662</v>
      </c>
    </row>
    <row r="1605" spans="1:7" x14ac:dyDescent="0.2">
      <c r="A1605" s="6" t="s">
        <v>8</v>
      </c>
      <c r="B1605" s="7" t="s">
        <v>13</v>
      </c>
      <c r="C1605" s="7" t="s">
        <v>2075</v>
      </c>
      <c r="D1605" s="7">
        <v>1.8847578899999999</v>
      </c>
      <c r="E1605" s="7">
        <v>3.01188141</v>
      </c>
      <c r="F1605" s="9" t="str">
        <f t="shared" si="8"/>
        <v>Direct</v>
      </c>
      <c r="G1605" s="7" t="s">
        <v>11</v>
      </c>
    </row>
    <row r="1606" spans="1:7" x14ac:dyDescent="0.2">
      <c r="A1606" s="6" t="s">
        <v>8</v>
      </c>
      <c r="B1606" s="7" t="s">
        <v>13</v>
      </c>
      <c r="C1606" s="7" t="s">
        <v>2076</v>
      </c>
      <c r="D1606" s="7">
        <v>2.0337153799999999</v>
      </c>
      <c r="E1606" s="7">
        <v>7.86539477</v>
      </c>
      <c r="F1606" s="9" t="str">
        <f t="shared" si="8"/>
        <v>Direct</v>
      </c>
      <c r="G1606" s="7" t="s">
        <v>11</v>
      </c>
    </row>
    <row r="1607" spans="1:7" x14ac:dyDescent="0.2">
      <c r="A1607" s="6" t="s">
        <v>8</v>
      </c>
      <c r="B1607" s="7" t="s">
        <v>13</v>
      </c>
      <c r="C1607" s="7" t="s">
        <v>2077</v>
      </c>
      <c r="D1607" s="7">
        <v>2.1465920700000001</v>
      </c>
      <c r="E1607" s="7">
        <v>-1.3249675999999999</v>
      </c>
      <c r="F1607" s="9" t="str">
        <f t="shared" si="8"/>
        <v>Inverse</v>
      </c>
      <c r="G1607" s="7" t="s">
        <v>2078</v>
      </c>
    </row>
    <row r="1608" spans="1:7" x14ac:dyDescent="0.2">
      <c r="A1608" s="6" t="s">
        <v>8</v>
      </c>
      <c r="B1608" s="7" t="s">
        <v>13</v>
      </c>
      <c r="C1608" s="7" t="s">
        <v>2079</v>
      </c>
      <c r="D1608" s="7">
        <v>1.47889877</v>
      </c>
      <c r="E1608" s="7">
        <v>6.2824340400000001</v>
      </c>
      <c r="F1608" s="9" t="str">
        <f t="shared" si="8"/>
        <v>Direct</v>
      </c>
      <c r="G1608" s="7" t="s">
        <v>11</v>
      </c>
    </row>
    <row r="1609" spans="1:7" x14ac:dyDescent="0.2">
      <c r="A1609" s="6" t="s">
        <v>8</v>
      </c>
      <c r="B1609" s="7" t="s">
        <v>13</v>
      </c>
      <c r="C1609" s="7" t="s">
        <v>2080</v>
      </c>
      <c r="D1609" s="7">
        <v>-1.0911500999999999</v>
      </c>
      <c r="E1609" s="7">
        <v>-1.2936224000000001</v>
      </c>
      <c r="F1609" s="9" t="str">
        <f t="shared" si="8"/>
        <v>Direct</v>
      </c>
      <c r="G1609" s="7" t="s">
        <v>11</v>
      </c>
    </row>
    <row r="1610" spans="1:7" x14ac:dyDescent="0.2">
      <c r="A1610" s="6" t="s">
        <v>8</v>
      </c>
      <c r="B1610" s="7" t="s">
        <v>13</v>
      </c>
      <c r="C1610" s="7" t="s">
        <v>2081</v>
      </c>
      <c r="D1610" s="7">
        <v>1.05186296</v>
      </c>
      <c r="E1610" s="7">
        <v>4.5618808</v>
      </c>
      <c r="F1610" s="9" t="str">
        <f t="shared" si="8"/>
        <v>Direct</v>
      </c>
      <c r="G1610" s="7" t="s">
        <v>11</v>
      </c>
    </row>
    <row r="1611" spans="1:7" x14ac:dyDescent="0.2">
      <c r="A1611" s="6" t="s">
        <v>8</v>
      </c>
      <c r="B1611" s="7" t="s">
        <v>13</v>
      </c>
      <c r="C1611" s="7" t="s">
        <v>2082</v>
      </c>
      <c r="D1611" s="7">
        <v>2.9468621499999998</v>
      </c>
      <c r="E1611" s="7">
        <v>1.64158749</v>
      </c>
      <c r="F1611" s="9" t="str">
        <f t="shared" si="8"/>
        <v>Direct</v>
      </c>
      <c r="G1611" s="7" t="s">
        <v>2083</v>
      </c>
    </row>
    <row r="1612" spans="1:7" x14ac:dyDescent="0.2">
      <c r="A1612" s="6" t="s">
        <v>8</v>
      </c>
      <c r="B1612" s="7" t="s">
        <v>13</v>
      </c>
      <c r="C1612" s="7" t="s">
        <v>2084</v>
      </c>
      <c r="D1612" s="7">
        <v>1.3587023</v>
      </c>
      <c r="E1612" s="7">
        <v>1.8851378999999999</v>
      </c>
      <c r="F1612" s="9" t="str">
        <f t="shared" si="8"/>
        <v>Direct</v>
      </c>
      <c r="G1612" s="7" t="s">
        <v>11</v>
      </c>
    </row>
    <row r="1613" spans="1:7" x14ac:dyDescent="0.2">
      <c r="A1613" s="6" t="s">
        <v>8</v>
      </c>
      <c r="B1613" s="7" t="s">
        <v>13</v>
      </c>
      <c r="C1613" s="7" t="s">
        <v>2085</v>
      </c>
      <c r="D1613" s="7">
        <v>-1.8522974999999999</v>
      </c>
      <c r="E1613" s="7">
        <v>-2.3984318</v>
      </c>
      <c r="F1613" s="9" t="str">
        <f t="shared" si="8"/>
        <v>Direct</v>
      </c>
      <c r="G1613" s="7" t="s">
        <v>2086</v>
      </c>
    </row>
    <row r="1614" spans="1:7" x14ac:dyDescent="0.2">
      <c r="A1614" s="6" t="s">
        <v>8</v>
      </c>
      <c r="B1614" s="7" t="s">
        <v>13</v>
      </c>
      <c r="C1614" s="7" t="s">
        <v>2087</v>
      </c>
      <c r="D1614" s="7">
        <v>-3.2200709999999999</v>
      </c>
      <c r="E1614" s="7">
        <v>-4.7273997999999997</v>
      </c>
      <c r="F1614" s="9" t="str">
        <f t="shared" si="8"/>
        <v>Direct</v>
      </c>
      <c r="G1614" s="7" t="s">
        <v>653</v>
      </c>
    </row>
    <row r="1615" spans="1:7" x14ac:dyDescent="0.2">
      <c r="A1615" s="6" t="s">
        <v>8</v>
      </c>
      <c r="B1615" s="7" t="s">
        <v>13</v>
      </c>
      <c r="C1615" s="7" t="s">
        <v>2088</v>
      </c>
      <c r="D1615" s="7">
        <v>2.1541313199999998</v>
      </c>
      <c r="E1615" s="7">
        <v>6.1461694700000002</v>
      </c>
      <c r="F1615" s="9" t="str">
        <f t="shared" si="8"/>
        <v>Direct</v>
      </c>
      <c r="G1615" s="7" t="s">
        <v>1783</v>
      </c>
    </row>
    <row r="1616" spans="1:7" x14ac:dyDescent="0.2">
      <c r="A1616" s="6" t="s">
        <v>8</v>
      </c>
      <c r="B1616" s="7" t="s">
        <v>13</v>
      </c>
      <c r="C1616" s="7" t="s">
        <v>670</v>
      </c>
      <c r="D1616" s="7">
        <v>-2.2239583000000001</v>
      </c>
      <c r="E1616" s="7">
        <v>-7.9946741000000001</v>
      </c>
      <c r="F1616" s="9" t="str">
        <f t="shared" si="8"/>
        <v>Direct</v>
      </c>
      <c r="G1616" s="7" t="s">
        <v>671</v>
      </c>
    </row>
    <row r="1617" spans="1:7" x14ac:dyDescent="0.2">
      <c r="A1617" s="6" t="s">
        <v>8</v>
      </c>
      <c r="B1617" s="7" t="s">
        <v>13</v>
      </c>
      <c r="C1617" s="7" t="s">
        <v>2089</v>
      </c>
      <c r="D1617" s="7">
        <v>1.1353593099999999</v>
      </c>
      <c r="E1617" s="7">
        <v>6.0492457499999999</v>
      </c>
      <c r="F1617" s="9" t="str">
        <f t="shared" si="8"/>
        <v>Direct</v>
      </c>
      <c r="G1617" s="7" t="s">
        <v>2090</v>
      </c>
    </row>
    <row r="1618" spans="1:7" x14ac:dyDescent="0.2">
      <c r="A1618" s="6" t="s">
        <v>8</v>
      </c>
      <c r="B1618" s="7" t="s">
        <v>13</v>
      </c>
      <c r="C1618" s="7" t="s">
        <v>673</v>
      </c>
      <c r="D1618" s="7">
        <v>2.4360676400000001</v>
      </c>
      <c r="E1618" s="7">
        <v>2.5970433900000001</v>
      </c>
      <c r="F1618" s="9" t="str">
        <f t="shared" si="8"/>
        <v>Direct</v>
      </c>
      <c r="G1618" s="7" t="s">
        <v>11</v>
      </c>
    </row>
    <row r="1619" spans="1:7" x14ac:dyDescent="0.2">
      <c r="A1619" s="6" t="s">
        <v>8</v>
      </c>
      <c r="B1619" s="7" t="s">
        <v>13</v>
      </c>
      <c r="C1619" s="7" t="s">
        <v>2091</v>
      </c>
      <c r="D1619" s="7">
        <v>-1.0366329999999999</v>
      </c>
      <c r="E1619" s="7">
        <v>-1.0432452999999999</v>
      </c>
      <c r="F1619" s="9" t="str">
        <f t="shared" si="8"/>
        <v>Direct</v>
      </c>
      <c r="G1619" s="7" t="s">
        <v>11</v>
      </c>
    </row>
    <row r="1620" spans="1:7" x14ac:dyDescent="0.2">
      <c r="A1620" s="6" t="s">
        <v>8</v>
      </c>
      <c r="B1620" s="7" t="s">
        <v>13</v>
      </c>
      <c r="C1620" s="7" t="s">
        <v>2092</v>
      </c>
      <c r="D1620" s="7">
        <v>3.4580718199999998</v>
      </c>
      <c r="E1620" s="7">
        <v>1.3913896800000001</v>
      </c>
      <c r="F1620" s="9" t="str">
        <f t="shared" si="8"/>
        <v>Direct</v>
      </c>
      <c r="G1620" s="7" t="s">
        <v>2093</v>
      </c>
    </row>
    <row r="1621" spans="1:7" x14ac:dyDescent="0.2">
      <c r="A1621" s="6" t="s">
        <v>8</v>
      </c>
      <c r="B1621" s="7" t="s">
        <v>13</v>
      </c>
      <c r="C1621" s="7" t="s">
        <v>2094</v>
      </c>
      <c r="D1621" s="7">
        <v>1.51666488</v>
      </c>
      <c r="E1621" s="7">
        <v>6.0687033499999998</v>
      </c>
      <c r="F1621" s="9" t="str">
        <f t="shared" si="8"/>
        <v>Direct</v>
      </c>
      <c r="G1621" s="7" t="s">
        <v>2095</v>
      </c>
    </row>
    <row r="1622" spans="1:7" x14ac:dyDescent="0.2">
      <c r="A1622" s="6" t="s">
        <v>8</v>
      </c>
      <c r="B1622" s="7" t="s">
        <v>13</v>
      </c>
      <c r="C1622" s="7" t="s">
        <v>2096</v>
      </c>
      <c r="D1622" s="7">
        <v>1.06440292</v>
      </c>
      <c r="E1622" s="7">
        <v>2.1546600200000001</v>
      </c>
      <c r="F1622" s="9" t="str">
        <f t="shared" si="8"/>
        <v>Direct</v>
      </c>
      <c r="G1622" s="7" t="s">
        <v>11</v>
      </c>
    </row>
    <row r="1623" spans="1:7" x14ac:dyDescent="0.2">
      <c r="A1623" s="6" t="s">
        <v>8</v>
      </c>
      <c r="B1623" s="7" t="s">
        <v>13</v>
      </c>
      <c r="C1623" s="7" t="s">
        <v>2097</v>
      </c>
      <c r="D1623" s="7">
        <v>-1.5821702</v>
      </c>
      <c r="E1623" s="7">
        <v>-3.5784273</v>
      </c>
      <c r="F1623" s="9" t="str">
        <f t="shared" si="8"/>
        <v>Direct</v>
      </c>
      <c r="G1623" s="7" t="s">
        <v>2098</v>
      </c>
    </row>
    <row r="1624" spans="1:7" x14ac:dyDescent="0.2">
      <c r="A1624" s="6" t="s">
        <v>8</v>
      </c>
      <c r="B1624" s="7" t="s">
        <v>13</v>
      </c>
      <c r="C1624" s="7" t="s">
        <v>681</v>
      </c>
      <c r="D1624" s="7">
        <v>-3.7102054</v>
      </c>
      <c r="E1624" s="7">
        <v>-5.6320182000000001</v>
      </c>
      <c r="F1624" s="9" t="str">
        <f t="shared" si="8"/>
        <v>Direct</v>
      </c>
      <c r="G1624" s="7" t="s">
        <v>682</v>
      </c>
    </row>
    <row r="1625" spans="1:7" x14ac:dyDescent="0.2">
      <c r="A1625" s="6" t="s">
        <v>8</v>
      </c>
      <c r="B1625" s="7" t="s">
        <v>13</v>
      </c>
      <c r="C1625" s="7" t="s">
        <v>2099</v>
      </c>
      <c r="D1625" s="7">
        <v>-1.2227243000000001</v>
      </c>
      <c r="E1625" s="7">
        <v>-1.5151235000000001</v>
      </c>
      <c r="F1625" s="9" t="str">
        <f t="shared" si="8"/>
        <v>Direct</v>
      </c>
      <c r="G1625" s="7" t="s">
        <v>11</v>
      </c>
    </row>
    <row r="1626" spans="1:7" x14ac:dyDescent="0.2">
      <c r="A1626" s="6" t="s">
        <v>8</v>
      </c>
      <c r="B1626" s="7" t="s">
        <v>13</v>
      </c>
      <c r="C1626" s="7" t="s">
        <v>2100</v>
      </c>
      <c r="D1626" s="7">
        <v>1.19979192</v>
      </c>
      <c r="E1626" s="7">
        <v>5.8018357199999997</v>
      </c>
      <c r="F1626" s="9" t="str">
        <f t="shared" si="8"/>
        <v>Direct</v>
      </c>
      <c r="G1626" s="7" t="s">
        <v>970</v>
      </c>
    </row>
    <row r="1627" spans="1:7" x14ac:dyDescent="0.2">
      <c r="A1627" s="6" t="s">
        <v>8</v>
      </c>
      <c r="B1627" s="7" t="s">
        <v>13</v>
      </c>
      <c r="C1627" s="7" t="s">
        <v>2101</v>
      </c>
      <c r="D1627" s="7">
        <v>1.0355276099999999</v>
      </c>
      <c r="E1627" s="7">
        <v>1.7587851800000001</v>
      </c>
      <c r="F1627" s="9" t="str">
        <f t="shared" si="8"/>
        <v>Direct</v>
      </c>
      <c r="G1627" s="7" t="s">
        <v>2102</v>
      </c>
    </row>
    <row r="1628" spans="1:7" x14ac:dyDescent="0.2">
      <c r="A1628" s="6" t="s">
        <v>8</v>
      </c>
      <c r="B1628" s="7" t="s">
        <v>13</v>
      </c>
      <c r="C1628" s="7" t="s">
        <v>2103</v>
      </c>
      <c r="D1628" s="7">
        <v>1.0078994999999999</v>
      </c>
      <c r="E1628" s="7">
        <v>3.6121801800000002</v>
      </c>
      <c r="F1628" s="9" t="str">
        <f t="shared" si="8"/>
        <v>Direct</v>
      </c>
      <c r="G1628" s="7" t="s">
        <v>11</v>
      </c>
    </row>
    <row r="1629" spans="1:7" x14ac:dyDescent="0.2">
      <c r="A1629" s="6" t="s">
        <v>8</v>
      </c>
      <c r="B1629" s="7" t="s">
        <v>13</v>
      </c>
      <c r="C1629" s="7" t="s">
        <v>2104</v>
      </c>
      <c r="D1629" s="7">
        <v>-1.9778184000000001</v>
      </c>
      <c r="E1629" s="7">
        <v>-1.2517012999999999</v>
      </c>
      <c r="F1629" s="9" t="str">
        <f t="shared" si="8"/>
        <v>Direct</v>
      </c>
      <c r="G1629" s="7" t="s">
        <v>2105</v>
      </c>
    </row>
    <row r="1630" spans="1:7" x14ac:dyDescent="0.2">
      <c r="A1630" s="6" t="s">
        <v>8</v>
      </c>
      <c r="B1630" s="7" t="s">
        <v>13</v>
      </c>
      <c r="C1630" s="7" t="s">
        <v>2106</v>
      </c>
      <c r="D1630" s="7">
        <v>1.5654871100000001</v>
      </c>
      <c r="E1630" s="7">
        <v>3.7285371199999999</v>
      </c>
      <c r="F1630" s="9" t="str">
        <f t="shared" si="8"/>
        <v>Direct</v>
      </c>
      <c r="G1630" s="7" t="s">
        <v>11</v>
      </c>
    </row>
    <row r="1631" spans="1:7" x14ac:dyDescent="0.2">
      <c r="A1631" s="6" t="s">
        <v>8</v>
      </c>
      <c r="B1631" s="7" t="s">
        <v>13</v>
      </c>
      <c r="C1631" s="7" t="s">
        <v>2107</v>
      </c>
      <c r="D1631" s="7">
        <v>1.82940758</v>
      </c>
      <c r="E1631" s="7">
        <v>5.4752868000000001</v>
      </c>
      <c r="F1631" s="9" t="str">
        <f t="shared" si="8"/>
        <v>Direct</v>
      </c>
      <c r="G1631" s="7" t="s">
        <v>276</v>
      </c>
    </row>
    <row r="1632" spans="1:7" x14ac:dyDescent="0.2">
      <c r="A1632" s="6" t="s">
        <v>8</v>
      </c>
      <c r="B1632" s="7" t="s">
        <v>13</v>
      </c>
      <c r="C1632" s="7" t="s">
        <v>2108</v>
      </c>
      <c r="D1632" s="7">
        <v>3.2080155600000002</v>
      </c>
      <c r="E1632" s="7">
        <v>3.4876894599999999</v>
      </c>
      <c r="F1632" s="9" t="str">
        <f t="shared" si="8"/>
        <v>Direct</v>
      </c>
      <c r="G1632" s="7" t="s">
        <v>11</v>
      </c>
    </row>
    <row r="1633" spans="1:7" x14ac:dyDescent="0.2">
      <c r="A1633" s="6" t="s">
        <v>8</v>
      </c>
      <c r="B1633" s="7" t="s">
        <v>13</v>
      </c>
      <c r="C1633" s="7" t="s">
        <v>685</v>
      </c>
      <c r="D1633" s="7">
        <v>-1.1932659000000001</v>
      </c>
      <c r="E1633" s="7">
        <v>-1.4972302</v>
      </c>
      <c r="F1633" s="9" t="str">
        <f t="shared" si="8"/>
        <v>Direct</v>
      </c>
      <c r="G1633" s="7" t="s">
        <v>11</v>
      </c>
    </row>
    <row r="1634" spans="1:7" x14ac:dyDescent="0.2">
      <c r="A1634" s="6" t="s">
        <v>8</v>
      </c>
      <c r="B1634" s="7" t="s">
        <v>13</v>
      </c>
      <c r="C1634" s="7" t="s">
        <v>2109</v>
      </c>
      <c r="D1634" s="7">
        <v>-1.3257644</v>
      </c>
      <c r="E1634" s="7">
        <v>-5.0137625000000003</v>
      </c>
      <c r="F1634" s="9" t="str">
        <f t="shared" si="8"/>
        <v>Direct</v>
      </c>
      <c r="G1634" s="7" t="s">
        <v>2110</v>
      </c>
    </row>
    <row r="1635" spans="1:7" x14ac:dyDescent="0.2">
      <c r="A1635" s="6" t="s">
        <v>8</v>
      </c>
      <c r="B1635" s="7" t="s">
        <v>13</v>
      </c>
      <c r="C1635" s="7" t="s">
        <v>2111</v>
      </c>
      <c r="D1635" s="7">
        <v>1.90188205</v>
      </c>
      <c r="E1635" s="7">
        <v>5.48488255</v>
      </c>
      <c r="F1635" s="9" t="str">
        <f t="shared" si="8"/>
        <v>Direct</v>
      </c>
      <c r="G1635" s="7" t="s">
        <v>693</v>
      </c>
    </row>
    <row r="1636" spans="1:7" x14ac:dyDescent="0.2">
      <c r="A1636" s="6" t="s">
        <v>8</v>
      </c>
      <c r="B1636" s="7" t="s">
        <v>13</v>
      </c>
      <c r="C1636" s="7" t="s">
        <v>2112</v>
      </c>
      <c r="D1636" s="7">
        <v>1.2962028800000001</v>
      </c>
      <c r="E1636" s="7">
        <v>2.72788422</v>
      </c>
      <c r="F1636" s="9" t="str">
        <f t="shared" si="8"/>
        <v>Direct</v>
      </c>
      <c r="G1636" s="7" t="s">
        <v>693</v>
      </c>
    </row>
    <row r="1637" spans="1:7" x14ac:dyDescent="0.2">
      <c r="A1637" s="6" t="s">
        <v>8</v>
      </c>
      <c r="B1637" s="7" t="s">
        <v>13</v>
      </c>
      <c r="C1637" s="7" t="s">
        <v>2113</v>
      </c>
      <c r="D1637" s="7">
        <v>-2.8230181000000001</v>
      </c>
      <c r="E1637" s="7">
        <v>-2.3024051999999999</v>
      </c>
      <c r="F1637" s="9" t="str">
        <f t="shared" si="8"/>
        <v>Direct</v>
      </c>
      <c r="G1637" s="7" t="s">
        <v>11</v>
      </c>
    </row>
    <row r="1638" spans="1:7" x14ac:dyDescent="0.2">
      <c r="A1638" s="6" t="s">
        <v>8</v>
      </c>
      <c r="B1638" s="7" t="s">
        <v>13</v>
      </c>
      <c r="C1638" s="7" t="s">
        <v>2114</v>
      </c>
      <c r="D1638" s="7">
        <v>-3.1948530000000002</v>
      </c>
      <c r="E1638" s="7">
        <v>-2.9102747999999998</v>
      </c>
      <c r="F1638" s="9" t="str">
        <f t="shared" si="8"/>
        <v>Direct</v>
      </c>
      <c r="G1638" s="7" t="s">
        <v>11</v>
      </c>
    </row>
    <row r="1639" spans="1:7" x14ac:dyDescent="0.2">
      <c r="A1639" s="6" t="s">
        <v>8</v>
      </c>
      <c r="B1639" s="7" t="s">
        <v>13</v>
      </c>
      <c r="C1639" s="7" t="s">
        <v>2115</v>
      </c>
      <c r="D1639" s="7">
        <v>-1.1810632000000001</v>
      </c>
      <c r="E1639" s="7">
        <v>-4.1944486000000003</v>
      </c>
      <c r="F1639" s="9" t="str">
        <f t="shared" si="8"/>
        <v>Direct</v>
      </c>
      <c r="G1639" s="7" t="s">
        <v>2116</v>
      </c>
    </row>
    <row r="1640" spans="1:7" x14ac:dyDescent="0.2">
      <c r="A1640" s="6" t="s">
        <v>8</v>
      </c>
      <c r="B1640" s="7" t="s">
        <v>13</v>
      </c>
      <c r="C1640" s="7" t="s">
        <v>2117</v>
      </c>
      <c r="D1640" s="7">
        <v>-1.3483944999999999</v>
      </c>
      <c r="E1640" s="7">
        <v>-4.0988670999999997</v>
      </c>
      <c r="F1640" s="9" t="str">
        <f t="shared" si="8"/>
        <v>Direct</v>
      </c>
      <c r="G1640" s="7" t="s">
        <v>2116</v>
      </c>
    </row>
    <row r="1641" spans="1:7" x14ac:dyDescent="0.2">
      <c r="A1641" s="6" t="s">
        <v>8</v>
      </c>
      <c r="B1641" s="7" t="s">
        <v>13</v>
      </c>
      <c r="C1641" s="7" t="s">
        <v>2118</v>
      </c>
      <c r="D1641" s="7">
        <v>1.3808327499999999</v>
      </c>
      <c r="E1641" s="7">
        <v>2.2245441399999999</v>
      </c>
      <c r="F1641" s="9" t="str">
        <f t="shared" si="8"/>
        <v>Direct</v>
      </c>
      <c r="G1641" s="7" t="s">
        <v>2116</v>
      </c>
    </row>
    <row r="1642" spans="1:7" x14ac:dyDescent="0.2">
      <c r="A1642" s="6" t="s">
        <v>8</v>
      </c>
      <c r="B1642" s="7" t="s">
        <v>13</v>
      </c>
      <c r="C1642" s="7" t="s">
        <v>2119</v>
      </c>
      <c r="D1642" s="7">
        <v>1.40505396</v>
      </c>
      <c r="E1642" s="7">
        <v>4.5673717299999996</v>
      </c>
      <c r="F1642" s="9" t="str">
        <f t="shared" si="8"/>
        <v>Direct</v>
      </c>
      <c r="G1642" s="7" t="s">
        <v>2120</v>
      </c>
    </row>
    <row r="1643" spans="1:7" x14ac:dyDescent="0.2">
      <c r="A1643" s="6" t="s">
        <v>8</v>
      </c>
      <c r="B1643" s="7" t="s">
        <v>13</v>
      </c>
      <c r="C1643" s="7" t="s">
        <v>686</v>
      </c>
      <c r="D1643" s="7">
        <v>1.0192748899999999</v>
      </c>
      <c r="E1643" s="7">
        <v>1.6244567599999999</v>
      </c>
      <c r="F1643" s="9" t="str">
        <f t="shared" si="8"/>
        <v>Direct</v>
      </c>
      <c r="G1643" s="7" t="s">
        <v>687</v>
      </c>
    </row>
    <row r="1644" spans="1:7" x14ac:dyDescent="0.2">
      <c r="A1644" s="6" t="s">
        <v>8</v>
      </c>
      <c r="B1644" s="7" t="s">
        <v>13</v>
      </c>
      <c r="C1644" s="7" t="s">
        <v>2121</v>
      </c>
      <c r="D1644" s="7">
        <v>2.0589454699999998</v>
      </c>
      <c r="E1644" s="7">
        <v>1.9584797700000001</v>
      </c>
      <c r="F1644" s="9" t="str">
        <f t="shared" si="8"/>
        <v>Direct</v>
      </c>
      <c r="G1644" s="7" t="s">
        <v>687</v>
      </c>
    </row>
    <row r="1645" spans="1:7" x14ac:dyDescent="0.2">
      <c r="A1645" s="6" t="s">
        <v>8</v>
      </c>
      <c r="B1645" s="7" t="s">
        <v>13</v>
      </c>
      <c r="C1645" s="7" t="s">
        <v>2122</v>
      </c>
      <c r="D1645" s="7">
        <v>-2.3731757</v>
      </c>
      <c r="E1645" s="7">
        <v>-2.5610420999999999</v>
      </c>
      <c r="F1645" s="9" t="str">
        <f t="shared" si="8"/>
        <v>Direct</v>
      </c>
      <c r="G1645" s="7" t="s">
        <v>11</v>
      </c>
    </row>
    <row r="1646" spans="1:7" x14ac:dyDescent="0.2">
      <c r="A1646" s="6" t="s">
        <v>8</v>
      </c>
      <c r="B1646" s="7" t="s">
        <v>13</v>
      </c>
      <c r="C1646" s="7" t="s">
        <v>2123</v>
      </c>
      <c r="D1646" s="7">
        <v>-2.2384612000000002</v>
      </c>
      <c r="E1646" s="7">
        <v>-1.7071832</v>
      </c>
      <c r="F1646" s="9" t="str">
        <f t="shared" si="8"/>
        <v>Direct</v>
      </c>
      <c r="G1646" s="7" t="s">
        <v>11</v>
      </c>
    </row>
    <row r="1647" spans="1:7" x14ac:dyDescent="0.2">
      <c r="A1647" s="6" t="s">
        <v>8</v>
      </c>
      <c r="B1647" s="7" t="s">
        <v>13</v>
      </c>
      <c r="C1647" s="7" t="s">
        <v>2124</v>
      </c>
      <c r="D1647" s="7">
        <v>1.0091068599999999</v>
      </c>
      <c r="E1647" s="7">
        <v>2.0715983499999999</v>
      </c>
      <c r="F1647" s="9" t="str">
        <f t="shared" si="8"/>
        <v>Direct</v>
      </c>
      <c r="G1647" s="7" t="s">
        <v>2125</v>
      </c>
    </row>
    <row r="1648" spans="1:7" x14ac:dyDescent="0.2">
      <c r="A1648" s="6" t="s">
        <v>8</v>
      </c>
      <c r="B1648" s="7" t="s">
        <v>13</v>
      </c>
      <c r="C1648" s="7" t="s">
        <v>2126</v>
      </c>
      <c r="D1648" s="7">
        <v>2.2729978200000001</v>
      </c>
      <c r="E1648" s="7">
        <v>7.63564255</v>
      </c>
      <c r="F1648" s="9" t="str">
        <f t="shared" si="8"/>
        <v>Direct</v>
      </c>
      <c r="G1648" s="7" t="s">
        <v>693</v>
      </c>
    </row>
    <row r="1649" spans="1:7" x14ac:dyDescent="0.2">
      <c r="A1649" s="6" t="s">
        <v>8</v>
      </c>
      <c r="B1649" s="7" t="s">
        <v>13</v>
      </c>
      <c r="C1649" s="7" t="s">
        <v>2127</v>
      </c>
      <c r="D1649" s="7">
        <v>2.0437135999999998</v>
      </c>
      <c r="E1649" s="7">
        <v>6.1059869300000003</v>
      </c>
      <c r="F1649" s="9" t="str">
        <f t="shared" si="8"/>
        <v>Direct</v>
      </c>
      <c r="G1649" s="7" t="s">
        <v>693</v>
      </c>
    </row>
    <row r="1650" spans="1:7" x14ac:dyDescent="0.2">
      <c r="A1650" s="6" t="s">
        <v>8</v>
      </c>
      <c r="B1650" s="7" t="s">
        <v>13</v>
      </c>
      <c r="C1650" s="7" t="s">
        <v>2128</v>
      </c>
      <c r="D1650" s="7">
        <v>-1.6951240000000001</v>
      </c>
      <c r="E1650" s="7">
        <v>-6.7584583</v>
      </c>
      <c r="F1650" s="9" t="str">
        <f t="shared" si="8"/>
        <v>Direct</v>
      </c>
      <c r="G1650" s="7" t="s">
        <v>11</v>
      </c>
    </row>
    <row r="1651" spans="1:7" x14ac:dyDescent="0.2">
      <c r="A1651" s="6" t="s">
        <v>8</v>
      </c>
      <c r="B1651" s="7" t="s">
        <v>13</v>
      </c>
      <c r="C1651" s="7" t="s">
        <v>692</v>
      </c>
      <c r="D1651" s="7">
        <v>-1.0064245999999999</v>
      </c>
      <c r="E1651" s="7">
        <v>-1.7212278000000001</v>
      </c>
      <c r="F1651" s="9" t="str">
        <f t="shared" si="8"/>
        <v>Direct</v>
      </c>
      <c r="G1651" s="7" t="s">
        <v>693</v>
      </c>
    </row>
    <row r="1652" spans="1:7" x14ac:dyDescent="0.2">
      <c r="A1652" s="6" t="s">
        <v>8</v>
      </c>
      <c r="B1652" s="7" t="s">
        <v>13</v>
      </c>
      <c r="C1652" s="7" t="s">
        <v>2129</v>
      </c>
      <c r="D1652" s="7">
        <v>2.7963513299999998</v>
      </c>
      <c r="E1652" s="7">
        <v>8.4907366700000004</v>
      </c>
      <c r="F1652" s="9" t="str">
        <f t="shared" si="8"/>
        <v>Direct</v>
      </c>
      <c r="G1652" s="7" t="s">
        <v>11</v>
      </c>
    </row>
    <row r="1653" spans="1:7" x14ac:dyDescent="0.2">
      <c r="A1653" s="6" t="s">
        <v>8</v>
      </c>
      <c r="B1653" s="7" t="s">
        <v>13</v>
      </c>
      <c r="C1653" s="7" t="s">
        <v>2130</v>
      </c>
      <c r="D1653" s="7">
        <v>-1.4704611999999999</v>
      </c>
      <c r="E1653" s="7">
        <v>-1.1651749</v>
      </c>
      <c r="F1653" s="9" t="str">
        <f t="shared" si="8"/>
        <v>Direct</v>
      </c>
      <c r="G1653" s="7" t="s">
        <v>11</v>
      </c>
    </row>
    <row r="1654" spans="1:7" x14ac:dyDescent="0.2">
      <c r="A1654" s="6" t="s">
        <v>8</v>
      </c>
      <c r="B1654" s="7" t="s">
        <v>13</v>
      </c>
      <c r="C1654" s="7" t="s">
        <v>708</v>
      </c>
      <c r="D1654" s="7">
        <v>-4.2655889</v>
      </c>
      <c r="E1654" s="7">
        <v>2.4216443299999999</v>
      </c>
      <c r="F1654" s="9" t="str">
        <f t="shared" si="8"/>
        <v>Inverse</v>
      </c>
      <c r="G1654" s="7" t="s">
        <v>11</v>
      </c>
    </row>
    <row r="1655" spans="1:7" x14ac:dyDescent="0.2">
      <c r="A1655" s="6" t="s">
        <v>8</v>
      </c>
      <c r="B1655" s="7" t="s">
        <v>13</v>
      </c>
      <c r="C1655" s="7" t="s">
        <v>2131</v>
      </c>
      <c r="D1655" s="7">
        <v>1.63843009</v>
      </c>
      <c r="E1655" s="7">
        <v>2.4124654799999998</v>
      </c>
      <c r="F1655" s="9" t="str">
        <f t="shared" si="8"/>
        <v>Direct</v>
      </c>
      <c r="G1655" s="7" t="s">
        <v>2132</v>
      </c>
    </row>
    <row r="1656" spans="1:7" x14ac:dyDescent="0.2">
      <c r="A1656" s="6" t="s">
        <v>8</v>
      </c>
      <c r="B1656" s="7" t="s">
        <v>13</v>
      </c>
      <c r="C1656" s="7" t="s">
        <v>709</v>
      </c>
      <c r="D1656" s="7">
        <v>6.3700699099999998</v>
      </c>
      <c r="E1656" s="7">
        <v>8.0462163499999999</v>
      </c>
      <c r="F1656" s="9" t="str">
        <f t="shared" si="8"/>
        <v>Direct</v>
      </c>
      <c r="G1656" s="7" t="s">
        <v>710</v>
      </c>
    </row>
    <row r="1657" spans="1:7" x14ac:dyDescent="0.2">
      <c r="A1657" s="6" t="s">
        <v>8</v>
      </c>
      <c r="B1657" s="7" t="s">
        <v>13</v>
      </c>
      <c r="C1657" s="7" t="s">
        <v>2133</v>
      </c>
      <c r="D1657" s="7">
        <v>3.4369013499999999</v>
      </c>
      <c r="E1657" s="7">
        <v>3.0667977500000001</v>
      </c>
      <c r="F1657" s="9" t="str">
        <f t="shared" si="8"/>
        <v>Direct</v>
      </c>
      <c r="G1657" s="7" t="s">
        <v>11</v>
      </c>
    </row>
    <row r="1658" spans="1:7" x14ac:dyDescent="0.2">
      <c r="A1658" s="6" t="s">
        <v>8</v>
      </c>
      <c r="B1658" s="7" t="s">
        <v>13</v>
      </c>
      <c r="C1658" s="7" t="s">
        <v>2134</v>
      </c>
      <c r="D1658" s="7">
        <v>-2.0745887000000001</v>
      </c>
      <c r="E1658" s="7">
        <v>-5.1247995</v>
      </c>
      <c r="F1658" s="9" t="str">
        <f t="shared" si="8"/>
        <v>Direct</v>
      </c>
      <c r="G1658" s="7" t="s">
        <v>2135</v>
      </c>
    </row>
    <row r="1659" spans="1:7" x14ac:dyDescent="0.2">
      <c r="A1659" s="6" t="s">
        <v>8</v>
      </c>
      <c r="B1659" s="7" t="s">
        <v>13</v>
      </c>
      <c r="C1659" s="7" t="s">
        <v>2136</v>
      </c>
      <c r="D1659" s="7">
        <v>-1.105075</v>
      </c>
      <c r="E1659" s="7">
        <v>-5.5954180999999998</v>
      </c>
      <c r="F1659" s="9" t="str">
        <f t="shared" si="8"/>
        <v>Direct</v>
      </c>
      <c r="G1659" s="7" t="s">
        <v>2137</v>
      </c>
    </row>
    <row r="1660" spans="1:7" x14ac:dyDescent="0.2">
      <c r="A1660" s="6" t="s">
        <v>8</v>
      </c>
      <c r="B1660" s="7" t="s">
        <v>13</v>
      </c>
      <c r="C1660" s="7" t="s">
        <v>711</v>
      </c>
      <c r="D1660" s="7">
        <v>8.4542620500000005</v>
      </c>
      <c r="E1660" s="7">
        <v>11.710690400000001</v>
      </c>
      <c r="F1660" s="9" t="str">
        <f t="shared" si="8"/>
        <v>Direct</v>
      </c>
      <c r="G1660" s="7" t="s">
        <v>712</v>
      </c>
    </row>
    <row r="1661" spans="1:7" x14ac:dyDescent="0.2">
      <c r="A1661" s="6" t="s">
        <v>8</v>
      </c>
      <c r="B1661" s="7" t="s">
        <v>13</v>
      </c>
      <c r="C1661" s="7" t="s">
        <v>2138</v>
      </c>
      <c r="D1661" s="7">
        <v>2.2978964199999998</v>
      </c>
      <c r="E1661" s="7">
        <v>5.9991198299999997</v>
      </c>
      <c r="F1661" s="9" t="str">
        <f t="shared" si="8"/>
        <v>Direct</v>
      </c>
      <c r="G1661" s="7" t="s">
        <v>2139</v>
      </c>
    </row>
    <row r="1662" spans="1:7" x14ac:dyDescent="0.2">
      <c r="A1662" s="6" t="s">
        <v>8</v>
      </c>
      <c r="B1662" s="7" t="s">
        <v>13</v>
      </c>
      <c r="C1662" s="7" t="s">
        <v>2140</v>
      </c>
      <c r="D1662" s="7">
        <v>1.40471064</v>
      </c>
      <c r="E1662" s="7">
        <v>1.3266900399999999</v>
      </c>
      <c r="F1662" s="9" t="str">
        <f t="shared" si="8"/>
        <v>Direct</v>
      </c>
      <c r="G1662" s="7" t="s">
        <v>2141</v>
      </c>
    </row>
    <row r="1663" spans="1:7" x14ac:dyDescent="0.2">
      <c r="A1663" s="6" t="s">
        <v>8</v>
      </c>
      <c r="B1663" s="7" t="s">
        <v>13</v>
      </c>
      <c r="C1663" s="7" t="s">
        <v>2142</v>
      </c>
      <c r="D1663" s="7">
        <v>-1.901224</v>
      </c>
      <c r="E1663" s="7">
        <v>-1.5964099</v>
      </c>
      <c r="F1663" s="9" t="str">
        <f t="shared" si="8"/>
        <v>Direct</v>
      </c>
      <c r="G1663" s="7" t="s">
        <v>2143</v>
      </c>
    </row>
    <row r="1664" spans="1:7" x14ac:dyDescent="0.2">
      <c r="A1664" s="6" t="s">
        <v>8</v>
      </c>
      <c r="B1664" s="7" t="s">
        <v>13</v>
      </c>
      <c r="C1664" s="7" t="s">
        <v>720</v>
      </c>
      <c r="D1664" s="7">
        <v>1.2469927599999999</v>
      </c>
      <c r="E1664" s="7">
        <v>8.9210490399999998</v>
      </c>
      <c r="F1664" s="9" t="str">
        <f t="shared" si="8"/>
        <v>Direct</v>
      </c>
      <c r="G1664" s="7" t="s">
        <v>11</v>
      </c>
    </row>
    <row r="1665" spans="1:7" x14ac:dyDescent="0.2">
      <c r="A1665" s="6" t="s">
        <v>8</v>
      </c>
      <c r="B1665" s="7" t="s">
        <v>13</v>
      </c>
      <c r="C1665" s="7" t="s">
        <v>2144</v>
      </c>
      <c r="D1665" s="7">
        <v>-1.2902825</v>
      </c>
      <c r="E1665" s="7">
        <v>-4.6722665000000001</v>
      </c>
      <c r="F1665" s="9" t="str">
        <f t="shared" si="8"/>
        <v>Direct</v>
      </c>
      <c r="G1665" s="7" t="s">
        <v>597</v>
      </c>
    </row>
    <row r="1666" spans="1:7" x14ac:dyDescent="0.2">
      <c r="A1666" s="6" t="s">
        <v>8</v>
      </c>
      <c r="B1666" s="7" t="s">
        <v>13</v>
      </c>
      <c r="C1666" s="7" t="s">
        <v>2145</v>
      </c>
      <c r="D1666" s="7">
        <v>-1.4063148000000001</v>
      </c>
      <c r="E1666" s="7">
        <v>-2.2403985</v>
      </c>
      <c r="F1666" s="9" t="str">
        <f t="shared" si="8"/>
        <v>Direct</v>
      </c>
      <c r="G1666" s="7" t="s">
        <v>11</v>
      </c>
    </row>
    <row r="1667" spans="1:7" x14ac:dyDescent="0.2">
      <c r="A1667" s="6" t="s">
        <v>8</v>
      </c>
      <c r="B1667" s="7" t="s">
        <v>13</v>
      </c>
      <c r="C1667" s="7" t="s">
        <v>2146</v>
      </c>
      <c r="D1667" s="7">
        <v>1.23051317</v>
      </c>
      <c r="E1667" s="7">
        <v>1.2487563500000001</v>
      </c>
      <c r="F1667" s="9" t="str">
        <f t="shared" si="8"/>
        <v>Direct</v>
      </c>
      <c r="G1667" s="7" t="s">
        <v>2147</v>
      </c>
    </row>
    <row r="1668" spans="1:7" x14ac:dyDescent="0.2">
      <c r="A1668" s="6" t="s">
        <v>8</v>
      </c>
      <c r="B1668" s="7" t="s">
        <v>13</v>
      </c>
      <c r="C1668" s="7" t="s">
        <v>2148</v>
      </c>
      <c r="D1668" s="7">
        <v>-1.4238173999999999</v>
      </c>
      <c r="E1668" s="7">
        <v>-2.2628989000000002</v>
      </c>
      <c r="F1668" s="9" t="str">
        <f t="shared" si="8"/>
        <v>Direct</v>
      </c>
      <c r="G1668" s="7" t="s">
        <v>11</v>
      </c>
    </row>
    <row r="1669" spans="1:7" x14ac:dyDescent="0.2">
      <c r="A1669" s="6" t="s">
        <v>8</v>
      </c>
      <c r="B1669" s="7" t="s">
        <v>13</v>
      </c>
      <c r="C1669" s="7" t="s">
        <v>2149</v>
      </c>
      <c r="D1669" s="7">
        <v>1.2296136499999999</v>
      </c>
      <c r="E1669" s="7">
        <v>7.6300997300000004</v>
      </c>
      <c r="F1669" s="9" t="str">
        <f t="shared" si="8"/>
        <v>Direct</v>
      </c>
      <c r="G1669" s="7" t="s">
        <v>2150</v>
      </c>
    </row>
    <row r="1670" spans="1:7" x14ac:dyDescent="0.2">
      <c r="A1670" s="6" t="s">
        <v>8</v>
      </c>
      <c r="B1670" s="7" t="s">
        <v>13</v>
      </c>
      <c r="C1670" s="7" t="s">
        <v>2151</v>
      </c>
      <c r="D1670" s="7">
        <v>-1.0499708000000001</v>
      </c>
      <c r="E1670" s="7">
        <v>-4.1473765</v>
      </c>
      <c r="F1670" s="9" t="str">
        <f t="shared" si="8"/>
        <v>Direct</v>
      </c>
      <c r="G1670" s="7" t="s">
        <v>11</v>
      </c>
    </row>
    <row r="1671" spans="1:7" x14ac:dyDescent="0.2">
      <c r="A1671" s="6" t="s">
        <v>8</v>
      </c>
      <c r="B1671" s="7" t="s">
        <v>13</v>
      </c>
      <c r="C1671" s="7" t="s">
        <v>2152</v>
      </c>
      <c r="D1671" s="7">
        <v>-1.5396224000000001</v>
      </c>
      <c r="E1671" s="7">
        <v>-5.2629220999999999</v>
      </c>
      <c r="F1671" s="9" t="str">
        <f t="shared" si="8"/>
        <v>Direct</v>
      </c>
      <c r="G1671" s="7" t="s">
        <v>11</v>
      </c>
    </row>
    <row r="1672" spans="1:7" x14ac:dyDescent="0.2">
      <c r="A1672" s="6" t="s">
        <v>8</v>
      </c>
      <c r="B1672" s="7" t="s">
        <v>13</v>
      </c>
      <c r="C1672" s="7" t="s">
        <v>2153</v>
      </c>
      <c r="D1672" s="7">
        <v>-1.6602231999999999</v>
      </c>
      <c r="E1672" s="7">
        <v>-3.0211663999999998</v>
      </c>
      <c r="F1672" s="9" t="str">
        <f t="shared" si="8"/>
        <v>Direct</v>
      </c>
      <c r="G1672" s="7" t="s">
        <v>11</v>
      </c>
    </row>
    <row r="1673" spans="1:7" x14ac:dyDescent="0.2">
      <c r="A1673" s="6" t="s">
        <v>8</v>
      </c>
      <c r="B1673" s="7" t="s">
        <v>13</v>
      </c>
      <c r="C1673" s="7" t="s">
        <v>726</v>
      </c>
      <c r="D1673" s="7">
        <v>-2.9744215000000001</v>
      </c>
      <c r="E1673" s="7">
        <v>-1.5874855999999999</v>
      </c>
      <c r="F1673" s="9" t="str">
        <f t="shared" si="8"/>
        <v>Direct</v>
      </c>
      <c r="G1673" s="7" t="s">
        <v>11</v>
      </c>
    </row>
    <row r="1674" spans="1:7" x14ac:dyDescent="0.2">
      <c r="A1674" s="6" t="s">
        <v>8</v>
      </c>
      <c r="B1674" s="7" t="s">
        <v>13</v>
      </c>
      <c r="C1674" s="7" t="s">
        <v>2154</v>
      </c>
      <c r="D1674" s="7">
        <v>3.9756650100000002</v>
      </c>
      <c r="E1674" s="7">
        <v>4.4832122999999999</v>
      </c>
      <c r="F1674" s="9" t="str">
        <f t="shared" si="8"/>
        <v>Direct</v>
      </c>
      <c r="G1674" s="7" t="s">
        <v>2155</v>
      </c>
    </row>
    <row r="1675" spans="1:7" x14ac:dyDescent="0.2">
      <c r="A1675" s="6" t="s">
        <v>8</v>
      </c>
      <c r="B1675" s="7" t="s">
        <v>13</v>
      </c>
      <c r="C1675" s="7" t="s">
        <v>727</v>
      </c>
      <c r="D1675" s="7">
        <v>1.3684310799999999</v>
      </c>
      <c r="E1675" s="7">
        <v>1.55439671</v>
      </c>
      <c r="F1675" s="9" t="str">
        <f t="shared" si="8"/>
        <v>Direct</v>
      </c>
      <c r="G1675" s="7" t="s">
        <v>728</v>
      </c>
    </row>
    <row r="1676" spans="1:7" x14ac:dyDescent="0.2">
      <c r="A1676" s="6" t="s">
        <v>8</v>
      </c>
      <c r="B1676" s="7" t="s">
        <v>13</v>
      </c>
      <c r="C1676" s="7" t="s">
        <v>730</v>
      </c>
      <c r="D1676" s="7">
        <v>1.21685328</v>
      </c>
      <c r="E1676" s="7">
        <v>11.4629525</v>
      </c>
      <c r="F1676" s="9" t="str">
        <f t="shared" si="8"/>
        <v>Direct</v>
      </c>
      <c r="G1676" s="7" t="s">
        <v>731</v>
      </c>
    </row>
    <row r="1677" spans="1:7" x14ac:dyDescent="0.2">
      <c r="A1677" s="6" t="s">
        <v>8</v>
      </c>
      <c r="B1677" s="7" t="s">
        <v>13</v>
      </c>
      <c r="C1677" s="7" t="s">
        <v>2156</v>
      </c>
      <c r="D1677" s="7">
        <v>-1.3999033999999999</v>
      </c>
      <c r="E1677" s="7">
        <v>1.9057806100000001</v>
      </c>
      <c r="F1677" s="9" t="str">
        <f t="shared" si="8"/>
        <v>Inverse</v>
      </c>
      <c r="G1677" s="7" t="s">
        <v>2125</v>
      </c>
    </row>
    <row r="1678" spans="1:7" x14ac:dyDescent="0.2">
      <c r="A1678" s="6" t="s">
        <v>8</v>
      </c>
      <c r="B1678" s="7" t="s">
        <v>13</v>
      </c>
      <c r="C1678" s="7" t="s">
        <v>2157</v>
      </c>
      <c r="D1678" s="7">
        <v>-1.4185223</v>
      </c>
      <c r="E1678" s="7">
        <v>-4.0702826999999999</v>
      </c>
      <c r="F1678" s="9" t="str">
        <f t="shared" si="8"/>
        <v>Direct</v>
      </c>
      <c r="G1678" s="7" t="s">
        <v>11</v>
      </c>
    </row>
    <row r="1679" spans="1:7" x14ac:dyDescent="0.2">
      <c r="A1679" s="6" t="s">
        <v>8</v>
      </c>
      <c r="B1679" s="7" t="s">
        <v>13</v>
      </c>
      <c r="C1679" s="7" t="s">
        <v>2158</v>
      </c>
      <c r="D1679" s="7">
        <v>-1.2795563000000001</v>
      </c>
      <c r="E1679" s="7">
        <v>-1.5687584999999999</v>
      </c>
      <c r="F1679" s="9" t="str">
        <f t="shared" si="8"/>
        <v>Direct</v>
      </c>
      <c r="G1679" s="7" t="s">
        <v>11</v>
      </c>
    </row>
    <row r="1680" spans="1:7" x14ac:dyDescent="0.2">
      <c r="A1680" s="6" t="s">
        <v>8</v>
      </c>
      <c r="B1680" s="7" t="s">
        <v>13</v>
      </c>
      <c r="C1680" s="7" t="s">
        <v>2159</v>
      </c>
      <c r="D1680" s="7">
        <v>2.6193894900000001</v>
      </c>
      <c r="E1680" s="7">
        <v>2.7211673699999999</v>
      </c>
      <c r="F1680" s="9" t="str">
        <f t="shared" si="8"/>
        <v>Direct</v>
      </c>
      <c r="G1680" s="7" t="s">
        <v>2160</v>
      </c>
    </row>
    <row r="1681" spans="1:7" x14ac:dyDescent="0.2">
      <c r="A1681" s="6" t="s">
        <v>8</v>
      </c>
      <c r="B1681" s="7" t="s">
        <v>13</v>
      </c>
      <c r="C1681" s="7" t="s">
        <v>2161</v>
      </c>
      <c r="D1681" s="7">
        <v>3.0434843100000002</v>
      </c>
      <c r="E1681" s="7">
        <v>1.51760804</v>
      </c>
      <c r="F1681" s="9" t="str">
        <f t="shared" si="8"/>
        <v>Direct</v>
      </c>
      <c r="G1681" s="7" t="s">
        <v>2162</v>
      </c>
    </row>
    <row r="1682" spans="1:7" x14ac:dyDescent="0.2">
      <c r="A1682" s="6" t="s">
        <v>8</v>
      </c>
      <c r="B1682" s="7" t="s">
        <v>13</v>
      </c>
      <c r="C1682" s="7" t="s">
        <v>2163</v>
      </c>
      <c r="D1682" s="7">
        <v>3.9394337699999999</v>
      </c>
      <c r="E1682" s="7">
        <v>1.03991849</v>
      </c>
      <c r="F1682" s="9" t="str">
        <f t="shared" si="8"/>
        <v>Direct</v>
      </c>
      <c r="G1682" s="7" t="s">
        <v>2164</v>
      </c>
    </row>
    <row r="1683" spans="1:7" x14ac:dyDescent="0.2">
      <c r="A1683" s="6" t="s">
        <v>8</v>
      </c>
      <c r="B1683" s="7" t="s">
        <v>13</v>
      </c>
      <c r="C1683" s="7" t="s">
        <v>732</v>
      </c>
      <c r="D1683" s="7">
        <v>-1.6951240000000001</v>
      </c>
      <c r="E1683" s="7">
        <v>-4.0152707000000003</v>
      </c>
      <c r="F1683" s="9" t="str">
        <f t="shared" si="8"/>
        <v>Direct</v>
      </c>
      <c r="G1683" s="7" t="s">
        <v>733</v>
      </c>
    </row>
    <row r="1684" spans="1:7" x14ac:dyDescent="0.2">
      <c r="A1684" s="6" t="s">
        <v>8</v>
      </c>
      <c r="B1684" s="7" t="s">
        <v>13</v>
      </c>
      <c r="C1684" s="7" t="s">
        <v>2165</v>
      </c>
      <c r="D1684" s="7">
        <v>6.1237504200000004</v>
      </c>
      <c r="E1684" s="7">
        <v>8.01788116</v>
      </c>
      <c r="F1684" s="9" t="str">
        <f t="shared" si="8"/>
        <v>Direct</v>
      </c>
      <c r="G1684" s="7" t="s">
        <v>106</v>
      </c>
    </row>
    <row r="1685" spans="1:7" x14ac:dyDescent="0.2">
      <c r="A1685" s="6" t="s">
        <v>8</v>
      </c>
      <c r="B1685" s="7" t="s">
        <v>13</v>
      </c>
      <c r="C1685" s="7" t="s">
        <v>2166</v>
      </c>
      <c r="D1685" s="7">
        <v>-1.0542925000000001</v>
      </c>
      <c r="E1685" s="7">
        <v>-4.6971566999999999</v>
      </c>
      <c r="F1685" s="9" t="str">
        <f t="shared" si="8"/>
        <v>Direct</v>
      </c>
      <c r="G1685" s="7" t="s">
        <v>2167</v>
      </c>
    </row>
    <row r="1686" spans="1:7" x14ac:dyDescent="0.2">
      <c r="A1686" s="6" t="s">
        <v>8</v>
      </c>
      <c r="B1686" s="7" t="s">
        <v>13</v>
      </c>
      <c r="C1686" s="7" t="s">
        <v>2168</v>
      </c>
      <c r="D1686" s="7">
        <v>-5.2054289000000002</v>
      </c>
      <c r="E1686" s="7">
        <v>-7.7516008999999997</v>
      </c>
      <c r="F1686" s="9" t="str">
        <f t="shared" si="8"/>
        <v>Direct</v>
      </c>
      <c r="G1686" s="7" t="s">
        <v>11</v>
      </c>
    </row>
    <row r="1687" spans="1:7" x14ac:dyDescent="0.2">
      <c r="A1687" s="6" t="s">
        <v>8</v>
      </c>
      <c r="B1687" s="7" t="s">
        <v>13</v>
      </c>
      <c r="C1687" s="7" t="s">
        <v>2169</v>
      </c>
      <c r="D1687" s="7">
        <v>1.5350692800000001</v>
      </c>
      <c r="E1687" s="7">
        <v>4.9535572300000004</v>
      </c>
      <c r="F1687" s="9" t="str">
        <f t="shared" si="8"/>
        <v>Direct</v>
      </c>
      <c r="G1687" s="7" t="s">
        <v>360</v>
      </c>
    </row>
    <row r="1688" spans="1:7" x14ac:dyDescent="0.2">
      <c r="A1688" s="6" t="s">
        <v>8</v>
      </c>
      <c r="B1688" s="7" t="s">
        <v>13</v>
      </c>
      <c r="C1688" s="7" t="s">
        <v>735</v>
      </c>
      <c r="D1688" s="7">
        <v>4.0970490599999998</v>
      </c>
      <c r="E1688" s="7">
        <v>18.954132600000001</v>
      </c>
      <c r="F1688" s="9" t="str">
        <f t="shared" si="8"/>
        <v>Direct</v>
      </c>
      <c r="G1688" s="7" t="s">
        <v>736</v>
      </c>
    </row>
    <row r="1689" spans="1:7" x14ac:dyDescent="0.2">
      <c r="A1689" s="6" t="s">
        <v>8</v>
      </c>
      <c r="B1689" s="7" t="s">
        <v>13</v>
      </c>
      <c r="C1689" s="7" t="s">
        <v>2170</v>
      </c>
      <c r="D1689" s="7">
        <v>-1.2119139000000001</v>
      </c>
      <c r="E1689" s="7">
        <v>-3.0317020000000001</v>
      </c>
      <c r="F1689" s="9" t="str">
        <f t="shared" si="8"/>
        <v>Direct</v>
      </c>
      <c r="G1689" s="7" t="s">
        <v>11</v>
      </c>
    </row>
    <row r="1690" spans="1:7" x14ac:dyDescent="0.2">
      <c r="A1690" s="6" t="s">
        <v>8</v>
      </c>
      <c r="B1690" s="7" t="s">
        <v>13</v>
      </c>
      <c r="C1690" s="7" t="s">
        <v>2171</v>
      </c>
      <c r="D1690" s="7">
        <v>-1.1827152999999999</v>
      </c>
      <c r="E1690" s="7">
        <v>-2.1275731000000002</v>
      </c>
      <c r="F1690" s="9" t="str">
        <f t="shared" si="8"/>
        <v>Direct</v>
      </c>
      <c r="G1690" s="7" t="s">
        <v>11</v>
      </c>
    </row>
    <row r="1691" spans="1:7" x14ac:dyDescent="0.2">
      <c r="A1691" s="6" t="s">
        <v>8</v>
      </c>
      <c r="B1691" s="7" t="s">
        <v>13</v>
      </c>
      <c r="C1691" s="7" t="s">
        <v>2172</v>
      </c>
      <c r="D1691" s="7">
        <v>-2.3152552000000002</v>
      </c>
      <c r="E1691" s="7">
        <v>-2.710172</v>
      </c>
      <c r="F1691" s="9" t="str">
        <f t="shared" si="8"/>
        <v>Direct</v>
      </c>
      <c r="G1691" s="7" t="s">
        <v>11</v>
      </c>
    </row>
    <row r="1692" spans="1:7" x14ac:dyDescent="0.2">
      <c r="A1692" s="6" t="s">
        <v>8</v>
      </c>
      <c r="B1692" s="7" t="s">
        <v>13</v>
      </c>
      <c r="C1692" s="7" t="s">
        <v>2173</v>
      </c>
      <c r="D1692" s="7">
        <v>-2.9020793</v>
      </c>
      <c r="E1692" s="7">
        <v>-3.1254852</v>
      </c>
      <c r="F1692" s="9" t="str">
        <f t="shared" si="8"/>
        <v>Direct</v>
      </c>
      <c r="G1692" s="7" t="s">
        <v>381</v>
      </c>
    </row>
    <row r="1693" spans="1:7" x14ac:dyDescent="0.2">
      <c r="A1693" s="6" t="s">
        <v>8</v>
      </c>
      <c r="B1693" s="7" t="s">
        <v>13</v>
      </c>
      <c r="C1693" s="7" t="s">
        <v>2174</v>
      </c>
      <c r="D1693" s="7">
        <v>1.25719596</v>
      </c>
      <c r="E1693" s="7">
        <v>2.7232125800000002</v>
      </c>
      <c r="F1693" s="9" t="str">
        <f t="shared" si="8"/>
        <v>Direct</v>
      </c>
      <c r="G1693" s="7" t="s">
        <v>35</v>
      </c>
    </row>
    <row r="1694" spans="1:7" x14ac:dyDescent="0.2">
      <c r="A1694" s="6" t="s">
        <v>8</v>
      </c>
      <c r="B1694" s="7" t="s">
        <v>13</v>
      </c>
      <c r="C1694" s="7" t="s">
        <v>2175</v>
      </c>
      <c r="D1694" s="7">
        <v>2.6880253999999999</v>
      </c>
      <c r="E1694" s="7">
        <v>4.6697253700000001</v>
      </c>
      <c r="F1694" s="9" t="str">
        <f t="shared" si="8"/>
        <v>Direct</v>
      </c>
      <c r="G1694" s="7" t="s">
        <v>11</v>
      </c>
    </row>
    <row r="1695" spans="1:7" x14ac:dyDescent="0.2">
      <c r="A1695" s="6" t="s">
        <v>8</v>
      </c>
      <c r="B1695" s="7" t="s">
        <v>13</v>
      </c>
      <c r="C1695" s="7" t="s">
        <v>2176</v>
      </c>
      <c r="D1695" s="7">
        <v>-1.0285702000000001</v>
      </c>
      <c r="E1695" s="7">
        <v>-1.3528931</v>
      </c>
      <c r="F1695" s="9" t="str">
        <f t="shared" si="8"/>
        <v>Direct</v>
      </c>
      <c r="G1695" s="7" t="s">
        <v>2177</v>
      </c>
    </row>
    <row r="1696" spans="1:7" x14ac:dyDescent="0.2">
      <c r="A1696" s="6" t="s">
        <v>8</v>
      </c>
      <c r="B1696" s="7" t="s">
        <v>13</v>
      </c>
      <c r="C1696" s="7" t="s">
        <v>2178</v>
      </c>
      <c r="D1696" s="7">
        <v>1.02528625</v>
      </c>
      <c r="E1696" s="7">
        <v>4.8856117399999999</v>
      </c>
      <c r="F1696" s="9" t="str">
        <f t="shared" si="8"/>
        <v>Direct</v>
      </c>
      <c r="G1696" s="7" t="s">
        <v>11</v>
      </c>
    </row>
    <row r="1697" spans="1:7" x14ac:dyDescent="0.2">
      <c r="A1697" s="6" t="s">
        <v>8</v>
      </c>
      <c r="B1697" s="7" t="s">
        <v>13</v>
      </c>
      <c r="C1697" s="7" t="s">
        <v>2179</v>
      </c>
      <c r="D1697" s="7">
        <v>-1.1416156</v>
      </c>
      <c r="E1697" s="7">
        <v>-1.4584442</v>
      </c>
      <c r="F1697" s="9" t="str">
        <f t="shared" si="8"/>
        <v>Direct</v>
      </c>
      <c r="G1697" s="7" t="s">
        <v>1250</v>
      </c>
    </row>
    <row r="1698" spans="1:7" x14ac:dyDescent="0.2">
      <c r="A1698" s="6" t="s">
        <v>8</v>
      </c>
      <c r="B1698" s="7" t="s">
        <v>13</v>
      </c>
      <c r="C1698" s="7" t="s">
        <v>2180</v>
      </c>
      <c r="D1698" s="7">
        <v>1.07568072</v>
      </c>
      <c r="E1698" s="7">
        <v>5.4111239099999997</v>
      </c>
      <c r="F1698" s="9" t="str">
        <f t="shared" si="8"/>
        <v>Direct</v>
      </c>
      <c r="G1698" s="7" t="s">
        <v>2181</v>
      </c>
    </row>
    <row r="1699" spans="1:7" x14ac:dyDescent="0.2">
      <c r="A1699" s="6" t="s">
        <v>8</v>
      </c>
      <c r="B1699" s="7" t="s">
        <v>13</v>
      </c>
      <c r="C1699" s="7" t="s">
        <v>2182</v>
      </c>
      <c r="D1699" s="7">
        <v>-1.1964494000000001</v>
      </c>
      <c r="E1699" s="7">
        <v>-1.1462429000000001</v>
      </c>
      <c r="F1699" s="9" t="str">
        <f t="shared" si="8"/>
        <v>Direct</v>
      </c>
      <c r="G1699" s="7" t="s">
        <v>2183</v>
      </c>
    </row>
    <row r="1700" spans="1:7" x14ac:dyDescent="0.2">
      <c r="A1700" s="6" t="s">
        <v>8</v>
      </c>
      <c r="B1700" s="7" t="s">
        <v>13</v>
      </c>
      <c r="C1700" s="7" t="s">
        <v>2184</v>
      </c>
      <c r="D1700" s="7">
        <v>-3.1946257999999998</v>
      </c>
      <c r="E1700" s="7">
        <v>-2.4412180999999999</v>
      </c>
      <c r="F1700" s="9" t="str">
        <f t="shared" si="8"/>
        <v>Direct</v>
      </c>
      <c r="G1700" s="7" t="s">
        <v>11</v>
      </c>
    </row>
    <row r="1701" spans="1:7" x14ac:dyDescent="0.2">
      <c r="A1701" s="6" t="s">
        <v>8</v>
      </c>
      <c r="B1701" s="7" t="s">
        <v>13</v>
      </c>
      <c r="C1701" s="7" t="s">
        <v>2185</v>
      </c>
      <c r="D1701" s="7">
        <v>-2.3413270000000002</v>
      </c>
      <c r="E1701" s="7">
        <v>-2.3198173</v>
      </c>
      <c r="F1701" s="9" t="str">
        <f t="shared" si="8"/>
        <v>Direct</v>
      </c>
      <c r="G1701" s="7" t="s">
        <v>1560</v>
      </c>
    </row>
    <row r="1702" spans="1:7" x14ac:dyDescent="0.2">
      <c r="A1702" s="6" t="s">
        <v>8</v>
      </c>
      <c r="B1702" s="7" t="s">
        <v>13</v>
      </c>
      <c r="C1702" s="7" t="s">
        <v>2186</v>
      </c>
      <c r="D1702" s="7">
        <v>1.55954441</v>
      </c>
      <c r="E1702" s="7">
        <v>4.6884575599999998</v>
      </c>
      <c r="F1702" s="9" t="str">
        <f t="shared" si="8"/>
        <v>Direct</v>
      </c>
      <c r="G1702" s="7" t="s">
        <v>2187</v>
      </c>
    </row>
    <row r="1703" spans="1:7" x14ac:dyDescent="0.2">
      <c r="A1703" s="6" t="s">
        <v>8</v>
      </c>
      <c r="B1703" s="7" t="s">
        <v>13</v>
      </c>
      <c r="C1703" s="7" t="s">
        <v>746</v>
      </c>
      <c r="D1703" s="7">
        <v>-1.0713035</v>
      </c>
      <c r="E1703" s="7">
        <v>-2.9485871000000001</v>
      </c>
      <c r="F1703" s="9" t="str">
        <f t="shared" si="8"/>
        <v>Direct</v>
      </c>
      <c r="G1703" s="7" t="s">
        <v>11</v>
      </c>
    </row>
    <row r="1704" spans="1:7" x14ac:dyDescent="0.2">
      <c r="A1704" s="6" t="s">
        <v>8</v>
      </c>
      <c r="B1704" s="7" t="s">
        <v>13</v>
      </c>
      <c r="C1704" s="7" t="s">
        <v>2188</v>
      </c>
      <c r="D1704" s="7">
        <v>1.54129095</v>
      </c>
      <c r="E1704" s="7">
        <v>5.9699199800000002</v>
      </c>
      <c r="F1704" s="9" t="str">
        <f t="shared" si="8"/>
        <v>Direct</v>
      </c>
      <c r="G1704" s="7" t="s">
        <v>11</v>
      </c>
    </row>
    <row r="1705" spans="1:7" x14ac:dyDescent="0.2">
      <c r="A1705" s="6" t="s">
        <v>8</v>
      </c>
      <c r="B1705" s="7" t="s">
        <v>13</v>
      </c>
      <c r="C1705" s="7" t="s">
        <v>2189</v>
      </c>
      <c r="D1705" s="7">
        <v>-1.6301076999999999</v>
      </c>
      <c r="E1705" s="7">
        <v>-4.7211536000000001</v>
      </c>
      <c r="F1705" s="9" t="str">
        <f t="shared" si="8"/>
        <v>Direct</v>
      </c>
      <c r="G1705" s="7" t="s">
        <v>11</v>
      </c>
    </row>
    <row r="1706" spans="1:7" x14ac:dyDescent="0.2">
      <c r="A1706" s="6" t="s">
        <v>8</v>
      </c>
      <c r="B1706" s="7" t="s">
        <v>13</v>
      </c>
      <c r="C1706" s="7" t="s">
        <v>2190</v>
      </c>
      <c r="D1706" s="7">
        <v>1.52826605</v>
      </c>
      <c r="E1706" s="7">
        <v>1.03673101</v>
      </c>
      <c r="F1706" s="9" t="str">
        <f t="shared" si="8"/>
        <v>Direct</v>
      </c>
      <c r="G1706" s="7" t="s">
        <v>2147</v>
      </c>
    </row>
    <row r="1707" spans="1:7" x14ac:dyDescent="0.2">
      <c r="A1707" s="6" t="s">
        <v>8</v>
      </c>
      <c r="B1707" s="7" t="s">
        <v>13</v>
      </c>
      <c r="C1707" s="7" t="s">
        <v>2191</v>
      </c>
      <c r="D1707" s="7">
        <v>3.4627206899999998</v>
      </c>
      <c r="E1707" s="7">
        <v>4.7297962199999999</v>
      </c>
      <c r="F1707" s="9" t="str">
        <f t="shared" si="8"/>
        <v>Direct</v>
      </c>
      <c r="G1707" s="7" t="s">
        <v>182</v>
      </c>
    </row>
    <row r="1708" spans="1:7" x14ac:dyDescent="0.2">
      <c r="A1708" s="6" t="s">
        <v>8</v>
      </c>
      <c r="B1708" s="7" t="s">
        <v>13</v>
      </c>
      <c r="C1708" s="7" t="s">
        <v>2192</v>
      </c>
      <c r="D1708" s="7">
        <v>3.7973486900000002</v>
      </c>
      <c r="E1708" s="7">
        <v>1.9462001</v>
      </c>
      <c r="F1708" s="9" t="str">
        <f t="shared" si="8"/>
        <v>Direct</v>
      </c>
      <c r="G1708" s="7" t="s">
        <v>11</v>
      </c>
    </row>
    <row r="1709" spans="1:7" x14ac:dyDescent="0.2">
      <c r="A1709" s="6" t="s">
        <v>8</v>
      </c>
      <c r="B1709" s="7" t="s">
        <v>13</v>
      </c>
      <c r="C1709" s="7" t="s">
        <v>2193</v>
      </c>
      <c r="D1709" s="7">
        <v>1.5127782700000001</v>
      </c>
      <c r="E1709" s="7">
        <v>2.3093778</v>
      </c>
      <c r="F1709" s="9" t="str">
        <f t="shared" si="8"/>
        <v>Direct</v>
      </c>
      <c r="G1709" s="7" t="s">
        <v>2194</v>
      </c>
    </row>
    <row r="1710" spans="1:7" x14ac:dyDescent="0.2">
      <c r="A1710" s="6" t="s">
        <v>8</v>
      </c>
      <c r="B1710" s="7" t="s">
        <v>13</v>
      </c>
      <c r="C1710" s="7" t="s">
        <v>749</v>
      </c>
      <c r="D1710" s="7">
        <v>-1.1923119</v>
      </c>
      <c r="E1710" s="7">
        <v>-6.8209299000000003</v>
      </c>
      <c r="F1710" s="9" t="str">
        <f t="shared" si="8"/>
        <v>Direct</v>
      </c>
      <c r="G1710" s="7" t="s">
        <v>11</v>
      </c>
    </row>
    <row r="1711" spans="1:7" x14ac:dyDescent="0.2">
      <c r="A1711" s="6" t="s">
        <v>8</v>
      </c>
      <c r="B1711" s="7" t="s">
        <v>13</v>
      </c>
      <c r="C1711" s="7" t="s">
        <v>750</v>
      </c>
      <c r="D1711" s="7">
        <v>1.6731186600000001</v>
      </c>
      <c r="E1711" s="7">
        <v>8.44614011</v>
      </c>
      <c r="F1711" s="9" t="str">
        <f t="shared" si="8"/>
        <v>Direct</v>
      </c>
      <c r="G1711" s="7" t="s">
        <v>751</v>
      </c>
    </row>
    <row r="1712" spans="1:7" x14ac:dyDescent="0.2">
      <c r="A1712" s="6" t="s">
        <v>8</v>
      </c>
      <c r="B1712" s="7" t="s">
        <v>13</v>
      </c>
      <c r="C1712" s="7" t="s">
        <v>753</v>
      </c>
      <c r="D1712" s="7">
        <v>1.6456259600000001</v>
      </c>
      <c r="E1712" s="7">
        <v>8.8786916999999992</v>
      </c>
      <c r="F1712" s="9" t="str">
        <f t="shared" si="8"/>
        <v>Direct</v>
      </c>
      <c r="G1712" s="7" t="s">
        <v>11</v>
      </c>
    </row>
    <row r="1713" spans="1:7" x14ac:dyDescent="0.2">
      <c r="A1713" s="6" t="s">
        <v>8</v>
      </c>
      <c r="B1713" s="7" t="s">
        <v>13</v>
      </c>
      <c r="C1713" s="7" t="s">
        <v>2195</v>
      </c>
      <c r="D1713" s="7">
        <v>1.0211220000000001</v>
      </c>
      <c r="E1713" s="7">
        <v>1.8584584500000001</v>
      </c>
      <c r="F1713" s="9" t="str">
        <f t="shared" si="8"/>
        <v>Direct</v>
      </c>
      <c r="G1713" s="7" t="s">
        <v>2196</v>
      </c>
    </row>
    <row r="1714" spans="1:7" x14ac:dyDescent="0.2">
      <c r="A1714" s="6" t="s">
        <v>8</v>
      </c>
      <c r="B1714" s="7" t="s">
        <v>13</v>
      </c>
      <c r="C1714" s="7" t="s">
        <v>2197</v>
      </c>
      <c r="D1714" s="7">
        <v>1.8601631599999999</v>
      </c>
      <c r="E1714" s="7">
        <v>2.4495556700000001</v>
      </c>
      <c r="F1714" s="9" t="str">
        <f t="shared" si="8"/>
        <v>Direct</v>
      </c>
      <c r="G1714" s="7" t="s">
        <v>2198</v>
      </c>
    </row>
    <row r="1715" spans="1:7" x14ac:dyDescent="0.2">
      <c r="A1715" s="6" t="s">
        <v>8</v>
      </c>
      <c r="B1715" s="7" t="s">
        <v>13</v>
      </c>
      <c r="C1715" s="7" t="s">
        <v>754</v>
      </c>
      <c r="D1715" s="7">
        <v>-2.7155124000000002</v>
      </c>
      <c r="E1715" s="7">
        <v>-5.5219180999999997</v>
      </c>
      <c r="F1715" s="9" t="str">
        <f t="shared" si="8"/>
        <v>Direct</v>
      </c>
      <c r="G1715" s="7" t="s">
        <v>755</v>
      </c>
    </row>
    <row r="1716" spans="1:7" x14ac:dyDescent="0.2">
      <c r="A1716" s="6" t="s">
        <v>8</v>
      </c>
      <c r="B1716" s="7" t="s">
        <v>13</v>
      </c>
      <c r="C1716" s="7" t="s">
        <v>758</v>
      </c>
      <c r="D1716" s="7">
        <v>-1.5358845000000001</v>
      </c>
      <c r="E1716" s="7">
        <v>-1.9786946999999999</v>
      </c>
      <c r="F1716" s="9" t="str">
        <f t="shared" si="8"/>
        <v>Direct</v>
      </c>
      <c r="G1716" s="7" t="s">
        <v>759</v>
      </c>
    </row>
    <row r="1717" spans="1:7" x14ac:dyDescent="0.2">
      <c r="A1717" s="6" t="s">
        <v>8</v>
      </c>
      <c r="B1717" s="7" t="s">
        <v>13</v>
      </c>
      <c r="C1717" s="7" t="s">
        <v>2199</v>
      </c>
      <c r="D1717" s="7">
        <v>-1.1974558</v>
      </c>
      <c r="E1717" s="7">
        <v>-4.0951035999999998</v>
      </c>
      <c r="F1717" s="9" t="str">
        <f t="shared" si="8"/>
        <v>Direct</v>
      </c>
      <c r="G1717" s="7" t="s">
        <v>2200</v>
      </c>
    </row>
    <row r="1718" spans="1:7" x14ac:dyDescent="0.2">
      <c r="A1718" s="6" t="s">
        <v>8</v>
      </c>
      <c r="B1718" s="7" t="s">
        <v>13</v>
      </c>
      <c r="C1718" s="7" t="s">
        <v>2201</v>
      </c>
      <c r="D1718" s="7">
        <v>-2.7428226000000002</v>
      </c>
      <c r="E1718" s="7">
        <v>-1.1530883000000001</v>
      </c>
      <c r="F1718" s="9" t="str">
        <f t="shared" si="8"/>
        <v>Direct</v>
      </c>
      <c r="G1718" s="7" t="s">
        <v>11</v>
      </c>
    </row>
    <row r="1719" spans="1:7" x14ac:dyDescent="0.2">
      <c r="A1719" s="6" t="s">
        <v>8</v>
      </c>
      <c r="B1719" s="7" t="s">
        <v>13</v>
      </c>
      <c r="C1719" s="7" t="s">
        <v>2202</v>
      </c>
      <c r="D1719" s="7">
        <v>-1.7151422999999999</v>
      </c>
      <c r="E1719" s="7">
        <v>-2.9698696999999998</v>
      </c>
      <c r="F1719" s="9" t="str">
        <f t="shared" si="8"/>
        <v>Direct</v>
      </c>
      <c r="G1719" s="7" t="s">
        <v>11</v>
      </c>
    </row>
    <row r="1720" spans="1:7" x14ac:dyDescent="0.2">
      <c r="A1720" s="6" t="s">
        <v>8</v>
      </c>
      <c r="B1720" s="7" t="s">
        <v>13</v>
      </c>
      <c r="C1720" s="7" t="s">
        <v>2203</v>
      </c>
      <c r="D1720" s="7">
        <v>1.8832513200000001</v>
      </c>
      <c r="E1720" s="7">
        <v>1.3604093799999999</v>
      </c>
      <c r="F1720" s="9" t="str">
        <f t="shared" si="8"/>
        <v>Direct</v>
      </c>
      <c r="G1720" s="7" t="s">
        <v>2204</v>
      </c>
    </row>
    <row r="1721" spans="1:7" x14ac:dyDescent="0.2">
      <c r="A1721" s="6" t="s">
        <v>8</v>
      </c>
      <c r="B1721" s="7" t="s">
        <v>13</v>
      </c>
      <c r="C1721" s="7" t="s">
        <v>2205</v>
      </c>
      <c r="D1721" s="7">
        <v>3.4970467599999999</v>
      </c>
      <c r="E1721" s="7">
        <v>1.9897619600000001</v>
      </c>
      <c r="F1721" s="9" t="str">
        <f t="shared" si="8"/>
        <v>Direct</v>
      </c>
      <c r="G1721" s="7" t="s">
        <v>11</v>
      </c>
    </row>
    <row r="1722" spans="1:7" x14ac:dyDescent="0.2">
      <c r="A1722" s="6" t="s">
        <v>8</v>
      </c>
      <c r="B1722" s="7" t="s">
        <v>13</v>
      </c>
      <c r="C1722" s="7" t="s">
        <v>2206</v>
      </c>
      <c r="D1722" s="7">
        <v>2.7452800399999999</v>
      </c>
      <c r="E1722" s="7">
        <v>3.1801864800000001</v>
      </c>
      <c r="F1722" s="9" t="str">
        <f t="shared" si="8"/>
        <v>Direct</v>
      </c>
      <c r="G1722" s="7" t="s">
        <v>125</v>
      </c>
    </row>
    <row r="1723" spans="1:7" x14ac:dyDescent="0.2">
      <c r="A1723" s="6" t="s">
        <v>8</v>
      </c>
      <c r="B1723" s="7" t="s">
        <v>13</v>
      </c>
      <c r="C1723" s="7" t="s">
        <v>762</v>
      </c>
      <c r="D1723" s="7">
        <v>2.4162879099999999</v>
      </c>
      <c r="E1723" s="7">
        <v>3.0455877199999999</v>
      </c>
      <c r="F1723" s="9" t="str">
        <f t="shared" si="8"/>
        <v>Direct</v>
      </c>
      <c r="G1723" s="7" t="s">
        <v>11</v>
      </c>
    </row>
    <row r="1724" spans="1:7" x14ac:dyDescent="0.2">
      <c r="A1724" s="6" t="s">
        <v>8</v>
      </c>
      <c r="B1724" s="7" t="s">
        <v>13</v>
      </c>
      <c r="C1724" s="7" t="s">
        <v>2207</v>
      </c>
      <c r="D1724" s="7">
        <v>1.03663303</v>
      </c>
      <c r="E1724" s="7">
        <v>1.6830684499999999</v>
      </c>
      <c r="F1724" s="9" t="str">
        <f t="shared" si="8"/>
        <v>Direct</v>
      </c>
      <c r="G1724" s="7" t="s">
        <v>11</v>
      </c>
    </row>
    <row r="1725" spans="1:7" x14ac:dyDescent="0.2">
      <c r="A1725" s="6" t="s">
        <v>8</v>
      </c>
      <c r="B1725" s="7" t="s">
        <v>13</v>
      </c>
      <c r="C1725" s="7" t="s">
        <v>763</v>
      </c>
      <c r="D1725" s="7">
        <v>3.1917749799999999</v>
      </c>
      <c r="E1725" s="7">
        <v>4.9646279699999996</v>
      </c>
      <c r="F1725" s="9" t="str">
        <f t="shared" si="8"/>
        <v>Direct</v>
      </c>
      <c r="G1725" s="7" t="s">
        <v>11</v>
      </c>
    </row>
    <row r="1726" spans="1:7" x14ac:dyDescent="0.2">
      <c r="A1726" s="6" t="s">
        <v>8</v>
      </c>
      <c r="B1726" s="7" t="s">
        <v>13</v>
      </c>
      <c r="C1726" s="7" t="s">
        <v>766</v>
      </c>
      <c r="D1726" s="7">
        <v>-1.6214131000000001</v>
      </c>
      <c r="E1726" s="7">
        <v>-4.1445359000000002</v>
      </c>
      <c r="F1726" s="9" t="str">
        <f t="shared" si="8"/>
        <v>Direct</v>
      </c>
      <c r="G1726" s="7" t="s">
        <v>11</v>
      </c>
    </row>
    <row r="1727" spans="1:7" x14ac:dyDescent="0.2">
      <c r="A1727" s="6" t="s">
        <v>8</v>
      </c>
      <c r="B1727" s="7" t="s">
        <v>13</v>
      </c>
      <c r="C1727" s="7" t="s">
        <v>769</v>
      </c>
      <c r="D1727" s="7">
        <v>-2.9255057</v>
      </c>
      <c r="E1727" s="7">
        <v>-5.3481332999999998</v>
      </c>
      <c r="F1727" s="9" t="str">
        <f t="shared" si="8"/>
        <v>Direct</v>
      </c>
      <c r="G1727" s="7" t="s">
        <v>11</v>
      </c>
    </row>
    <row r="1728" spans="1:7" x14ac:dyDescent="0.2">
      <c r="A1728" s="6" t="s">
        <v>8</v>
      </c>
      <c r="B1728" s="7" t="s">
        <v>13</v>
      </c>
      <c r="C1728" s="7" t="s">
        <v>2208</v>
      </c>
      <c r="D1728" s="7">
        <v>1.1914062999999999</v>
      </c>
      <c r="E1728" s="7">
        <v>3.81306703</v>
      </c>
      <c r="F1728" s="9" t="str">
        <f t="shared" si="8"/>
        <v>Direct</v>
      </c>
      <c r="G1728" s="7" t="s">
        <v>1406</v>
      </c>
    </row>
    <row r="1729" spans="1:7" x14ac:dyDescent="0.2">
      <c r="A1729" s="6" t="s">
        <v>8</v>
      </c>
      <c r="B1729" s="7" t="s">
        <v>13</v>
      </c>
      <c r="C1729" s="7" t="s">
        <v>2209</v>
      </c>
      <c r="D1729" s="7">
        <v>-2.9470174999999998</v>
      </c>
      <c r="E1729" s="7">
        <v>-2.7458184000000001</v>
      </c>
      <c r="F1729" s="9" t="str">
        <f t="shared" si="8"/>
        <v>Direct</v>
      </c>
      <c r="G1729" s="7" t="s">
        <v>11</v>
      </c>
    </row>
    <row r="1730" spans="1:7" x14ac:dyDescent="0.2">
      <c r="A1730" s="6" t="s">
        <v>8</v>
      </c>
      <c r="B1730" s="7" t="s">
        <v>13</v>
      </c>
      <c r="C1730" s="7" t="s">
        <v>2210</v>
      </c>
      <c r="D1730" s="7">
        <v>5.7189461899999996</v>
      </c>
      <c r="E1730" s="7">
        <v>10.2486944</v>
      </c>
      <c r="F1730" s="9" t="str">
        <f t="shared" si="8"/>
        <v>Direct</v>
      </c>
      <c r="G1730" s="7" t="s">
        <v>11</v>
      </c>
    </row>
    <row r="1731" spans="1:7" x14ac:dyDescent="0.2">
      <c r="A1731" s="6" t="s">
        <v>8</v>
      </c>
      <c r="B1731" s="7" t="s">
        <v>13</v>
      </c>
      <c r="C1731" s="7" t="s">
        <v>2211</v>
      </c>
      <c r="D1731" s="7">
        <v>5.3959248799999999</v>
      </c>
      <c r="E1731" s="7">
        <v>7.8002800299999997</v>
      </c>
      <c r="F1731" s="9" t="str">
        <f t="shared" si="8"/>
        <v>Direct</v>
      </c>
      <c r="G1731" s="7" t="s">
        <v>2212</v>
      </c>
    </row>
    <row r="1732" spans="1:7" x14ac:dyDescent="0.2">
      <c r="A1732" s="6" t="s">
        <v>8</v>
      </c>
      <c r="B1732" s="7" t="s">
        <v>13</v>
      </c>
      <c r="C1732" s="7" t="s">
        <v>2213</v>
      </c>
      <c r="D1732" s="7">
        <v>1.04153801</v>
      </c>
      <c r="E1732" s="7">
        <v>1.5972601</v>
      </c>
      <c r="F1732" s="9" t="str">
        <f t="shared" si="8"/>
        <v>Direct</v>
      </c>
      <c r="G1732" s="7" t="s">
        <v>11</v>
      </c>
    </row>
    <row r="1733" spans="1:7" x14ac:dyDescent="0.2">
      <c r="A1733" s="6" t="s">
        <v>8</v>
      </c>
      <c r="B1733" s="7" t="s">
        <v>13</v>
      </c>
      <c r="C1733" s="7" t="s">
        <v>2214</v>
      </c>
      <c r="D1733" s="7">
        <v>-1.5396224000000001</v>
      </c>
      <c r="E1733" s="7">
        <v>-2.5928816000000001</v>
      </c>
      <c r="F1733" s="9" t="str">
        <f t="shared" si="8"/>
        <v>Direct</v>
      </c>
      <c r="G1733" s="7" t="s">
        <v>2215</v>
      </c>
    </row>
    <row r="1734" spans="1:7" x14ac:dyDescent="0.2">
      <c r="A1734" s="6" t="s">
        <v>8</v>
      </c>
      <c r="B1734" s="7" t="s">
        <v>13</v>
      </c>
      <c r="C1734" s="7" t="s">
        <v>773</v>
      </c>
      <c r="D1734" s="7">
        <v>1.2129791000000001</v>
      </c>
      <c r="E1734" s="7">
        <v>2.6381219800000002</v>
      </c>
      <c r="F1734" s="9" t="str">
        <f t="shared" si="8"/>
        <v>Direct</v>
      </c>
      <c r="G1734" s="7" t="s">
        <v>774</v>
      </c>
    </row>
    <row r="1735" spans="1:7" x14ac:dyDescent="0.2">
      <c r="A1735" s="6" t="s">
        <v>8</v>
      </c>
      <c r="B1735" s="7" t="s">
        <v>13</v>
      </c>
      <c r="C1735" s="7" t="s">
        <v>2216</v>
      </c>
      <c r="D1735" s="7">
        <v>1.3929564000000001</v>
      </c>
      <c r="E1735" s="7">
        <v>5.2177249200000002</v>
      </c>
      <c r="F1735" s="9" t="str">
        <f t="shared" si="8"/>
        <v>Direct</v>
      </c>
      <c r="G1735" s="7" t="s">
        <v>11</v>
      </c>
    </row>
    <row r="1736" spans="1:7" x14ac:dyDescent="0.2">
      <c r="A1736" s="6" t="s">
        <v>8</v>
      </c>
      <c r="B1736" s="7" t="s">
        <v>13</v>
      </c>
      <c r="C1736" s="7" t="s">
        <v>2217</v>
      </c>
      <c r="D1736" s="7">
        <v>1.5588532100000001</v>
      </c>
      <c r="E1736" s="7">
        <v>2.3584068500000002</v>
      </c>
      <c r="F1736" s="9" t="str">
        <f t="shared" si="8"/>
        <v>Direct</v>
      </c>
      <c r="G1736" s="7" t="s">
        <v>11</v>
      </c>
    </row>
    <row r="1737" spans="1:7" x14ac:dyDescent="0.2">
      <c r="A1737" s="6" t="s">
        <v>8</v>
      </c>
      <c r="B1737" s="7" t="s">
        <v>13</v>
      </c>
      <c r="C1737" s="7" t="s">
        <v>2218</v>
      </c>
      <c r="D1737" s="7">
        <v>-6.8890585</v>
      </c>
      <c r="E1737" s="7">
        <v>-2.0745501000000002</v>
      </c>
      <c r="F1737" s="9" t="str">
        <f t="shared" si="8"/>
        <v>Direct</v>
      </c>
      <c r="G1737" s="7" t="s">
        <v>11</v>
      </c>
    </row>
    <row r="1738" spans="1:7" x14ac:dyDescent="0.2">
      <c r="A1738" s="6" t="s">
        <v>8</v>
      </c>
      <c r="B1738" s="7" t="s">
        <v>13</v>
      </c>
      <c r="C1738" s="7" t="s">
        <v>2219</v>
      </c>
      <c r="D1738" s="7">
        <v>1.67150281</v>
      </c>
      <c r="E1738" s="7">
        <v>-1.6225206999999999</v>
      </c>
      <c r="F1738" s="9" t="str">
        <f t="shared" si="8"/>
        <v>Inverse</v>
      </c>
      <c r="G1738" s="7" t="s">
        <v>11</v>
      </c>
    </row>
    <row r="1739" spans="1:7" x14ac:dyDescent="0.2">
      <c r="A1739" s="6" t="s">
        <v>8</v>
      </c>
      <c r="B1739" s="7" t="s">
        <v>13</v>
      </c>
      <c r="C1739" s="7" t="s">
        <v>775</v>
      </c>
      <c r="D1739" s="7">
        <v>-5.2748882000000004</v>
      </c>
      <c r="E1739" s="7">
        <v>-2.6014783000000001</v>
      </c>
      <c r="F1739" s="9" t="str">
        <f t="shared" si="8"/>
        <v>Direct</v>
      </c>
      <c r="G1739" s="7" t="s">
        <v>776</v>
      </c>
    </row>
    <row r="1740" spans="1:7" x14ac:dyDescent="0.2">
      <c r="A1740" s="6" t="s">
        <v>8</v>
      </c>
      <c r="B1740" s="7" t="s">
        <v>13</v>
      </c>
      <c r="C1740" s="7" t="s">
        <v>778</v>
      </c>
      <c r="D1740" s="7">
        <v>-1.3074819</v>
      </c>
      <c r="E1740" s="7">
        <v>-3.9003106999999999</v>
      </c>
      <c r="F1740" s="9" t="str">
        <f t="shared" si="8"/>
        <v>Direct</v>
      </c>
      <c r="G1740" s="7" t="s">
        <v>11</v>
      </c>
    </row>
    <row r="1741" spans="1:7" x14ac:dyDescent="0.2">
      <c r="A1741" s="6" t="s">
        <v>8</v>
      </c>
      <c r="B1741" s="7" t="s">
        <v>13</v>
      </c>
      <c r="C1741" s="7" t="s">
        <v>2220</v>
      </c>
      <c r="D1741" s="7">
        <v>-1.5282659999999999</v>
      </c>
      <c r="E1741" s="7">
        <v>-3.9003106999999999</v>
      </c>
      <c r="F1741" s="9" t="str">
        <f t="shared" si="8"/>
        <v>Direct</v>
      </c>
      <c r="G1741" s="7" t="s">
        <v>2221</v>
      </c>
    </row>
    <row r="1742" spans="1:7" x14ac:dyDescent="0.2">
      <c r="A1742" s="6" t="s">
        <v>8</v>
      </c>
      <c r="B1742" s="7" t="s">
        <v>13</v>
      </c>
      <c r="C1742" s="7" t="s">
        <v>779</v>
      </c>
      <c r="D1742" s="7">
        <v>6.6494924500000003</v>
      </c>
      <c r="E1742" s="7">
        <v>7.9194252699999996</v>
      </c>
      <c r="F1742" s="9" t="str">
        <f t="shared" si="8"/>
        <v>Direct</v>
      </c>
      <c r="G1742" s="7" t="s">
        <v>780</v>
      </c>
    </row>
    <row r="1743" spans="1:7" x14ac:dyDescent="0.2">
      <c r="A1743" s="6" t="s">
        <v>8</v>
      </c>
      <c r="B1743" s="7" t="s">
        <v>13</v>
      </c>
      <c r="C1743" s="7" t="s">
        <v>782</v>
      </c>
      <c r="D1743" s="7">
        <v>-1.2449485</v>
      </c>
      <c r="E1743" s="7">
        <v>-2.0162026000000002</v>
      </c>
      <c r="F1743" s="9" t="str">
        <f t="shared" si="8"/>
        <v>Direct</v>
      </c>
      <c r="G1743" s="7" t="s">
        <v>783</v>
      </c>
    </row>
    <row r="1744" spans="1:7" x14ac:dyDescent="0.2">
      <c r="A1744" s="6" t="s">
        <v>8</v>
      </c>
      <c r="B1744" s="7" t="s">
        <v>13</v>
      </c>
      <c r="C1744" s="7" t="s">
        <v>2222</v>
      </c>
      <c r="D1744" s="7">
        <v>2.6480153</v>
      </c>
      <c r="E1744" s="7">
        <v>2.0555998899999999</v>
      </c>
      <c r="F1744" s="9" t="str">
        <f t="shared" si="8"/>
        <v>Direct</v>
      </c>
      <c r="G1744" s="7" t="s">
        <v>314</v>
      </c>
    </row>
    <row r="1745" spans="1:7" x14ac:dyDescent="0.2">
      <c r="A1745" s="6" t="s">
        <v>8</v>
      </c>
      <c r="B1745" s="7" t="s">
        <v>13</v>
      </c>
      <c r="C1745" s="7" t="s">
        <v>2223</v>
      </c>
      <c r="D1745" s="7">
        <v>1.2651617799999999</v>
      </c>
      <c r="E1745" s="7">
        <v>4.1582286599999998</v>
      </c>
      <c r="F1745" s="9" t="str">
        <f t="shared" si="8"/>
        <v>Direct</v>
      </c>
      <c r="G1745" s="7" t="s">
        <v>245</v>
      </c>
    </row>
    <row r="1746" spans="1:7" x14ac:dyDescent="0.2">
      <c r="A1746" s="6" t="s">
        <v>8</v>
      </c>
      <c r="B1746" s="7" t="s">
        <v>13</v>
      </c>
      <c r="C1746" s="7" t="s">
        <v>2224</v>
      </c>
      <c r="D1746" s="7">
        <v>1.56681683</v>
      </c>
      <c r="E1746" s="7">
        <v>4.0646432199999998</v>
      </c>
      <c r="F1746" s="9" t="str">
        <f t="shared" si="8"/>
        <v>Direct</v>
      </c>
      <c r="G1746" s="7" t="s">
        <v>276</v>
      </c>
    </row>
    <row r="1747" spans="1:7" x14ac:dyDescent="0.2">
      <c r="A1747" s="6" t="s">
        <v>8</v>
      </c>
      <c r="B1747" s="7" t="s">
        <v>13</v>
      </c>
      <c r="C1747" s="7" t="s">
        <v>2225</v>
      </c>
      <c r="D1747" s="7">
        <v>2.2841562099999999</v>
      </c>
      <c r="E1747" s="7">
        <v>2.3257876999999998</v>
      </c>
      <c r="F1747" s="9" t="str">
        <f t="shared" si="8"/>
        <v>Direct</v>
      </c>
      <c r="G1747" s="7" t="s">
        <v>2226</v>
      </c>
    </row>
    <row r="1748" spans="1:7" x14ac:dyDescent="0.2">
      <c r="A1748" s="6" t="s">
        <v>8</v>
      </c>
      <c r="B1748" s="7" t="s">
        <v>13</v>
      </c>
      <c r="C1748" s="7" t="s">
        <v>2227</v>
      </c>
      <c r="D1748" s="7">
        <v>1.0818963500000001</v>
      </c>
      <c r="E1748" s="7">
        <v>1.87534983</v>
      </c>
      <c r="F1748" s="9" t="str">
        <f t="shared" si="8"/>
        <v>Direct</v>
      </c>
      <c r="G1748" s="7" t="s">
        <v>789</v>
      </c>
    </row>
    <row r="1749" spans="1:7" x14ac:dyDescent="0.2">
      <c r="A1749" s="6" t="s">
        <v>8</v>
      </c>
      <c r="B1749" s="7" t="s">
        <v>13</v>
      </c>
      <c r="C1749" s="7" t="s">
        <v>788</v>
      </c>
      <c r="D1749" s="7">
        <v>3.0478281200000001</v>
      </c>
      <c r="E1749" s="7">
        <v>1.6353477000000001</v>
      </c>
      <c r="F1749" s="9" t="str">
        <f t="shared" si="8"/>
        <v>Direct</v>
      </c>
      <c r="G1749" s="7" t="s">
        <v>789</v>
      </c>
    </row>
    <row r="1750" spans="1:7" x14ac:dyDescent="0.2">
      <c r="A1750" s="6" t="s">
        <v>8</v>
      </c>
      <c r="B1750" s="7" t="s">
        <v>13</v>
      </c>
      <c r="C1750" s="7" t="s">
        <v>2228</v>
      </c>
      <c r="D1750" s="7">
        <v>-2.2336497</v>
      </c>
      <c r="E1750" s="7">
        <v>-1.0911943</v>
      </c>
      <c r="F1750" s="9" t="str">
        <f t="shared" si="8"/>
        <v>Direct</v>
      </c>
      <c r="G1750" s="7" t="s">
        <v>11</v>
      </c>
    </row>
    <row r="1751" spans="1:7" x14ac:dyDescent="0.2">
      <c r="A1751" s="6" t="s">
        <v>8</v>
      </c>
      <c r="B1751" s="7" t="s">
        <v>13</v>
      </c>
      <c r="C1751" s="7" t="s">
        <v>790</v>
      </c>
      <c r="D1751" s="7">
        <v>3.6347527500000001</v>
      </c>
      <c r="E1751" s="7">
        <v>4.3552023399999999</v>
      </c>
      <c r="F1751" s="9" t="str">
        <f t="shared" si="8"/>
        <v>Direct</v>
      </c>
      <c r="G1751" s="7" t="s">
        <v>11</v>
      </c>
    </row>
    <row r="1752" spans="1:7" x14ac:dyDescent="0.2">
      <c r="A1752" s="6" t="s">
        <v>8</v>
      </c>
      <c r="B1752" s="7" t="s">
        <v>13</v>
      </c>
      <c r="C1752" s="7" t="s">
        <v>791</v>
      </c>
      <c r="D1752" s="7">
        <v>3.3386568699999999</v>
      </c>
      <c r="E1752" s="7">
        <v>7.8452081400000004</v>
      </c>
      <c r="F1752" s="9" t="str">
        <f t="shared" si="8"/>
        <v>Direct</v>
      </c>
      <c r="G1752" s="7" t="s">
        <v>11</v>
      </c>
    </row>
    <row r="1753" spans="1:7" x14ac:dyDescent="0.2">
      <c r="A1753" s="6" t="s">
        <v>8</v>
      </c>
      <c r="B1753" s="7" t="s">
        <v>13</v>
      </c>
      <c r="C1753" s="7" t="s">
        <v>2229</v>
      </c>
      <c r="D1753" s="7">
        <v>1.5670139300000001</v>
      </c>
      <c r="E1753" s="7">
        <v>3.2681800700000001</v>
      </c>
      <c r="F1753" s="9" t="str">
        <f t="shared" si="8"/>
        <v>Direct</v>
      </c>
      <c r="G1753" s="7" t="s">
        <v>2230</v>
      </c>
    </row>
    <row r="1754" spans="1:7" x14ac:dyDescent="0.2">
      <c r="A1754" s="6" t="s">
        <v>8</v>
      </c>
      <c r="B1754" s="7" t="s">
        <v>13</v>
      </c>
      <c r="C1754" s="7" t="s">
        <v>2231</v>
      </c>
      <c r="D1754" s="7">
        <v>2.7733463299999999</v>
      </c>
      <c r="E1754" s="7">
        <v>1.76607911</v>
      </c>
      <c r="F1754" s="9" t="str">
        <f t="shared" si="8"/>
        <v>Direct</v>
      </c>
      <c r="G1754" s="7" t="s">
        <v>11</v>
      </c>
    </row>
    <row r="1755" spans="1:7" x14ac:dyDescent="0.2">
      <c r="A1755" s="6" t="s">
        <v>8</v>
      </c>
      <c r="B1755" s="7" t="s">
        <v>13</v>
      </c>
      <c r="C1755" s="7" t="s">
        <v>2232</v>
      </c>
      <c r="D1755" s="7">
        <v>-1.2521477000000001</v>
      </c>
      <c r="E1755" s="7">
        <v>-2.4420301000000002</v>
      </c>
      <c r="F1755" s="9" t="str">
        <f t="shared" si="8"/>
        <v>Direct</v>
      </c>
      <c r="G1755" s="7" t="s">
        <v>11</v>
      </c>
    </row>
    <row r="1756" spans="1:7" x14ac:dyDescent="0.2">
      <c r="A1756" s="6" t="s">
        <v>8</v>
      </c>
      <c r="B1756" s="7" t="s">
        <v>13</v>
      </c>
      <c r="C1756" s="7" t="s">
        <v>2233</v>
      </c>
      <c r="D1756" s="7">
        <v>2.3731756900000001</v>
      </c>
      <c r="E1756" s="7">
        <v>8.8071990699999994</v>
      </c>
      <c r="F1756" s="9" t="str">
        <f t="shared" si="8"/>
        <v>Direct</v>
      </c>
      <c r="G1756" s="7" t="s">
        <v>2234</v>
      </c>
    </row>
    <row r="1757" spans="1:7" x14ac:dyDescent="0.2">
      <c r="A1757" s="6" t="s">
        <v>8</v>
      </c>
      <c r="B1757" s="7" t="s">
        <v>13</v>
      </c>
      <c r="C1757" s="7" t="s">
        <v>2235</v>
      </c>
      <c r="D1757" s="7">
        <v>2.51725435</v>
      </c>
      <c r="E1757" s="7">
        <v>4.5499102599999999</v>
      </c>
      <c r="F1757" s="9" t="str">
        <f t="shared" si="8"/>
        <v>Direct</v>
      </c>
      <c r="G1757" s="7" t="s">
        <v>11</v>
      </c>
    </row>
    <row r="1758" spans="1:7" x14ac:dyDescent="0.2">
      <c r="A1758" s="6" t="s">
        <v>8</v>
      </c>
      <c r="B1758" s="7" t="s">
        <v>13</v>
      </c>
      <c r="C1758" s="7" t="s">
        <v>2236</v>
      </c>
      <c r="D1758" s="7">
        <v>1.92535558</v>
      </c>
      <c r="E1758" s="7">
        <v>1.8657912400000001</v>
      </c>
      <c r="F1758" s="9" t="str">
        <f t="shared" si="8"/>
        <v>Direct</v>
      </c>
      <c r="G1758" s="7" t="s">
        <v>11</v>
      </c>
    </row>
    <row r="1759" spans="1:7" x14ac:dyDescent="0.2">
      <c r="A1759" s="6" t="s">
        <v>8</v>
      </c>
      <c r="B1759" s="7" t="s">
        <v>13</v>
      </c>
      <c r="C1759" s="7" t="s">
        <v>2237</v>
      </c>
      <c r="D1759" s="7">
        <v>3.9921785999999999</v>
      </c>
      <c r="E1759" s="7">
        <v>5.0474444099999998</v>
      </c>
      <c r="F1759" s="9" t="str">
        <f t="shared" si="8"/>
        <v>Direct</v>
      </c>
      <c r="G1759" s="7" t="s">
        <v>11</v>
      </c>
    </row>
    <row r="1760" spans="1:7" x14ac:dyDescent="0.2">
      <c r="A1760" s="6" t="s">
        <v>8</v>
      </c>
      <c r="B1760" s="7" t="s">
        <v>13</v>
      </c>
      <c r="C1760" s="7" t="s">
        <v>2238</v>
      </c>
      <c r="D1760" s="7">
        <v>1.4238173700000001</v>
      </c>
      <c r="E1760" s="7">
        <v>3.8824387599999999</v>
      </c>
      <c r="F1760" s="9" t="str">
        <f t="shared" si="8"/>
        <v>Direct</v>
      </c>
      <c r="G1760" s="7" t="s">
        <v>11</v>
      </c>
    </row>
    <row r="1761" spans="1:7" x14ac:dyDescent="0.2">
      <c r="A1761" s="6" t="s">
        <v>8</v>
      </c>
      <c r="B1761" s="7" t="s">
        <v>13</v>
      </c>
      <c r="C1761" s="7" t="s">
        <v>2239</v>
      </c>
      <c r="D1761" s="7">
        <v>-1.1323472000000001</v>
      </c>
      <c r="E1761" s="7">
        <v>-2.6481029999999999</v>
      </c>
      <c r="F1761" s="9" t="str">
        <f t="shared" si="8"/>
        <v>Direct</v>
      </c>
      <c r="G1761" s="7" t="s">
        <v>76</v>
      </c>
    </row>
    <row r="1762" spans="1:7" x14ac:dyDescent="0.2">
      <c r="A1762" s="6" t="s">
        <v>8</v>
      </c>
      <c r="B1762" s="7" t="s">
        <v>13</v>
      </c>
      <c r="C1762" s="7" t="s">
        <v>2240</v>
      </c>
      <c r="D1762" s="7">
        <v>-2.5936230999999998</v>
      </c>
      <c r="E1762" s="7">
        <v>-2.0197847000000002</v>
      </c>
      <c r="F1762" s="9" t="str">
        <f t="shared" si="8"/>
        <v>Direct</v>
      </c>
      <c r="G1762" s="7" t="s">
        <v>11</v>
      </c>
    </row>
    <row r="1763" spans="1:7" x14ac:dyDescent="0.2">
      <c r="A1763" s="6" t="s">
        <v>8</v>
      </c>
      <c r="B1763" s="7" t="s">
        <v>13</v>
      </c>
      <c r="C1763" s="7" t="s">
        <v>2241</v>
      </c>
      <c r="D1763" s="7">
        <v>-1.6404747</v>
      </c>
      <c r="E1763" s="7">
        <v>-1.2021516000000001</v>
      </c>
      <c r="F1763" s="9" t="str">
        <f t="shared" si="8"/>
        <v>Direct</v>
      </c>
      <c r="G1763" s="7" t="s">
        <v>2242</v>
      </c>
    </row>
    <row r="1764" spans="1:7" x14ac:dyDescent="0.2">
      <c r="A1764" s="6" t="s">
        <v>8</v>
      </c>
      <c r="B1764" s="7" t="s">
        <v>13</v>
      </c>
      <c r="C1764" s="7" t="s">
        <v>797</v>
      </c>
      <c r="D1764" s="7">
        <v>-5.8901811999999998</v>
      </c>
      <c r="E1764" s="7">
        <v>-6.4092659999999997</v>
      </c>
      <c r="F1764" s="9" t="str">
        <f t="shared" si="8"/>
        <v>Direct</v>
      </c>
      <c r="G1764" s="7" t="s">
        <v>798</v>
      </c>
    </row>
    <row r="1765" spans="1:7" x14ac:dyDescent="0.2">
      <c r="A1765" s="6" t="s">
        <v>8</v>
      </c>
      <c r="B1765" s="7" t="s">
        <v>13</v>
      </c>
      <c r="C1765" s="7" t="s">
        <v>2243</v>
      </c>
      <c r="D1765" s="7">
        <v>-2.1548389999999999</v>
      </c>
      <c r="E1765" s="7">
        <v>-4.0438513</v>
      </c>
      <c r="F1765" s="9" t="str">
        <f t="shared" si="8"/>
        <v>Direct</v>
      </c>
      <c r="G1765" s="7" t="s">
        <v>2244</v>
      </c>
    </row>
    <row r="1766" spans="1:7" x14ac:dyDescent="0.2">
      <c r="A1766" s="6" t="s">
        <v>8</v>
      </c>
      <c r="B1766" s="7" t="s">
        <v>13</v>
      </c>
      <c r="C1766" s="7" t="s">
        <v>2245</v>
      </c>
      <c r="D1766" s="7">
        <v>1.34955398</v>
      </c>
      <c r="E1766" s="7">
        <v>2.5554502399999999</v>
      </c>
      <c r="F1766" s="9" t="str">
        <f t="shared" si="8"/>
        <v>Direct</v>
      </c>
      <c r="G1766" s="7" t="s">
        <v>2246</v>
      </c>
    </row>
    <row r="1767" spans="1:7" x14ac:dyDescent="0.2">
      <c r="A1767" s="6" t="s">
        <v>8</v>
      </c>
      <c r="B1767" s="7" t="s">
        <v>13</v>
      </c>
      <c r="C1767" s="7" t="s">
        <v>2247</v>
      </c>
      <c r="D1767" s="7">
        <v>1.8687266199999999</v>
      </c>
      <c r="E1767" s="7">
        <v>1.4692627599999999</v>
      </c>
      <c r="F1767" s="9" t="str">
        <f t="shared" si="8"/>
        <v>Direct</v>
      </c>
      <c r="G1767" s="7" t="s">
        <v>11</v>
      </c>
    </row>
    <row r="1768" spans="1:7" x14ac:dyDescent="0.2">
      <c r="A1768" s="6" t="s">
        <v>8</v>
      </c>
      <c r="B1768" s="7" t="s">
        <v>13</v>
      </c>
      <c r="C1768" s="7" t="s">
        <v>2248</v>
      </c>
      <c r="D1768" s="7">
        <v>-1.4185223</v>
      </c>
      <c r="E1768" s="7">
        <v>-2.0555998999999998</v>
      </c>
      <c r="F1768" s="9" t="str">
        <f t="shared" si="8"/>
        <v>Direct</v>
      </c>
      <c r="G1768" s="7" t="s">
        <v>2249</v>
      </c>
    </row>
    <row r="1769" spans="1:7" x14ac:dyDescent="0.2">
      <c r="A1769" s="6" t="s">
        <v>8</v>
      </c>
      <c r="B1769" s="7" t="s">
        <v>13</v>
      </c>
      <c r="C1769" s="7" t="s">
        <v>2250</v>
      </c>
      <c r="D1769" s="7">
        <v>-1.5670139000000001</v>
      </c>
      <c r="E1769" s="7">
        <v>-3.2154942000000002</v>
      </c>
      <c r="F1769" s="9" t="str">
        <f t="shared" si="8"/>
        <v>Direct</v>
      </c>
      <c r="G1769" s="7" t="s">
        <v>11</v>
      </c>
    </row>
    <row r="1770" spans="1:7" x14ac:dyDescent="0.2">
      <c r="A1770" s="6" t="s">
        <v>8</v>
      </c>
      <c r="B1770" s="7" t="s">
        <v>13</v>
      </c>
      <c r="C1770" s="7" t="s">
        <v>2251</v>
      </c>
      <c r="D1770" s="7">
        <v>1.19523662</v>
      </c>
      <c r="E1770" s="7">
        <v>2.6703698299999998</v>
      </c>
      <c r="F1770" s="9" t="str">
        <f t="shared" si="8"/>
        <v>Direct</v>
      </c>
      <c r="G1770" s="7" t="s">
        <v>11</v>
      </c>
    </row>
    <row r="1771" spans="1:7" x14ac:dyDescent="0.2">
      <c r="A1771" s="6" t="s">
        <v>8</v>
      </c>
      <c r="B1771" s="7" t="s">
        <v>13</v>
      </c>
      <c r="C1771" s="7" t="s">
        <v>2252</v>
      </c>
      <c r="D1771" s="7">
        <v>2.6480153</v>
      </c>
      <c r="E1771" s="7">
        <v>4.9183278100000001</v>
      </c>
      <c r="F1771" s="9" t="str">
        <f t="shared" si="8"/>
        <v>Direct</v>
      </c>
      <c r="G1771" s="7" t="s">
        <v>2253</v>
      </c>
    </row>
    <row r="1772" spans="1:7" x14ac:dyDescent="0.2">
      <c r="A1772" s="6" t="s">
        <v>8</v>
      </c>
      <c r="B1772" s="7" t="s">
        <v>13</v>
      </c>
      <c r="C1772" s="7" t="s">
        <v>2254</v>
      </c>
      <c r="D1772" s="7">
        <v>1.0232590500000001</v>
      </c>
      <c r="E1772" s="7">
        <v>3.2729694500000002</v>
      </c>
      <c r="F1772" s="9" t="str">
        <f t="shared" si="8"/>
        <v>Direct</v>
      </c>
      <c r="G1772" s="7" t="s">
        <v>2255</v>
      </c>
    </row>
    <row r="1773" spans="1:7" x14ac:dyDescent="0.2">
      <c r="A1773" s="6" t="s">
        <v>8</v>
      </c>
      <c r="B1773" s="7" t="s">
        <v>13</v>
      </c>
      <c r="C1773" s="7" t="s">
        <v>2256</v>
      </c>
      <c r="D1773" s="7">
        <v>1.30334957</v>
      </c>
      <c r="E1773" s="7">
        <v>3.0699064800000002</v>
      </c>
      <c r="F1773" s="9" t="str">
        <f t="shared" si="8"/>
        <v>Direct</v>
      </c>
      <c r="G1773" s="7" t="s">
        <v>2255</v>
      </c>
    </row>
    <row r="1774" spans="1:7" x14ac:dyDescent="0.2">
      <c r="A1774" s="6" t="s">
        <v>8</v>
      </c>
      <c r="B1774" s="7" t="s">
        <v>13</v>
      </c>
      <c r="C1774" s="7" t="s">
        <v>2257</v>
      </c>
      <c r="D1774" s="7">
        <v>1.7863580299999999</v>
      </c>
      <c r="E1774" s="7">
        <v>3.2190616300000001</v>
      </c>
      <c r="F1774" s="9" t="str">
        <f t="shared" si="8"/>
        <v>Direct</v>
      </c>
      <c r="G1774" s="7" t="s">
        <v>11</v>
      </c>
    </row>
    <row r="1775" spans="1:7" x14ac:dyDescent="0.2">
      <c r="A1775" s="6" t="s">
        <v>8</v>
      </c>
      <c r="B1775" s="7" t="s">
        <v>13</v>
      </c>
      <c r="C1775" s="7" t="s">
        <v>2258</v>
      </c>
      <c r="D1775" s="7">
        <v>1.86052141</v>
      </c>
      <c r="E1775" s="7">
        <v>3.69868445</v>
      </c>
      <c r="F1775" s="9" t="str">
        <f t="shared" si="8"/>
        <v>Direct</v>
      </c>
      <c r="G1775" s="7" t="s">
        <v>2259</v>
      </c>
    </row>
    <row r="1776" spans="1:7" x14ac:dyDescent="0.2">
      <c r="A1776" s="6" t="s">
        <v>8</v>
      </c>
      <c r="B1776" s="7" t="s">
        <v>13</v>
      </c>
      <c r="C1776" s="7" t="s">
        <v>2260</v>
      </c>
      <c r="D1776" s="7">
        <v>1.00642458</v>
      </c>
      <c r="E1776" s="7">
        <v>4.7766769800000004</v>
      </c>
      <c r="F1776" s="9" t="str">
        <f t="shared" si="8"/>
        <v>Direct</v>
      </c>
      <c r="G1776" s="7" t="s">
        <v>2261</v>
      </c>
    </row>
    <row r="1777" spans="1:7" x14ac:dyDescent="0.2">
      <c r="A1777" s="6" t="s">
        <v>8</v>
      </c>
      <c r="B1777" s="7" t="s">
        <v>13</v>
      </c>
      <c r="C1777" s="7" t="s">
        <v>2262</v>
      </c>
      <c r="D1777" s="7">
        <v>1.1701967200000001</v>
      </c>
      <c r="E1777" s="7">
        <v>1.62588271</v>
      </c>
      <c r="F1777" s="9" t="str">
        <f t="shared" si="8"/>
        <v>Direct</v>
      </c>
      <c r="G1777" s="7" t="s">
        <v>11</v>
      </c>
    </row>
    <row r="1778" spans="1:7" x14ac:dyDescent="0.2">
      <c r="A1778" s="6" t="s">
        <v>8</v>
      </c>
      <c r="B1778" s="7" t="s">
        <v>13</v>
      </c>
      <c r="C1778" s="7" t="s">
        <v>2263</v>
      </c>
      <c r="D1778" s="7">
        <v>1.69048708</v>
      </c>
      <c r="E1778" s="7">
        <v>6.6770440799999999</v>
      </c>
      <c r="F1778" s="9" t="str">
        <f t="shared" si="8"/>
        <v>Direct</v>
      </c>
      <c r="G1778" s="7" t="s">
        <v>2264</v>
      </c>
    </row>
    <row r="1779" spans="1:7" x14ac:dyDescent="0.2">
      <c r="A1779" s="6" t="s">
        <v>8</v>
      </c>
      <c r="B1779" s="7" t="s">
        <v>13</v>
      </c>
      <c r="C1779" s="7" t="s">
        <v>2265</v>
      </c>
      <c r="D1779" s="7">
        <v>2.1943288399999998</v>
      </c>
      <c r="E1779" s="7">
        <v>2.2310969300000001</v>
      </c>
      <c r="F1779" s="9" t="str">
        <f t="shared" si="8"/>
        <v>Direct</v>
      </c>
      <c r="G1779" s="7" t="s">
        <v>2074</v>
      </c>
    </row>
    <row r="1780" spans="1:7" x14ac:dyDescent="0.2">
      <c r="A1780" s="6" t="s">
        <v>8</v>
      </c>
      <c r="B1780" s="7" t="s">
        <v>13</v>
      </c>
      <c r="C1780" s="7" t="s">
        <v>2266</v>
      </c>
      <c r="D1780" s="7">
        <v>1.26184137</v>
      </c>
      <c r="E1780" s="7">
        <v>2.8139370499999998</v>
      </c>
      <c r="F1780" s="9" t="str">
        <f t="shared" si="8"/>
        <v>Direct</v>
      </c>
      <c r="G1780" s="7" t="s">
        <v>11</v>
      </c>
    </row>
    <row r="1781" spans="1:7" x14ac:dyDescent="0.2">
      <c r="A1781" s="6" t="s">
        <v>8</v>
      </c>
      <c r="B1781" s="7" t="s">
        <v>13</v>
      </c>
      <c r="C1781" s="7" t="s">
        <v>2267</v>
      </c>
      <c r="D1781" s="7">
        <v>-1.0192749000000001</v>
      </c>
      <c r="E1781" s="7">
        <v>-1.1781406000000001</v>
      </c>
      <c r="F1781" s="9" t="str">
        <f t="shared" si="8"/>
        <v>Direct</v>
      </c>
      <c r="G1781" s="7" t="s">
        <v>2268</v>
      </c>
    </row>
    <row r="1782" spans="1:7" x14ac:dyDescent="0.2">
      <c r="A1782" s="6" t="s">
        <v>8</v>
      </c>
      <c r="B1782" s="7" t="s">
        <v>13</v>
      </c>
      <c r="C1782" s="7" t="s">
        <v>810</v>
      </c>
      <c r="D1782" s="7">
        <v>1.33671074</v>
      </c>
      <c r="E1782" s="7">
        <v>1.6088015499999999</v>
      </c>
      <c r="F1782" s="9" t="str">
        <f t="shared" si="8"/>
        <v>Direct</v>
      </c>
      <c r="G1782" s="7" t="s">
        <v>11</v>
      </c>
    </row>
    <row r="1783" spans="1:7" x14ac:dyDescent="0.2">
      <c r="A1783" s="6" t="s">
        <v>8</v>
      </c>
      <c r="B1783" s="7" t="s">
        <v>13</v>
      </c>
      <c r="C1783" s="7" t="s">
        <v>2269</v>
      </c>
      <c r="D1783" s="7">
        <v>1.14598248</v>
      </c>
      <c r="E1783" s="7">
        <v>2.8229768800000001</v>
      </c>
      <c r="F1783" s="9" t="str">
        <f t="shared" si="8"/>
        <v>Direct</v>
      </c>
      <c r="G1783" s="7" t="s">
        <v>11</v>
      </c>
    </row>
    <row r="1784" spans="1:7" x14ac:dyDescent="0.2">
      <c r="A1784" s="6" t="s">
        <v>8</v>
      </c>
      <c r="B1784" s="7" t="s">
        <v>13</v>
      </c>
      <c r="C1784" s="7" t="s">
        <v>811</v>
      </c>
      <c r="D1784" s="7">
        <v>-1.5058889</v>
      </c>
      <c r="E1784" s="7">
        <v>-2.2160335</v>
      </c>
      <c r="F1784" s="9" t="str">
        <f t="shared" si="8"/>
        <v>Direct</v>
      </c>
      <c r="G1784" s="7" t="s">
        <v>812</v>
      </c>
    </row>
    <row r="1785" spans="1:7" x14ac:dyDescent="0.2">
      <c r="A1785" s="6" t="s">
        <v>8</v>
      </c>
      <c r="B1785" s="7" t="s">
        <v>13</v>
      </c>
      <c r="C1785" s="7" t="s">
        <v>813</v>
      </c>
      <c r="D1785" s="7">
        <v>1.04822887</v>
      </c>
      <c r="E1785" s="7">
        <v>2.0861814500000002</v>
      </c>
      <c r="F1785" s="9" t="str">
        <f t="shared" si="8"/>
        <v>Direct</v>
      </c>
      <c r="G1785" s="7" t="s">
        <v>814</v>
      </c>
    </row>
    <row r="1786" spans="1:7" x14ac:dyDescent="0.2">
      <c r="A1786" s="6" t="s">
        <v>8</v>
      </c>
      <c r="B1786" s="7" t="s">
        <v>13</v>
      </c>
      <c r="C1786" s="7" t="s">
        <v>2270</v>
      </c>
      <c r="D1786" s="7">
        <v>-2.8586285999999999</v>
      </c>
      <c r="E1786" s="7">
        <v>-3.5080391</v>
      </c>
      <c r="F1786" s="9" t="str">
        <f t="shared" si="8"/>
        <v>Direct</v>
      </c>
      <c r="G1786" s="7" t="s">
        <v>11</v>
      </c>
    </row>
    <row r="1787" spans="1:7" x14ac:dyDescent="0.2">
      <c r="A1787" s="6" t="s">
        <v>8</v>
      </c>
      <c r="B1787" s="7" t="s">
        <v>13</v>
      </c>
      <c r="C1787" s="7" t="s">
        <v>2271</v>
      </c>
      <c r="D1787" s="7">
        <v>-2.6664911999999998</v>
      </c>
      <c r="E1787" s="7">
        <v>-1.8879847000000001</v>
      </c>
      <c r="F1787" s="9" t="str">
        <f t="shared" ref="F1787:F2041" si="9">IF(OR(AND(D1787&gt;0,E1787&gt;0),AND(D1787&lt;0,E1787&lt;0)),"Direct","Inverse")</f>
        <v>Direct</v>
      </c>
      <c r="G1787" s="7" t="s">
        <v>11</v>
      </c>
    </row>
    <row r="1788" spans="1:7" x14ac:dyDescent="0.2">
      <c r="A1788" s="6" t="s">
        <v>8</v>
      </c>
      <c r="B1788" s="7" t="s">
        <v>13</v>
      </c>
      <c r="C1788" s="7" t="s">
        <v>2272</v>
      </c>
      <c r="D1788" s="7">
        <v>-1.6953526000000001</v>
      </c>
      <c r="E1788" s="7">
        <v>-1.0275793</v>
      </c>
      <c r="F1788" s="9" t="str">
        <f t="shared" si="9"/>
        <v>Direct</v>
      </c>
      <c r="G1788" s="7" t="s">
        <v>11</v>
      </c>
    </row>
    <row r="1789" spans="1:7" x14ac:dyDescent="0.2">
      <c r="A1789" s="6" t="s">
        <v>8</v>
      </c>
      <c r="B1789" s="7" t="s">
        <v>13</v>
      </c>
      <c r="C1789" s="7" t="s">
        <v>816</v>
      </c>
      <c r="D1789" s="7">
        <v>-2.9834071</v>
      </c>
      <c r="E1789" s="7">
        <v>-5.7094521</v>
      </c>
      <c r="F1789" s="9" t="str">
        <f t="shared" si="9"/>
        <v>Direct</v>
      </c>
      <c r="G1789" s="7" t="s">
        <v>817</v>
      </c>
    </row>
    <row r="1790" spans="1:7" x14ac:dyDescent="0.2">
      <c r="A1790" s="6" t="s">
        <v>8</v>
      </c>
      <c r="B1790" s="7" t="s">
        <v>13</v>
      </c>
      <c r="C1790" s="7" t="s">
        <v>2273</v>
      </c>
      <c r="D1790" s="7">
        <v>-1.5799038999999999</v>
      </c>
      <c r="E1790" s="7">
        <v>-2.8055021999999998</v>
      </c>
      <c r="F1790" s="9" t="str">
        <f t="shared" si="9"/>
        <v>Direct</v>
      </c>
      <c r="G1790" s="7" t="s">
        <v>11</v>
      </c>
    </row>
    <row r="1791" spans="1:7" x14ac:dyDescent="0.2">
      <c r="A1791" s="6" t="s">
        <v>8</v>
      </c>
      <c r="B1791" s="7" t="s">
        <v>13</v>
      </c>
      <c r="C1791" s="7" t="s">
        <v>2274</v>
      </c>
      <c r="D1791" s="7">
        <v>1.84933061</v>
      </c>
      <c r="E1791" s="7">
        <v>2.9711570900000002</v>
      </c>
      <c r="F1791" s="9" t="str">
        <f t="shared" si="9"/>
        <v>Direct</v>
      </c>
      <c r="G1791" s="7" t="s">
        <v>11</v>
      </c>
    </row>
    <row r="1792" spans="1:7" x14ac:dyDescent="0.2">
      <c r="A1792" s="6" t="s">
        <v>8</v>
      </c>
      <c r="B1792" s="7" t="s">
        <v>13</v>
      </c>
      <c r="C1792" s="7" t="s">
        <v>2275</v>
      </c>
      <c r="D1792" s="7">
        <v>1.71919065</v>
      </c>
      <c r="E1792" s="7">
        <v>4.6044711899999999</v>
      </c>
      <c r="F1792" s="9" t="str">
        <f t="shared" si="9"/>
        <v>Direct</v>
      </c>
      <c r="G1792" s="7" t="s">
        <v>2276</v>
      </c>
    </row>
    <row r="1793" spans="1:7" x14ac:dyDescent="0.2">
      <c r="A1793" s="6" t="s">
        <v>8</v>
      </c>
      <c r="B1793" s="7" t="s">
        <v>13</v>
      </c>
      <c r="C1793" s="7" t="s">
        <v>2277</v>
      </c>
      <c r="D1793" s="7">
        <v>1.0554777200000001</v>
      </c>
      <c r="E1793" s="7">
        <v>1.16745118</v>
      </c>
      <c r="F1793" s="9" t="str">
        <f t="shared" si="9"/>
        <v>Direct</v>
      </c>
      <c r="G1793" s="7" t="s">
        <v>2276</v>
      </c>
    </row>
    <row r="1794" spans="1:7" x14ac:dyDescent="0.2">
      <c r="A1794" s="6" t="s">
        <v>8</v>
      </c>
      <c r="B1794" s="7" t="s">
        <v>13</v>
      </c>
      <c r="C1794" s="7" t="s">
        <v>2278</v>
      </c>
      <c r="D1794" s="7">
        <v>-1.3572565999999999</v>
      </c>
      <c r="E1794" s="7">
        <v>-1.3901956</v>
      </c>
      <c r="F1794" s="9" t="str">
        <f t="shared" si="9"/>
        <v>Direct</v>
      </c>
      <c r="G1794" s="7" t="s">
        <v>11</v>
      </c>
    </row>
    <row r="1795" spans="1:7" x14ac:dyDescent="0.2">
      <c r="A1795" s="6" t="s">
        <v>8</v>
      </c>
      <c r="B1795" s="7" t="s">
        <v>13</v>
      </c>
      <c r="C1795" s="7" t="s">
        <v>2279</v>
      </c>
      <c r="D1795" s="7">
        <v>-1.1061772999999999</v>
      </c>
      <c r="E1795" s="7">
        <v>-3.7798129</v>
      </c>
      <c r="F1795" s="9" t="str">
        <f t="shared" si="9"/>
        <v>Direct</v>
      </c>
      <c r="G1795" s="7" t="s">
        <v>35</v>
      </c>
    </row>
    <row r="1796" spans="1:7" x14ac:dyDescent="0.2">
      <c r="A1796" s="6" t="s">
        <v>8</v>
      </c>
      <c r="B1796" s="7" t="s">
        <v>13</v>
      </c>
      <c r="C1796" s="7" t="s">
        <v>2280</v>
      </c>
      <c r="D1796" s="7">
        <v>-2.1392283999999999</v>
      </c>
      <c r="E1796" s="7">
        <v>-1.4893128</v>
      </c>
      <c r="F1796" s="9" t="str">
        <f t="shared" si="9"/>
        <v>Direct</v>
      </c>
      <c r="G1796" s="7" t="s">
        <v>11</v>
      </c>
    </row>
    <row r="1797" spans="1:7" x14ac:dyDescent="0.2">
      <c r="A1797" s="6" t="s">
        <v>8</v>
      </c>
      <c r="B1797" s="7" t="s">
        <v>13</v>
      </c>
      <c r="C1797" s="7" t="s">
        <v>2281</v>
      </c>
      <c r="D1797" s="7">
        <v>1.0127523300000001</v>
      </c>
      <c r="E1797" s="7">
        <v>1.8439832300000001</v>
      </c>
      <c r="F1797" s="9" t="str">
        <f t="shared" si="9"/>
        <v>Direct</v>
      </c>
      <c r="G1797" s="7" t="s">
        <v>2282</v>
      </c>
    </row>
    <row r="1798" spans="1:7" x14ac:dyDescent="0.2">
      <c r="A1798" s="6" t="s">
        <v>8</v>
      </c>
      <c r="B1798" s="7" t="s">
        <v>13</v>
      </c>
      <c r="C1798" s="7" t="s">
        <v>2283</v>
      </c>
      <c r="D1798" s="7">
        <v>-1.2230007000000001</v>
      </c>
      <c r="E1798" s="7">
        <v>-4.9403055</v>
      </c>
      <c r="F1798" s="9" t="str">
        <f t="shared" si="9"/>
        <v>Direct</v>
      </c>
      <c r="G1798" s="7" t="s">
        <v>47</v>
      </c>
    </row>
    <row r="1799" spans="1:7" x14ac:dyDescent="0.2">
      <c r="A1799" s="6" t="s">
        <v>8</v>
      </c>
      <c r="B1799" s="7" t="s">
        <v>13</v>
      </c>
      <c r="C1799" s="7" t="s">
        <v>2284</v>
      </c>
      <c r="D1799" s="7">
        <v>-1.2070973</v>
      </c>
      <c r="E1799" s="7">
        <v>-1.2152938</v>
      </c>
      <c r="F1799" s="9" t="str">
        <f t="shared" si="9"/>
        <v>Direct</v>
      </c>
      <c r="G1799" s="7" t="s">
        <v>11</v>
      </c>
    </row>
    <row r="1800" spans="1:7" x14ac:dyDescent="0.2">
      <c r="A1800" s="6" t="s">
        <v>8</v>
      </c>
      <c r="B1800" s="7" t="s">
        <v>13</v>
      </c>
      <c r="C1800" s="7" t="s">
        <v>2285</v>
      </c>
      <c r="D1800" s="7">
        <v>-1.3941922</v>
      </c>
      <c r="E1800" s="7">
        <v>-2.2297308999999998</v>
      </c>
      <c r="F1800" s="9" t="str">
        <f t="shared" si="9"/>
        <v>Direct</v>
      </c>
      <c r="G1800" s="7" t="s">
        <v>2286</v>
      </c>
    </row>
    <row r="1801" spans="1:7" x14ac:dyDescent="0.2">
      <c r="A1801" s="6" t="s">
        <v>8</v>
      </c>
      <c r="B1801" s="7" t="s">
        <v>13</v>
      </c>
      <c r="C1801" s="7" t="s">
        <v>823</v>
      </c>
      <c r="D1801" s="7">
        <v>-1.6312433</v>
      </c>
      <c r="E1801" s="7">
        <v>-1.4706471000000001</v>
      </c>
      <c r="F1801" s="9" t="str">
        <f t="shared" si="9"/>
        <v>Direct</v>
      </c>
      <c r="G1801" s="7" t="s">
        <v>11</v>
      </c>
    </row>
    <row r="1802" spans="1:7" x14ac:dyDescent="0.2">
      <c r="A1802" s="6" t="s">
        <v>8</v>
      </c>
      <c r="B1802" s="7" t="s">
        <v>13</v>
      </c>
      <c r="C1802" s="7" t="s">
        <v>2287</v>
      </c>
      <c r="D1802" s="7">
        <v>1.99757732</v>
      </c>
      <c r="E1802" s="7">
        <v>2.9875431400000001</v>
      </c>
      <c r="F1802" s="9" t="str">
        <f t="shared" si="9"/>
        <v>Direct</v>
      </c>
      <c r="G1802" s="7" t="s">
        <v>1942</v>
      </c>
    </row>
    <row r="1803" spans="1:7" x14ac:dyDescent="0.2">
      <c r="A1803" s="6" t="s">
        <v>8</v>
      </c>
      <c r="B1803" s="7" t="s">
        <v>13</v>
      </c>
      <c r="C1803" s="7" t="s">
        <v>2288</v>
      </c>
      <c r="D1803" s="7">
        <v>1.6335308900000001</v>
      </c>
      <c r="E1803" s="7">
        <v>1.82696356</v>
      </c>
      <c r="F1803" s="9" t="str">
        <f t="shared" si="9"/>
        <v>Direct</v>
      </c>
      <c r="G1803" s="7" t="s">
        <v>11</v>
      </c>
    </row>
    <row r="1804" spans="1:7" x14ac:dyDescent="0.2">
      <c r="A1804" s="6" t="s">
        <v>8</v>
      </c>
      <c r="B1804" s="7" t="s">
        <v>13</v>
      </c>
      <c r="C1804" s="7" t="s">
        <v>824</v>
      </c>
      <c r="D1804" s="7">
        <v>1.05729447</v>
      </c>
      <c r="E1804" s="7">
        <v>3.69073216</v>
      </c>
      <c r="F1804" s="9" t="str">
        <f t="shared" si="9"/>
        <v>Direct</v>
      </c>
      <c r="G1804" s="7" t="s">
        <v>11</v>
      </c>
    </row>
    <row r="1805" spans="1:7" x14ac:dyDescent="0.2">
      <c r="A1805" s="6" t="s">
        <v>8</v>
      </c>
      <c r="B1805" s="7" t="s">
        <v>13</v>
      </c>
      <c r="C1805" s="7" t="s">
        <v>827</v>
      </c>
      <c r="D1805" s="7">
        <v>5.0187003900000002</v>
      </c>
      <c r="E1805" s="7">
        <v>6.2824340400000001</v>
      </c>
      <c r="F1805" s="9" t="str">
        <f t="shared" si="9"/>
        <v>Direct</v>
      </c>
      <c r="G1805" s="7" t="s">
        <v>828</v>
      </c>
    </row>
    <row r="1806" spans="1:7" x14ac:dyDescent="0.2">
      <c r="A1806" s="6" t="s">
        <v>8</v>
      </c>
      <c r="B1806" s="7" t="s">
        <v>13</v>
      </c>
      <c r="C1806" s="7" t="s">
        <v>2289</v>
      </c>
      <c r="D1806" s="7">
        <v>2.86829789</v>
      </c>
      <c r="E1806" s="7">
        <v>8.1104901399999996</v>
      </c>
      <c r="F1806" s="9" t="str">
        <f t="shared" si="9"/>
        <v>Direct</v>
      </c>
      <c r="G1806" s="7" t="s">
        <v>828</v>
      </c>
    </row>
    <row r="1807" spans="1:7" x14ac:dyDescent="0.2">
      <c r="A1807" s="6" t="s">
        <v>8</v>
      </c>
      <c r="B1807" s="7" t="s">
        <v>13</v>
      </c>
      <c r="C1807" s="7" t="s">
        <v>2290</v>
      </c>
      <c r="D1807" s="7">
        <v>3.08642035</v>
      </c>
      <c r="E1807" s="7">
        <v>6.75615319</v>
      </c>
      <c r="F1807" s="9" t="str">
        <f t="shared" si="9"/>
        <v>Direct</v>
      </c>
      <c r="G1807" s="7" t="s">
        <v>11</v>
      </c>
    </row>
    <row r="1808" spans="1:7" x14ac:dyDescent="0.2">
      <c r="A1808" s="6" t="s">
        <v>8</v>
      </c>
      <c r="B1808" s="7" t="s">
        <v>13</v>
      </c>
      <c r="C1808" s="7" t="s">
        <v>829</v>
      </c>
      <c r="D1808" s="7">
        <v>-3.2676685999999999</v>
      </c>
      <c r="E1808" s="7">
        <v>-1.7985959</v>
      </c>
      <c r="F1808" s="9" t="str">
        <f t="shared" si="9"/>
        <v>Direct</v>
      </c>
      <c r="G1808" s="7" t="s">
        <v>830</v>
      </c>
    </row>
    <row r="1809" spans="1:7" x14ac:dyDescent="0.2">
      <c r="A1809" s="6" t="s">
        <v>8</v>
      </c>
      <c r="B1809" s="7" t="s">
        <v>13</v>
      </c>
      <c r="C1809" s="7" t="s">
        <v>831</v>
      </c>
      <c r="D1809" s="7">
        <v>1.7532481</v>
      </c>
      <c r="E1809" s="7">
        <v>2.7484403500000001</v>
      </c>
      <c r="F1809" s="9" t="str">
        <f t="shared" si="9"/>
        <v>Direct</v>
      </c>
      <c r="G1809" s="7" t="s">
        <v>832</v>
      </c>
    </row>
    <row r="1810" spans="1:7" x14ac:dyDescent="0.2">
      <c r="A1810" s="6" t="s">
        <v>8</v>
      </c>
      <c r="B1810" s="7" t="s">
        <v>13</v>
      </c>
      <c r="C1810" s="7" t="s">
        <v>2291</v>
      </c>
      <c r="D1810" s="7">
        <v>-1.5127782999999999</v>
      </c>
      <c r="E1810" s="7">
        <v>-4.7291112999999996</v>
      </c>
      <c r="F1810" s="9" t="str">
        <f t="shared" si="9"/>
        <v>Direct</v>
      </c>
      <c r="G1810" s="7" t="s">
        <v>597</v>
      </c>
    </row>
    <row r="1811" spans="1:7" x14ac:dyDescent="0.2">
      <c r="A1811" s="6" t="s">
        <v>8</v>
      </c>
      <c r="B1811" s="7" t="s">
        <v>13</v>
      </c>
      <c r="C1811" s="7" t="s">
        <v>2292</v>
      </c>
      <c r="D1811" s="7">
        <v>1.0221690400000001</v>
      </c>
      <c r="E1811" s="7">
        <v>2.7405703400000001</v>
      </c>
      <c r="F1811" s="9" t="str">
        <f t="shared" si="9"/>
        <v>Direct</v>
      </c>
      <c r="G1811" s="7" t="s">
        <v>2293</v>
      </c>
    </row>
    <row r="1812" spans="1:7" x14ac:dyDescent="0.2">
      <c r="A1812" s="6" t="s">
        <v>8</v>
      </c>
      <c r="B1812" s="7" t="s">
        <v>13</v>
      </c>
      <c r="C1812" s="7" t="s">
        <v>2294</v>
      </c>
      <c r="D1812" s="7">
        <v>1.1309832799999999</v>
      </c>
      <c r="E1812" s="7">
        <v>2.0021857999999999</v>
      </c>
      <c r="F1812" s="9" t="str">
        <f t="shared" si="9"/>
        <v>Direct</v>
      </c>
      <c r="G1812" s="7" t="s">
        <v>11</v>
      </c>
    </row>
    <row r="1813" spans="1:7" x14ac:dyDescent="0.2">
      <c r="A1813" s="6" t="s">
        <v>8</v>
      </c>
      <c r="B1813" s="7" t="s">
        <v>13</v>
      </c>
      <c r="C1813" s="7" t="s">
        <v>2295</v>
      </c>
      <c r="D1813" s="7">
        <v>-2.5236049999999999</v>
      </c>
      <c r="E1813" s="7">
        <v>-1.2613972</v>
      </c>
      <c r="F1813" s="9" t="str">
        <f t="shared" si="9"/>
        <v>Direct</v>
      </c>
      <c r="G1813" s="7" t="s">
        <v>2296</v>
      </c>
    </row>
    <row r="1814" spans="1:7" x14ac:dyDescent="0.2">
      <c r="A1814" s="6" t="s">
        <v>8</v>
      </c>
      <c r="B1814" s="7" t="s">
        <v>13</v>
      </c>
      <c r="C1814" s="7" t="s">
        <v>2297</v>
      </c>
      <c r="D1814" s="7">
        <v>3.7069266500000002</v>
      </c>
      <c r="E1814" s="7">
        <v>4.64463765</v>
      </c>
      <c r="F1814" s="9" t="str">
        <f t="shared" si="9"/>
        <v>Direct</v>
      </c>
      <c r="G1814" s="7" t="s">
        <v>11</v>
      </c>
    </row>
    <row r="1815" spans="1:7" x14ac:dyDescent="0.2">
      <c r="A1815" s="6" t="s">
        <v>8</v>
      </c>
      <c r="B1815" s="7" t="s">
        <v>13</v>
      </c>
      <c r="C1815" s="7" t="s">
        <v>833</v>
      </c>
      <c r="D1815" s="7">
        <v>1.03013113</v>
      </c>
      <c r="E1815" s="7">
        <v>1.90344804</v>
      </c>
      <c r="F1815" s="9" t="str">
        <f t="shared" si="9"/>
        <v>Direct</v>
      </c>
      <c r="G1815" s="7" t="s">
        <v>276</v>
      </c>
    </row>
    <row r="1816" spans="1:7" x14ac:dyDescent="0.2">
      <c r="A1816" s="6" t="s">
        <v>8</v>
      </c>
      <c r="B1816" s="7" t="s">
        <v>13</v>
      </c>
      <c r="C1816" s="7" t="s">
        <v>2298</v>
      </c>
      <c r="D1816" s="7">
        <v>-1.0026086000000001</v>
      </c>
      <c r="E1816" s="7">
        <v>-1.1509092999999999</v>
      </c>
      <c r="F1816" s="9" t="str">
        <f t="shared" si="9"/>
        <v>Direct</v>
      </c>
      <c r="G1816" s="7" t="s">
        <v>11</v>
      </c>
    </row>
    <row r="1817" spans="1:7" x14ac:dyDescent="0.2">
      <c r="A1817" s="6" t="s">
        <v>8</v>
      </c>
      <c r="B1817" s="7" t="s">
        <v>13</v>
      </c>
      <c r="C1817" s="7" t="s">
        <v>2299</v>
      </c>
      <c r="D1817" s="7">
        <v>-1.0563716999999999</v>
      </c>
      <c r="E1817" s="7">
        <v>-1.5668342</v>
      </c>
      <c r="F1817" s="9" t="str">
        <f t="shared" si="9"/>
        <v>Direct</v>
      </c>
      <c r="G1817" s="7" t="s">
        <v>248</v>
      </c>
    </row>
    <row r="1818" spans="1:7" x14ac:dyDescent="0.2">
      <c r="A1818" s="6" t="s">
        <v>8</v>
      </c>
      <c r="B1818" s="7" t="s">
        <v>13</v>
      </c>
      <c r="C1818" s="7" t="s">
        <v>835</v>
      </c>
      <c r="D1818" s="7">
        <v>1.5127782700000001</v>
      </c>
      <c r="E1818" s="7">
        <v>2.13782782</v>
      </c>
      <c r="F1818" s="9" t="str">
        <f t="shared" si="9"/>
        <v>Direct</v>
      </c>
      <c r="G1818" s="7" t="s">
        <v>836</v>
      </c>
    </row>
    <row r="1819" spans="1:7" x14ac:dyDescent="0.2">
      <c r="A1819" s="6" t="s">
        <v>8</v>
      </c>
      <c r="B1819" s="7" t="s">
        <v>13</v>
      </c>
      <c r="C1819" s="7" t="s">
        <v>2300</v>
      </c>
      <c r="D1819" s="7">
        <v>1.29956973</v>
      </c>
      <c r="E1819" s="7">
        <v>2.2395808499999998</v>
      </c>
      <c r="F1819" s="9" t="str">
        <f t="shared" si="9"/>
        <v>Direct</v>
      </c>
      <c r="G1819" s="7" t="s">
        <v>11</v>
      </c>
    </row>
    <row r="1820" spans="1:7" x14ac:dyDescent="0.2">
      <c r="A1820" s="6" t="s">
        <v>8</v>
      </c>
      <c r="B1820" s="7" t="s">
        <v>13</v>
      </c>
      <c r="C1820" s="7" t="s">
        <v>2301</v>
      </c>
      <c r="D1820" s="7">
        <v>1.4185223300000001</v>
      </c>
      <c r="E1820" s="7">
        <v>1.2926421699999999</v>
      </c>
      <c r="F1820" s="9" t="str">
        <f t="shared" si="9"/>
        <v>Direct</v>
      </c>
      <c r="G1820" s="7" t="s">
        <v>2302</v>
      </c>
    </row>
    <row r="1821" spans="1:7" x14ac:dyDescent="0.2">
      <c r="A1821" s="6" t="s">
        <v>8</v>
      </c>
      <c r="B1821" s="7" t="s">
        <v>13</v>
      </c>
      <c r="C1821" s="7" t="s">
        <v>2303</v>
      </c>
      <c r="D1821" s="7">
        <v>-1.9018820000000001</v>
      </c>
      <c r="E1821" s="7">
        <v>-5.7470813999999999</v>
      </c>
      <c r="F1821" s="9" t="str">
        <f t="shared" si="9"/>
        <v>Direct</v>
      </c>
      <c r="G1821" s="7" t="s">
        <v>2304</v>
      </c>
    </row>
    <row r="1822" spans="1:7" x14ac:dyDescent="0.2">
      <c r="A1822" s="6" t="s">
        <v>8</v>
      </c>
      <c r="B1822" s="7" t="s">
        <v>13</v>
      </c>
      <c r="C1822" s="7" t="s">
        <v>2305</v>
      </c>
      <c r="D1822" s="7">
        <v>1.1069429200000001</v>
      </c>
      <c r="E1822" s="7">
        <v>1.4559858000000001</v>
      </c>
      <c r="F1822" s="9" t="str">
        <f t="shared" si="9"/>
        <v>Direct</v>
      </c>
      <c r="G1822" s="7" t="s">
        <v>2306</v>
      </c>
    </row>
    <row r="1823" spans="1:7" x14ac:dyDescent="0.2">
      <c r="A1823" s="6" t="s">
        <v>8</v>
      </c>
      <c r="B1823" s="7" t="s">
        <v>13</v>
      </c>
      <c r="C1823" s="7" t="s">
        <v>2307</v>
      </c>
      <c r="D1823" s="7">
        <v>-1.2747142</v>
      </c>
      <c r="E1823" s="7">
        <v>-5.5884432000000004</v>
      </c>
      <c r="F1823" s="9" t="str">
        <f t="shared" si="9"/>
        <v>Direct</v>
      </c>
      <c r="G1823" s="7" t="s">
        <v>2308</v>
      </c>
    </row>
    <row r="1824" spans="1:7" x14ac:dyDescent="0.2">
      <c r="A1824" s="6" t="s">
        <v>8</v>
      </c>
      <c r="B1824" s="7" t="s">
        <v>13</v>
      </c>
      <c r="C1824" s="7" t="s">
        <v>839</v>
      </c>
      <c r="D1824" s="7">
        <v>-1.2765624</v>
      </c>
      <c r="E1824" s="7">
        <v>-4.2041753999999996</v>
      </c>
      <c r="F1824" s="9" t="str">
        <f t="shared" si="9"/>
        <v>Direct</v>
      </c>
      <c r="G1824" s="7" t="s">
        <v>11</v>
      </c>
    </row>
    <row r="1825" spans="1:7" x14ac:dyDescent="0.2">
      <c r="A1825" s="6" t="s">
        <v>8</v>
      </c>
      <c r="B1825" s="7" t="s">
        <v>13</v>
      </c>
      <c r="C1825" s="7" t="s">
        <v>2309</v>
      </c>
      <c r="D1825" s="7">
        <v>-1.3099007</v>
      </c>
      <c r="E1825" s="7">
        <v>-2.720002</v>
      </c>
      <c r="F1825" s="9" t="str">
        <f t="shared" si="9"/>
        <v>Direct</v>
      </c>
      <c r="G1825" s="7" t="s">
        <v>11</v>
      </c>
    </row>
    <row r="1826" spans="1:7" x14ac:dyDescent="0.2">
      <c r="A1826" s="6" t="s">
        <v>8</v>
      </c>
      <c r="B1826" s="7" t="s">
        <v>13</v>
      </c>
      <c r="C1826" s="7" t="s">
        <v>2310</v>
      </c>
      <c r="D1826" s="7">
        <v>1.3572566100000001</v>
      </c>
      <c r="E1826" s="7">
        <v>8.3299881800000009</v>
      </c>
      <c r="F1826" s="9" t="str">
        <f t="shared" si="9"/>
        <v>Direct</v>
      </c>
      <c r="G1826" s="7" t="s">
        <v>11</v>
      </c>
    </row>
    <row r="1827" spans="1:7" x14ac:dyDescent="0.2">
      <c r="A1827" s="6" t="s">
        <v>8</v>
      </c>
      <c r="B1827" s="7" t="s">
        <v>13</v>
      </c>
      <c r="C1827" s="7" t="s">
        <v>2311</v>
      </c>
      <c r="D1827" s="7">
        <v>1.4359601399999999</v>
      </c>
      <c r="E1827" s="7">
        <v>4.3303526899999998</v>
      </c>
      <c r="F1827" s="9" t="str">
        <f t="shared" si="9"/>
        <v>Direct</v>
      </c>
      <c r="G1827" s="7" t="s">
        <v>11</v>
      </c>
    </row>
    <row r="1828" spans="1:7" x14ac:dyDescent="0.2">
      <c r="A1828" s="6" t="s">
        <v>8</v>
      </c>
      <c r="B1828" s="7" t="s">
        <v>13</v>
      </c>
      <c r="C1828" s="7" t="s">
        <v>2312</v>
      </c>
      <c r="D1828" s="7">
        <v>-1.4862375999999999</v>
      </c>
      <c r="E1828" s="7">
        <v>-1.3598896</v>
      </c>
      <c r="F1828" s="9" t="str">
        <f t="shared" si="9"/>
        <v>Direct</v>
      </c>
      <c r="G1828" s="7" t="s">
        <v>11</v>
      </c>
    </row>
    <row r="1829" spans="1:7" x14ac:dyDescent="0.2">
      <c r="A1829" s="6" t="s">
        <v>8</v>
      </c>
      <c r="B1829" s="7" t="s">
        <v>13</v>
      </c>
      <c r="C1829" s="7" t="s">
        <v>2313</v>
      </c>
      <c r="D1829" s="7">
        <v>-2.0631309999999998</v>
      </c>
      <c r="E1829" s="7">
        <v>-5.3152720999999996</v>
      </c>
      <c r="F1829" s="9" t="str">
        <f t="shared" si="9"/>
        <v>Direct</v>
      </c>
      <c r="G1829" s="7" t="s">
        <v>11</v>
      </c>
    </row>
    <row r="1830" spans="1:7" x14ac:dyDescent="0.2">
      <c r="A1830" s="6" t="s">
        <v>8</v>
      </c>
      <c r="B1830" s="7" t="s">
        <v>13</v>
      </c>
      <c r="C1830" s="7" t="s">
        <v>2314</v>
      </c>
      <c r="D1830" s="7">
        <v>1.04511811</v>
      </c>
      <c r="E1830" s="7">
        <v>5.7076246199999998</v>
      </c>
      <c r="F1830" s="9" t="str">
        <f t="shared" si="9"/>
        <v>Direct</v>
      </c>
      <c r="G1830" s="7" t="s">
        <v>2315</v>
      </c>
    </row>
    <row r="1831" spans="1:7" x14ac:dyDescent="0.2">
      <c r="A1831" s="6" t="s">
        <v>8</v>
      </c>
      <c r="B1831" s="7" t="s">
        <v>13</v>
      </c>
      <c r="C1831" s="7" t="s">
        <v>2316</v>
      </c>
      <c r="D1831" s="7">
        <v>-1.2795563000000001</v>
      </c>
      <c r="E1831" s="7">
        <v>-1.1416647</v>
      </c>
      <c r="F1831" s="9" t="str">
        <f t="shared" si="9"/>
        <v>Direct</v>
      </c>
      <c r="G1831" s="7" t="s">
        <v>2317</v>
      </c>
    </row>
    <row r="1832" spans="1:7" x14ac:dyDescent="0.2">
      <c r="A1832" s="6" t="s">
        <v>8</v>
      </c>
      <c r="B1832" s="7" t="s">
        <v>13</v>
      </c>
      <c r="C1832" s="7" t="s">
        <v>2318</v>
      </c>
      <c r="D1832" s="7">
        <v>-1.3407686000000001</v>
      </c>
      <c r="E1832" s="7">
        <v>-2.3492609</v>
      </c>
      <c r="F1832" s="9" t="str">
        <f t="shared" si="9"/>
        <v>Direct</v>
      </c>
      <c r="G1832" s="7" t="s">
        <v>11</v>
      </c>
    </row>
    <row r="1833" spans="1:7" x14ac:dyDescent="0.2">
      <c r="A1833" s="6" t="s">
        <v>8</v>
      </c>
      <c r="B1833" s="7" t="s">
        <v>13</v>
      </c>
      <c r="C1833" s="7" t="s">
        <v>2319</v>
      </c>
      <c r="D1833" s="7">
        <v>-1.0888654</v>
      </c>
      <c r="E1833" s="7">
        <v>-1.350328</v>
      </c>
      <c r="F1833" s="9" t="str">
        <f t="shared" si="9"/>
        <v>Direct</v>
      </c>
      <c r="G1833" s="7" t="s">
        <v>11</v>
      </c>
    </row>
    <row r="1834" spans="1:7" x14ac:dyDescent="0.2">
      <c r="A1834" s="6" t="s">
        <v>8</v>
      </c>
      <c r="B1834" s="7" t="s">
        <v>13</v>
      </c>
      <c r="C1834" s="7" t="s">
        <v>2320</v>
      </c>
      <c r="D1834" s="7">
        <v>1.63843009</v>
      </c>
      <c r="E1834" s="7">
        <v>3.8430436000000001</v>
      </c>
      <c r="F1834" s="9" t="str">
        <f t="shared" si="9"/>
        <v>Direct</v>
      </c>
      <c r="G1834" s="7" t="s">
        <v>11</v>
      </c>
    </row>
    <row r="1835" spans="1:7" x14ac:dyDescent="0.2">
      <c r="A1835" s="6" t="s">
        <v>8</v>
      </c>
      <c r="B1835" s="7" t="s">
        <v>13</v>
      </c>
      <c r="C1835" s="7" t="s">
        <v>2321</v>
      </c>
      <c r="D1835" s="7">
        <v>2.0806094900000001</v>
      </c>
      <c r="E1835" s="7">
        <v>2.6095042899999998</v>
      </c>
      <c r="F1835" s="9" t="str">
        <f t="shared" si="9"/>
        <v>Direct</v>
      </c>
      <c r="G1835" s="7" t="s">
        <v>11</v>
      </c>
    </row>
    <row r="1836" spans="1:7" x14ac:dyDescent="0.2">
      <c r="A1836" s="6" t="s">
        <v>8</v>
      </c>
      <c r="B1836" s="7" t="s">
        <v>13</v>
      </c>
      <c r="C1836" s="7" t="s">
        <v>846</v>
      </c>
      <c r="D1836" s="7">
        <v>2.51725435</v>
      </c>
      <c r="E1836" s="7">
        <v>3.4235467800000001</v>
      </c>
      <c r="F1836" s="9" t="str">
        <f t="shared" si="9"/>
        <v>Direct</v>
      </c>
      <c r="G1836" s="7" t="s">
        <v>847</v>
      </c>
    </row>
    <row r="1837" spans="1:7" x14ac:dyDescent="0.2">
      <c r="A1837" s="6" t="s">
        <v>8</v>
      </c>
      <c r="B1837" s="7" t="s">
        <v>13</v>
      </c>
      <c r="C1837" s="7" t="s">
        <v>2322</v>
      </c>
      <c r="D1837" s="7">
        <v>-1.106905</v>
      </c>
      <c r="E1837" s="7">
        <v>-2.0807392999999998</v>
      </c>
      <c r="F1837" s="9" t="str">
        <f t="shared" si="9"/>
        <v>Direct</v>
      </c>
      <c r="G1837" s="7" t="s">
        <v>2323</v>
      </c>
    </row>
    <row r="1838" spans="1:7" x14ac:dyDescent="0.2">
      <c r="A1838" s="6" t="s">
        <v>8</v>
      </c>
      <c r="B1838" s="7" t="s">
        <v>13</v>
      </c>
      <c r="C1838" s="7" t="s">
        <v>2324</v>
      </c>
      <c r="D1838" s="7">
        <v>3.1919053399999999</v>
      </c>
      <c r="E1838" s="7">
        <v>3.5924444699999998</v>
      </c>
      <c r="F1838" s="9" t="str">
        <f t="shared" si="9"/>
        <v>Direct</v>
      </c>
      <c r="G1838" s="7" t="s">
        <v>2325</v>
      </c>
    </row>
    <row r="1839" spans="1:7" x14ac:dyDescent="0.2">
      <c r="A1839" s="6" t="s">
        <v>8</v>
      </c>
      <c r="B1839" s="7" t="s">
        <v>13</v>
      </c>
      <c r="C1839" s="7" t="s">
        <v>853</v>
      </c>
      <c r="D1839" s="7">
        <v>-4.0970491000000004</v>
      </c>
      <c r="E1839" s="7">
        <v>-2.5054444999999999</v>
      </c>
      <c r="F1839" s="9" t="str">
        <f t="shared" si="9"/>
        <v>Direct</v>
      </c>
      <c r="G1839" s="7" t="s">
        <v>11</v>
      </c>
    </row>
    <row r="1840" spans="1:7" x14ac:dyDescent="0.2">
      <c r="A1840" s="6" t="s">
        <v>8</v>
      </c>
      <c r="B1840" s="7" t="s">
        <v>13</v>
      </c>
      <c r="C1840" s="7" t="s">
        <v>2326</v>
      </c>
      <c r="D1840" s="7">
        <v>-1.2253156000000001</v>
      </c>
      <c r="E1840" s="7">
        <v>-1.1319178000000001</v>
      </c>
      <c r="F1840" s="9" t="str">
        <f t="shared" si="9"/>
        <v>Direct</v>
      </c>
      <c r="G1840" s="7" t="s">
        <v>11</v>
      </c>
    </row>
    <row r="1841" spans="1:7" x14ac:dyDescent="0.2">
      <c r="A1841" s="6" t="s">
        <v>8</v>
      </c>
      <c r="B1841" s="7" t="s">
        <v>13</v>
      </c>
      <c r="C1841" s="7" t="s">
        <v>854</v>
      </c>
      <c r="D1841" s="7">
        <v>3.0820901100000002</v>
      </c>
      <c r="E1841" s="7">
        <v>2.32144284</v>
      </c>
      <c r="F1841" s="9" t="str">
        <f t="shared" si="9"/>
        <v>Direct</v>
      </c>
      <c r="G1841" s="7" t="s">
        <v>855</v>
      </c>
    </row>
    <row r="1842" spans="1:7" x14ac:dyDescent="0.2">
      <c r="A1842" s="6" t="s">
        <v>8</v>
      </c>
      <c r="B1842" s="7" t="s">
        <v>13</v>
      </c>
      <c r="C1842" s="7" t="s">
        <v>2327</v>
      </c>
      <c r="D1842" s="7">
        <v>-2.2336497</v>
      </c>
      <c r="E1842" s="7">
        <v>-6.1270543000000002</v>
      </c>
      <c r="F1842" s="9" t="str">
        <f t="shared" si="9"/>
        <v>Direct</v>
      </c>
      <c r="G1842" s="7" t="s">
        <v>11</v>
      </c>
    </row>
    <row r="1843" spans="1:7" x14ac:dyDescent="0.2">
      <c r="A1843" s="6" t="s">
        <v>8</v>
      </c>
      <c r="B1843" s="7" t="s">
        <v>13</v>
      </c>
      <c r="C1843" s="7" t="s">
        <v>856</v>
      </c>
      <c r="D1843" s="7">
        <v>1.59448021</v>
      </c>
      <c r="E1843" s="7">
        <v>2.2256457599999999</v>
      </c>
      <c r="F1843" s="9" t="str">
        <f t="shared" si="9"/>
        <v>Direct</v>
      </c>
      <c r="G1843" s="7" t="s">
        <v>857</v>
      </c>
    </row>
    <row r="1844" spans="1:7" x14ac:dyDescent="0.2">
      <c r="A1844" s="6" t="s">
        <v>8</v>
      </c>
      <c r="B1844" s="7" t="s">
        <v>13</v>
      </c>
      <c r="C1844" s="7" t="s">
        <v>859</v>
      </c>
      <c r="D1844" s="7">
        <v>2.8651066300000001</v>
      </c>
      <c r="E1844" s="7">
        <v>11.3760157</v>
      </c>
      <c r="F1844" s="9" t="str">
        <f t="shared" si="9"/>
        <v>Direct</v>
      </c>
      <c r="G1844" s="7" t="s">
        <v>11</v>
      </c>
    </row>
    <row r="1845" spans="1:7" x14ac:dyDescent="0.2">
      <c r="A1845" s="6" t="s">
        <v>8</v>
      </c>
      <c r="B1845" s="7" t="s">
        <v>13</v>
      </c>
      <c r="C1845" s="7" t="s">
        <v>2328</v>
      </c>
      <c r="D1845" s="7">
        <v>2.55674329</v>
      </c>
      <c r="E1845" s="7">
        <v>1.68319277</v>
      </c>
      <c r="F1845" s="9" t="str">
        <f t="shared" si="9"/>
        <v>Direct</v>
      </c>
      <c r="G1845" s="7" t="s">
        <v>11</v>
      </c>
    </row>
    <row r="1846" spans="1:7" x14ac:dyDescent="0.2">
      <c r="A1846" s="6" t="s">
        <v>8</v>
      </c>
      <c r="B1846" s="7" t="s">
        <v>13</v>
      </c>
      <c r="C1846" s="7" t="s">
        <v>2329</v>
      </c>
      <c r="D1846" s="7">
        <v>1.05424092</v>
      </c>
      <c r="E1846" s="7">
        <v>2.4131492699999999</v>
      </c>
      <c r="F1846" s="9" t="str">
        <f t="shared" si="9"/>
        <v>Direct</v>
      </c>
      <c r="G1846" s="7" t="s">
        <v>2330</v>
      </c>
    </row>
    <row r="1847" spans="1:7" x14ac:dyDescent="0.2">
      <c r="A1847" s="6" t="s">
        <v>8</v>
      </c>
      <c r="B1847" s="7" t="s">
        <v>13</v>
      </c>
      <c r="C1847" s="7" t="s">
        <v>860</v>
      </c>
      <c r="D1847" s="7">
        <v>2.06603256</v>
      </c>
      <c r="E1847" s="7">
        <v>1.80493511</v>
      </c>
      <c r="F1847" s="9" t="str">
        <f t="shared" si="9"/>
        <v>Direct</v>
      </c>
      <c r="G1847" s="7" t="s">
        <v>861</v>
      </c>
    </row>
    <row r="1848" spans="1:7" x14ac:dyDescent="0.2">
      <c r="A1848" s="6" t="s">
        <v>8</v>
      </c>
      <c r="B1848" s="7" t="s">
        <v>13</v>
      </c>
      <c r="C1848" s="7" t="s">
        <v>2331</v>
      </c>
      <c r="D1848" s="7">
        <v>1.0587641299999999</v>
      </c>
      <c r="E1848" s="7">
        <v>2.8703227600000001</v>
      </c>
      <c r="F1848" s="9" t="str">
        <f t="shared" si="9"/>
        <v>Direct</v>
      </c>
      <c r="G1848" s="7" t="s">
        <v>2332</v>
      </c>
    </row>
    <row r="1849" spans="1:7" x14ac:dyDescent="0.2">
      <c r="A1849" s="6" t="s">
        <v>8</v>
      </c>
      <c r="B1849" s="7" t="s">
        <v>13</v>
      </c>
      <c r="C1849" s="7" t="s">
        <v>2333</v>
      </c>
      <c r="D1849" s="7">
        <v>-1.3954082000000001</v>
      </c>
      <c r="E1849" s="7">
        <v>-2.5782254</v>
      </c>
      <c r="F1849" s="9" t="str">
        <f t="shared" si="9"/>
        <v>Direct</v>
      </c>
      <c r="G1849" s="7" t="s">
        <v>581</v>
      </c>
    </row>
    <row r="1850" spans="1:7" x14ac:dyDescent="0.2">
      <c r="A1850" s="6" t="s">
        <v>8</v>
      </c>
      <c r="B1850" s="7" t="s">
        <v>13</v>
      </c>
      <c r="C1850" s="7" t="s">
        <v>2334</v>
      </c>
      <c r="D1850" s="7">
        <v>1.3906998399999999</v>
      </c>
      <c r="E1850" s="7">
        <v>6.9424189099999998</v>
      </c>
      <c r="F1850" s="9" t="str">
        <f t="shared" si="9"/>
        <v>Direct</v>
      </c>
      <c r="G1850" s="7" t="s">
        <v>1913</v>
      </c>
    </row>
    <row r="1851" spans="1:7" x14ac:dyDescent="0.2">
      <c r="A1851" s="6" t="s">
        <v>8</v>
      </c>
      <c r="B1851" s="7" t="s">
        <v>13</v>
      </c>
      <c r="C1851" s="7" t="s">
        <v>862</v>
      </c>
      <c r="D1851" s="7">
        <v>-4.3632255999999998</v>
      </c>
      <c r="E1851" s="7">
        <v>-4.2382197000000001</v>
      </c>
      <c r="F1851" s="9" t="str">
        <f t="shared" si="9"/>
        <v>Direct</v>
      </c>
      <c r="G1851" s="7" t="s">
        <v>863</v>
      </c>
    </row>
    <row r="1852" spans="1:7" x14ac:dyDescent="0.2">
      <c r="A1852" s="6" t="s">
        <v>8</v>
      </c>
      <c r="B1852" s="7" t="s">
        <v>13</v>
      </c>
      <c r="C1852" s="7" t="s">
        <v>2335</v>
      </c>
      <c r="D1852" s="7">
        <v>-1.6905422000000001</v>
      </c>
      <c r="E1852" s="7">
        <v>-1.5492026999999999</v>
      </c>
      <c r="F1852" s="9" t="str">
        <f t="shared" si="9"/>
        <v>Direct</v>
      </c>
      <c r="G1852" s="7" t="s">
        <v>2336</v>
      </c>
    </row>
    <row r="1853" spans="1:7" x14ac:dyDescent="0.2">
      <c r="A1853" s="6" t="s">
        <v>8</v>
      </c>
      <c r="B1853" s="7" t="s">
        <v>13</v>
      </c>
      <c r="C1853" s="7" t="s">
        <v>864</v>
      </c>
      <c r="D1853" s="7">
        <v>-2.0996864</v>
      </c>
      <c r="E1853" s="7">
        <v>-10.352499999999999</v>
      </c>
      <c r="F1853" s="9" t="str">
        <f t="shared" si="9"/>
        <v>Direct</v>
      </c>
      <c r="G1853" s="7" t="s">
        <v>865</v>
      </c>
    </row>
    <row r="1854" spans="1:7" x14ac:dyDescent="0.2">
      <c r="A1854" s="6" t="s">
        <v>8</v>
      </c>
      <c r="B1854" s="7" t="s">
        <v>13</v>
      </c>
      <c r="C1854" s="7" t="s">
        <v>868</v>
      </c>
      <c r="D1854" s="7">
        <v>1.0009172200000001</v>
      </c>
      <c r="E1854" s="7">
        <v>1.97612382</v>
      </c>
      <c r="F1854" s="9" t="str">
        <f t="shared" si="9"/>
        <v>Direct</v>
      </c>
      <c r="G1854" s="7" t="s">
        <v>11</v>
      </c>
    </row>
    <row r="1855" spans="1:7" x14ac:dyDescent="0.2">
      <c r="A1855" s="6" t="s">
        <v>8</v>
      </c>
      <c r="B1855" s="7" t="s">
        <v>13</v>
      </c>
      <c r="C1855" s="7" t="s">
        <v>869</v>
      </c>
      <c r="D1855" s="7">
        <v>4.0247528299999997</v>
      </c>
      <c r="E1855" s="7">
        <v>9.7481093300000001</v>
      </c>
      <c r="F1855" s="9" t="str">
        <f t="shared" si="9"/>
        <v>Direct</v>
      </c>
      <c r="G1855" s="7" t="s">
        <v>870</v>
      </c>
    </row>
    <row r="1856" spans="1:7" x14ac:dyDescent="0.2">
      <c r="A1856" s="6" t="s">
        <v>8</v>
      </c>
      <c r="B1856" s="7" t="s">
        <v>13</v>
      </c>
      <c r="C1856" s="7" t="s">
        <v>871</v>
      </c>
      <c r="D1856" s="7">
        <v>1.34076861</v>
      </c>
      <c r="E1856" s="7">
        <v>2.98168218</v>
      </c>
      <c r="F1856" s="9" t="str">
        <f t="shared" si="9"/>
        <v>Direct</v>
      </c>
      <c r="G1856" s="7" t="s">
        <v>872</v>
      </c>
    </row>
    <row r="1857" spans="1:7" x14ac:dyDescent="0.2">
      <c r="A1857" s="6" t="s">
        <v>8</v>
      </c>
      <c r="B1857" s="7" t="s">
        <v>13</v>
      </c>
      <c r="C1857" s="7" t="s">
        <v>2337</v>
      </c>
      <c r="D1857" s="7">
        <v>1.8735169599999999</v>
      </c>
      <c r="E1857" s="7">
        <v>13.308389999999999</v>
      </c>
      <c r="F1857" s="9" t="str">
        <f t="shared" si="9"/>
        <v>Direct</v>
      </c>
      <c r="G1857" s="7" t="s">
        <v>2338</v>
      </c>
    </row>
    <row r="1858" spans="1:7" x14ac:dyDescent="0.2">
      <c r="A1858" s="6" t="s">
        <v>8</v>
      </c>
      <c r="B1858" s="7" t="s">
        <v>13</v>
      </c>
      <c r="C1858" s="7" t="s">
        <v>874</v>
      </c>
      <c r="D1858" s="7">
        <v>-1.5041909</v>
      </c>
      <c r="E1858" s="7">
        <v>-2.1568105000000002</v>
      </c>
      <c r="F1858" s="9" t="str">
        <f t="shared" si="9"/>
        <v>Direct</v>
      </c>
      <c r="G1858" s="7" t="s">
        <v>875</v>
      </c>
    </row>
    <row r="1859" spans="1:7" x14ac:dyDescent="0.2">
      <c r="A1859" s="6" t="s">
        <v>8</v>
      </c>
      <c r="B1859" s="7" t="s">
        <v>13</v>
      </c>
      <c r="C1859" s="7" t="s">
        <v>2339</v>
      </c>
      <c r="D1859" s="7">
        <v>1.0511442600000001</v>
      </c>
      <c r="E1859" s="7">
        <v>2.3967147500000001</v>
      </c>
      <c r="F1859" s="9" t="str">
        <f t="shared" si="9"/>
        <v>Direct</v>
      </c>
      <c r="G1859" s="7" t="s">
        <v>11</v>
      </c>
    </row>
    <row r="1860" spans="1:7" x14ac:dyDescent="0.2">
      <c r="A1860" s="6" t="s">
        <v>8</v>
      </c>
      <c r="B1860" s="7" t="s">
        <v>13</v>
      </c>
      <c r="C1860" s="7" t="s">
        <v>2340</v>
      </c>
      <c r="D1860" s="7">
        <v>1.96104148</v>
      </c>
      <c r="E1860" s="7">
        <v>3.8430436000000001</v>
      </c>
      <c r="F1860" s="9" t="str">
        <f t="shared" si="9"/>
        <v>Direct</v>
      </c>
      <c r="G1860" s="7" t="s">
        <v>1818</v>
      </c>
    </row>
    <row r="1861" spans="1:7" x14ac:dyDescent="0.2">
      <c r="A1861" s="6" t="s">
        <v>8</v>
      </c>
      <c r="B1861" s="7" t="s">
        <v>13</v>
      </c>
      <c r="C1861" s="7" t="s">
        <v>2341</v>
      </c>
      <c r="D1861" s="7">
        <v>1.1964494299999999</v>
      </c>
      <c r="E1861" s="7">
        <v>1.8951125099999999</v>
      </c>
      <c r="F1861" s="9" t="str">
        <f t="shared" si="9"/>
        <v>Direct</v>
      </c>
      <c r="G1861" s="7" t="s">
        <v>11</v>
      </c>
    </row>
    <row r="1862" spans="1:7" x14ac:dyDescent="0.2">
      <c r="A1862" s="6" t="s">
        <v>8</v>
      </c>
      <c r="B1862" s="7" t="s">
        <v>13</v>
      </c>
      <c r="C1862" s="7" t="s">
        <v>876</v>
      </c>
      <c r="D1862" s="7">
        <v>2.1095483100000001</v>
      </c>
      <c r="E1862" s="7">
        <v>5.2220570500000001</v>
      </c>
      <c r="F1862" s="9" t="str">
        <f t="shared" si="9"/>
        <v>Direct</v>
      </c>
      <c r="G1862" s="7" t="s">
        <v>877</v>
      </c>
    </row>
    <row r="1863" spans="1:7" x14ac:dyDescent="0.2">
      <c r="A1863" s="6" t="s">
        <v>8</v>
      </c>
      <c r="B1863" s="7" t="s">
        <v>13</v>
      </c>
      <c r="C1863" s="7" t="s">
        <v>2342</v>
      </c>
      <c r="D1863" s="7">
        <v>-1.2405382</v>
      </c>
      <c r="E1863" s="7">
        <v>-3.1258811999999998</v>
      </c>
      <c r="F1863" s="9" t="str">
        <f t="shared" si="9"/>
        <v>Direct</v>
      </c>
      <c r="G1863" s="7" t="s">
        <v>11</v>
      </c>
    </row>
    <row r="1864" spans="1:7" x14ac:dyDescent="0.2">
      <c r="A1864" s="6" t="s">
        <v>8</v>
      </c>
      <c r="B1864" s="7" t="s">
        <v>13</v>
      </c>
      <c r="C1864" s="7" t="s">
        <v>2343</v>
      </c>
      <c r="D1864" s="7">
        <v>1.3430784499999999</v>
      </c>
      <c r="E1864" s="7">
        <v>2.2913369000000001</v>
      </c>
      <c r="F1864" s="9" t="str">
        <f t="shared" si="9"/>
        <v>Direct</v>
      </c>
      <c r="G1864" s="7" t="s">
        <v>11</v>
      </c>
    </row>
    <row r="1865" spans="1:7" x14ac:dyDescent="0.2">
      <c r="A1865" s="6" t="s">
        <v>8</v>
      </c>
      <c r="B1865" s="7" t="s">
        <v>13</v>
      </c>
      <c r="C1865" s="7" t="s">
        <v>2344</v>
      </c>
      <c r="D1865" s="7">
        <v>-1.1701967</v>
      </c>
      <c r="E1865" s="7">
        <v>-1.4950843</v>
      </c>
      <c r="F1865" s="9" t="str">
        <f t="shared" si="9"/>
        <v>Direct</v>
      </c>
      <c r="G1865" s="7" t="s">
        <v>2345</v>
      </c>
    </row>
    <row r="1866" spans="1:7" x14ac:dyDescent="0.2">
      <c r="A1866" s="6" t="s">
        <v>8</v>
      </c>
      <c r="B1866" s="7" t="s">
        <v>13</v>
      </c>
      <c r="C1866" s="7" t="s">
        <v>2346</v>
      </c>
      <c r="D1866" s="7">
        <v>-1.5228092</v>
      </c>
      <c r="E1866" s="7">
        <v>-6.6630839000000002</v>
      </c>
      <c r="F1866" s="9" t="str">
        <f t="shared" si="9"/>
        <v>Direct</v>
      </c>
      <c r="G1866" s="7" t="s">
        <v>11</v>
      </c>
    </row>
    <row r="1867" spans="1:7" x14ac:dyDescent="0.2">
      <c r="A1867" s="6" t="s">
        <v>8</v>
      </c>
      <c r="B1867" s="7" t="s">
        <v>13</v>
      </c>
      <c r="C1867" s="7" t="s">
        <v>2347</v>
      </c>
      <c r="D1867" s="7">
        <v>-1.051863</v>
      </c>
      <c r="E1867" s="7">
        <v>-10.009833</v>
      </c>
      <c r="F1867" s="9" t="str">
        <f t="shared" si="9"/>
        <v>Direct</v>
      </c>
      <c r="G1867" s="7" t="s">
        <v>2348</v>
      </c>
    </row>
    <row r="1868" spans="1:7" x14ac:dyDescent="0.2">
      <c r="A1868" s="6" t="s">
        <v>8</v>
      </c>
      <c r="B1868" s="7" t="s">
        <v>13</v>
      </c>
      <c r="C1868" s="7" t="s">
        <v>2349</v>
      </c>
      <c r="D1868" s="7">
        <v>-1.7651686</v>
      </c>
      <c r="E1868" s="7">
        <v>-9.5935436000000003</v>
      </c>
      <c r="F1868" s="9" t="str">
        <f t="shared" si="9"/>
        <v>Direct</v>
      </c>
      <c r="G1868" s="7" t="s">
        <v>248</v>
      </c>
    </row>
    <row r="1869" spans="1:7" x14ac:dyDescent="0.2">
      <c r="A1869" s="6" t="s">
        <v>8</v>
      </c>
      <c r="B1869" s="7" t="s">
        <v>13</v>
      </c>
      <c r="C1869" s="7" t="s">
        <v>2350</v>
      </c>
      <c r="D1869" s="7">
        <v>-1.7408729999999999</v>
      </c>
      <c r="E1869" s="7">
        <v>-10.909803</v>
      </c>
      <c r="F1869" s="9" t="str">
        <f t="shared" si="9"/>
        <v>Direct</v>
      </c>
      <c r="G1869" s="7" t="s">
        <v>2351</v>
      </c>
    </row>
    <row r="1870" spans="1:7" x14ac:dyDescent="0.2">
      <c r="A1870" s="6" t="s">
        <v>8</v>
      </c>
      <c r="B1870" s="7" t="s">
        <v>13</v>
      </c>
      <c r="C1870" s="7" t="s">
        <v>2352</v>
      </c>
      <c r="D1870" s="7">
        <v>-1.0764373</v>
      </c>
      <c r="E1870" s="7">
        <v>-4.9379089</v>
      </c>
      <c r="F1870" s="9" t="str">
        <f t="shared" si="9"/>
        <v>Direct</v>
      </c>
      <c r="G1870" s="7" t="s">
        <v>11</v>
      </c>
    </row>
    <row r="1871" spans="1:7" x14ac:dyDescent="0.2">
      <c r="A1871" s="6" t="s">
        <v>8</v>
      </c>
      <c r="B1871" s="7" t="s">
        <v>13</v>
      </c>
      <c r="C1871" s="7" t="s">
        <v>2353</v>
      </c>
      <c r="D1871" s="7">
        <v>2.7733463299999999</v>
      </c>
      <c r="E1871" s="7">
        <v>1.2284975199999999</v>
      </c>
      <c r="F1871" s="9" t="str">
        <f t="shared" si="9"/>
        <v>Direct</v>
      </c>
      <c r="G1871" s="7" t="s">
        <v>299</v>
      </c>
    </row>
    <row r="1872" spans="1:7" x14ac:dyDescent="0.2">
      <c r="A1872" s="6" t="s">
        <v>8</v>
      </c>
      <c r="B1872" s="7" t="s">
        <v>13</v>
      </c>
      <c r="C1872" s="7" t="s">
        <v>2354</v>
      </c>
      <c r="D1872" s="7">
        <v>-1.2940543</v>
      </c>
      <c r="E1872" s="7">
        <v>-1.846662</v>
      </c>
      <c r="F1872" s="9" t="str">
        <f t="shared" si="9"/>
        <v>Direct</v>
      </c>
      <c r="G1872" s="7" t="s">
        <v>2355</v>
      </c>
    </row>
    <row r="1873" spans="1:7" x14ac:dyDescent="0.2">
      <c r="A1873" s="6" t="s">
        <v>8</v>
      </c>
      <c r="B1873" s="7" t="s">
        <v>13</v>
      </c>
      <c r="C1873" s="7" t="s">
        <v>2356</v>
      </c>
      <c r="D1873" s="7">
        <v>1.8705547600000001</v>
      </c>
      <c r="E1873" s="7">
        <v>2.06942972</v>
      </c>
      <c r="F1873" s="9" t="str">
        <f t="shared" si="9"/>
        <v>Direct</v>
      </c>
      <c r="G1873" s="7" t="s">
        <v>58</v>
      </c>
    </row>
    <row r="1874" spans="1:7" x14ac:dyDescent="0.2">
      <c r="A1874" s="6" t="s">
        <v>8</v>
      </c>
      <c r="B1874" s="7" t="s">
        <v>13</v>
      </c>
      <c r="C1874" s="7" t="s">
        <v>2357</v>
      </c>
      <c r="D1874" s="7">
        <v>-1.2180801999999999</v>
      </c>
      <c r="E1874" s="7">
        <v>-11.808094000000001</v>
      </c>
      <c r="F1874" s="9" t="str">
        <f t="shared" si="9"/>
        <v>Direct</v>
      </c>
      <c r="G1874" s="7" t="s">
        <v>248</v>
      </c>
    </row>
    <row r="1875" spans="1:7" x14ac:dyDescent="0.2">
      <c r="A1875" s="6" t="s">
        <v>8</v>
      </c>
      <c r="B1875" s="7" t="s">
        <v>13</v>
      </c>
      <c r="C1875" s="7" t="s">
        <v>2358</v>
      </c>
      <c r="D1875" s="7">
        <v>-1.2582222999999999</v>
      </c>
      <c r="E1875" s="7">
        <v>-2.0213223</v>
      </c>
      <c r="F1875" s="9" t="str">
        <f t="shared" si="9"/>
        <v>Direct</v>
      </c>
      <c r="G1875" s="7" t="s">
        <v>11</v>
      </c>
    </row>
    <row r="1876" spans="1:7" x14ac:dyDescent="0.2">
      <c r="A1876" s="6" t="s">
        <v>8</v>
      </c>
      <c r="B1876" s="7" t="s">
        <v>13</v>
      </c>
      <c r="C1876" s="7" t="s">
        <v>879</v>
      </c>
      <c r="D1876" s="7">
        <v>1.2795563299999999</v>
      </c>
      <c r="E1876" s="7">
        <v>1.6227561399999999</v>
      </c>
      <c r="F1876" s="9" t="str">
        <f t="shared" si="9"/>
        <v>Direct</v>
      </c>
      <c r="G1876" s="7" t="s">
        <v>880</v>
      </c>
    </row>
    <row r="1877" spans="1:7" x14ac:dyDescent="0.2">
      <c r="A1877" s="6" t="s">
        <v>8</v>
      </c>
      <c r="B1877" s="7" t="s">
        <v>13</v>
      </c>
      <c r="C1877" s="7" t="s">
        <v>881</v>
      </c>
      <c r="D1877" s="7">
        <v>1.41041064</v>
      </c>
      <c r="E1877" s="7">
        <v>-2.3828998000000001</v>
      </c>
      <c r="F1877" s="9" t="str">
        <f t="shared" si="9"/>
        <v>Inverse</v>
      </c>
      <c r="G1877" s="7" t="s">
        <v>58</v>
      </c>
    </row>
    <row r="1878" spans="1:7" x14ac:dyDescent="0.2">
      <c r="A1878" s="6" t="s">
        <v>8</v>
      </c>
      <c r="B1878" s="7" t="s">
        <v>13</v>
      </c>
      <c r="C1878" s="7" t="s">
        <v>2359</v>
      </c>
      <c r="D1878" s="7">
        <v>1.1050749799999999</v>
      </c>
      <c r="E1878" s="7">
        <v>2.0873363500000002</v>
      </c>
      <c r="F1878" s="9" t="str">
        <f t="shared" si="9"/>
        <v>Direct</v>
      </c>
      <c r="G1878" s="7" t="s">
        <v>2360</v>
      </c>
    </row>
    <row r="1879" spans="1:7" x14ac:dyDescent="0.2">
      <c r="A1879" s="6" t="s">
        <v>8</v>
      </c>
      <c r="B1879" s="7" t="s">
        <v>13</v>
      </c>
      <c r="C1879" s="7" t="s">
        <v>2361</v>
      </c>
      <c r="D1879" s="7">
        <v>-1.0552143</v>
      </c>
      <c r="E1879" s="7">
        <v>-1.1967753000000001</v>
      </c>
      <c r="F1879" s="9" t="str">
        <f t="shared" si="9"/>
        <v>Direct</v>
      </c>
      <c r="G1879" s="7" t="s">
        <v>716</v>
      </c>
    </row>
    <row r="1880" spans="1:7" x14ac:dyDescent="0.2">
      <c r="A1880" s="6" t="s">
        <v>8</v>
      </c>
      <c r="B1880" s="7" t="s">
        <v>13</v>
      </c>
      <c r="C1880" s="7" t="s">
        <v>2362</v>
      </c>
      <c r="D1880" s="7">
        <v>1.9577126300000001</v>
      </c>
      <c r="E1880" s="7">
        <v>7.8901711399999996</v>
      </c>
      <c r="F1880" s="9" t="str">
        <f t="shared" si="9"/>
        <v>Direct</v>
      </c>
      <c r="G1880" s="7" t="s">
        <v>11</v>
      </c>
    </row>
    <row r="1881" spans="1:7" x14ac:dyDescent="0.2">
      <c r="A1881" s="6" t="s">
        <v>8</v>
      </c>
      <c r="B1881" s="7" t="s">
        <v>13</v>
      </c>
      <c r="C1881" s="7" t="s">
        <v>2363</v>
      </c>
      <c r="D1881" s="7">
        <v>1.1914062999999999</v>
      </c>
      <c r="E1881" s="7">
        <v>3.8343595399999999</v>
      </c>
      <c r="F1881" s="9" t="str">
        <f t="shared" si="9"/>
        <v>Direct</v>
      </c>
      <c r="G1881" s="7" t="s">
        <v>1404</v>
      </c>
    </row>
    <row r="1882" spans="1:7" x14ac:dyDescent="0.2">
      <c r="A1882" s="6" t="s">
        <v>8</v>
      </c>
      <c r="B1882" s="7" t="s">
        <v>13</v>
      </c>
      <c r="C1882" s="7" t="s">
        <v>885</v>
      </c>
      <c r="D1882" s="7">
        <v>4.0970490599999998</v>
      </c>
      <c r="E1882" s="7">
        <v>14.610932099999999</v>
      </c>
      <c r="F1882" s="9" t="str">
        <f t="shared" si="9"/>
        <v>Direct</v>
      </c>
      <c r="G1882" s="7" t="s">
        <v>886</v>
      </c>
    </row>
    <row r="1883" spans="1:7" x14ac:dyDescent="0.2">
      <c r="A1883" s="6" t="s">
        <v>8</v>
      </c>
      <c r="B1883" s="7" t="s">
        <v>13</v>
      </c>
      <c r="C1883" s="7" t="s">
        <v>2364</v>
      </c>
      <c r="D1883" s="7">
        <v>2.1392284300000002</v>
      </c>
      <c r="E1883" s="7">
        <v>2.0204805600000002</v>
      </c>
      <c r="F1883" s="9" t="str">
        <f t="shared" si="9"/>
        <v>Direct</v>
      </c>
      <c r="G1883" s="7" t="s">
        <v>11</v>
      </c>
    </row>
    <row r="1884" spans="1:7" x14ac:dyDescent="0.2">
      <c r="A1884" s="6" t="s">
        <v>8</v>
      </c>
      <c r="B1884" s="7" t="s">
        <v>13</v>
      </c>
      <c r="C1884" s="7" t="s">
        <v>2365</v>
      </c>
      <c r="D1884" s="7">
        <v>1.22406367</v>
      </c>
      <c r="E1884" s="7">
        <v>-1.5630975</v>
      </c>
      <c r="F1884" s="9" t="str">
        <f t="shared" si="9"/>
        <v>Inverse</v>
      </c>
      <c r="G1884" s="7" t="s">
        <v>2366</v>
      </c>
    </row>
    <row r="1885" spans="1:7" x14ac:dyDescent="0.2">
      <c r="A1885" s="6" t="s">
        <v>8</v>
      </c>
      <c r="B1885" s="7" t="s">
        <v>13</v>
      </c>
      <c r="C1885" s="7" t="s">
        <v>2367</v>
      </c>
      <c r="D1885" s="7">
        <v>1.53664651</v>
      </c>
      <c r="E1885" s="7">
        <v>-2.2385885999999999</v>
      </c>
      <c r="F1885" s="9" t="str">
        <f t="shared" si="9"/>
        <v>Inverse</v>
      </c>
      <c r="G1885" s="7" t="s">
        <v>2366</v>
      </c>
    </row>
    <row r="1886" spans="1:7" x14ac:dyDescent="0.2">
      <c r="A1886" s="6" t="s">
        <v>8</v>
      </c>
      <c r="B1886" s="7" t="s">
        <v>13</v>
      </c>
      <c r="C1886" s="7" t="s">
        <v>889</v>
      </c>
      <c r="D1886" s="7">
        <v>1.1069429200000001</v>
      </c>
      <c r="E1886" s="7">
        <v>1.73008929</v>
      </c>
      <c r="F1886" s="9" t="str">
        <f t="shared" si="9"/>
        <v>Direct</v>
      </c>
      <c r="G1886" s="7" t="s">
        <v>890</v>
      </c>
    </row>
    <row r="1887" spans="1:7" x14ac:dyDescent="0.2">
      <c r="A1887" s="6" t="s">
        <v>8</v>
      </c>
      <c r="B1887" s="7" t="s">
        <v>13</v>
      </c>
      <c r="C1887" s="7" t="s">
        <v>891</v>
      </c>
      <c r="D1887" s="7">
        <v>3.7828983599999999</v>
      </c>
      <c r="E1887" s="7">
        <v>15.6072869</v>
      </c>
      <c r="F1887" s="9" t="str">
        <f t="shared" si="9"/>
        <v>Direct</v>
      </c>
      <c r="G1887" s="7" t="s">
        <v>11</v>
      </c>
    </row>
    <row r="1888" spans="1:7" x14ac:dyDescent="0.2">
      <c r="A1888" s="6" t="s">
        <v>8</v>
      </c>
      <c r="B1888" s="7" t="s">
        <v>13</v>
      </c>
      <c r="C1888" s="7" t="s">
        <v>2368</v>
      </c>
      <c r="D1888" s="7">
        <v>2.8651066300000001</v>
      </c>
      <c r="E1888" s="7">
        <v>10.309813500000001</v>
      </c>
      <c r="F1888" s="9" t="str">
        <f t="shared" si="9"/>
        <v>Direct</v>
      </c>
      <c r="G1888" s="7" t="s">
        <v>432</v>
      </c>
    </row>
    <row r="1889" spans="1:7" x14ac:dyDescent="0.2">
      <c r="A1889" s="6" t="s">
        <v>8</v>
      </c>
      <c r="B1889" s="7" t="s">
        <v>13</v>
      </c>
      <c r="C1889" s="7" t="s">
        <v>2369</v>
      </c>
      <c r="D1889" s="7">
        <v>-1.0890253000000001</v>
      </c>
      <c r="E1889" s="7">
        <v>-5.1775706000000001</v>
      </c>
      <c r="F1889" s="9" t="str">
        <f t="shared" si="9"/>
        <v>Direct</v>
      </c>
      <c r="G1889" s="7" t="s">
        <v>432</v>
      </c>
    </row>
    <row r="1890" spans="1:7" x14ac:dyDescent="0.2">
      <c r="A1890" s="6" t="s">
        <v>8</v>
      </c>
      <c r="B1890" s="7" t="s">
        <v>13</v>
      </c>
      <c r="C1890" s="7" t="s">
        <v>2370</v>
      </c>
      <c r="D1890" s="7">
        <v>-1.6509801</v>
      </c>
      <c r="E1890" s="7">
        <v>-1.8433326000000001</v>
      </c>
      <c r="F1890" s="9" t="str">
        <f t="shared" si="9"/>
        <v>Direct</v>
      </c>
      <c r="G1890" s="7" t="s">
        <v>11</v>
      </c>
    </row>
    <row r="1891" spans="1:7" x14ac:dyDescent="0.2">
      <c r="A1891" s="6" t="s">
        <v>8</v>
      </c>
      <c r="B1891" s="7" t="s">
        <v>13</v>
      </c>
      <c r="C1891" s="7" t="s">
        <v>2371</v>
      </c>
      <c r="D1891" s="7">
        <v>-1.1562060000000001</v>
      </c>
      <c r="E1891" s="7">
        <v>-8.0453641000000005</v>
      </c>
      <c r="F1891" s="9" t="str">
        <f t="shared" si="9"/>
        <v>Direct</v>
      </c>
      <c r="G1891" s="7" t="s">
        <v>2348</v>
      </c>
    </row>
    <row r="1892" spans="1:7" x14ac:dyDescent="0.2">
      <c r="A1892" s="6" t="s">
        <v>8</v>
      </c>
      <c r="B1892" s="7" t="s">
        <v>13</v>
      </c>
      <c r="C1892" s="7" t="s">
        <v>2372</v>
      </c>
      <c r="D1892" s="7">
        <v>-1.6420326999999999</v>
      </c>
      <c r="E1892" s="7">
        <v>-1.8120700999999999</v>
      </c>
      <c r="F1892" s="9" t="str">
        <f t="shared" si="9"/>
        <v>Direct</v>
      </c>
      <c r="G1892" s="7" t="s">
        <v>11</v>
      </c>
    </row>
    <row r="1893" spans="1:7" x14ac:dyDescent="0.2">
      <c r="A1893" s="6" t="s">
        <v>8</v>
      </c>
      <c r="B1893" s="7" t="s">
        <v>13</v>
      </c>
      <c r="C1893" s="7" t="s">
        <v>893</v>
      </c>
      <c r="D1893" s="7">
        <v>-1.0366329999999999</v>
      </c>
      <c r="E1893" s="7">
        <v>-3.2942667000000001</v>
      </c>
      <c r="F1893" s="9" t="str">
        <f t="shared" si="9"/>
        <v>Direct</v>
      </c>
      <c r="G1893" s="7" t="s">
        <v>11</v>
      </c>
    </row>
    <row r="1894" spans="1:7" x14ac:dyDescent="0.2">
      <c r="A1894" s="6" t="s">
        <v>8</v>
      </c>
      <c r="B1894" s="7" t="s">
        <v>13</v>
      </c>
      <c r="C1894" s="7" t="s">
        <v>2373</v>
      </c>
      <c r="D1894" s="7">
        <v>1.59892751</v>
      </c>
      <c r="E1894" s="7">
        <v>1.3300149400000001</v>
      </c>
      <c r="F1894" s="9" t="str">
        <f t="shared" si="9"/>
        <v>Direct</v>
      </c>
      <c r="G1894" s="7" t="s">
        <v>11</v>
      </c>
    </row>
    <row r="1895" spans="1:7" x14ac:dyDescent="0.2">
      <c r="A1895" s="6" t="s">
        <v>8</v>
      </c>
      <c r="B1895" s="7" t="s">
        <v>13</v>
      </c>
      <c r="C1895" s="7" t="s">
        <v>2374</v>
      </c>
      <c r="D1895" s="7">
        <v>1.6962735900000001</v>
      </c>
      <c r="E1895" s="7">
        <v>4.0620857099999998</v>
      </c>
      <c r="F1895" s="9" t="str">
        <f t="shared" si="9"/>
        <v>Direct</v>
      </c>
      <c r="G1895" s="7" t="s">
        <v>11</v>
      </c>
    </row>
    <row r="1896" spans="1:7" x14ac:dyDescent="0.2">
      <c r="A1896" s="6" t="s">
        <v>8</v>
      </c>
      <c r="B1896" s="7" t="s">
        <v>13</v>
      </c>
      <c r="C1896" s="7" t="s">
        <v>2375</v>
      </c>
      <c r="D1896" s="7">
        <v>1.9289059799999999</v>
      </c>
      <c r="E1896" s="7">
        <v>4.0798884900000001</v>
      </c>
      <c r="F1896" s="9" t="str">
        <f t="shared" si="9"/>
        <v>Direct</v>
      </c>
      <c r="G1896" s="7" t="s">
        <v>11</v>
      </c>
    </row>
    <row r="1897" spans="1:7" x14ac:dyDescent="0.2">
      <c r="A1897" s="6" t="s">
        <v>8</v>
      </c>
      <c r="B1897" s="7" t="s">
        <v>13</v>
      </c>
      <c r="C1897" s="7" t="s">
        <v>2376</v>
      </c>
      <c r="D1897" s="7">
        <v>-1.4238173999999999</v>
      </c>
      <c r="E1897" s="7">
        <v>-1.7415122999999999</v>
      </c>
      <c r="F1897" s="9" t="str">
        <f t="shared" si="9"/>
        <v>Direct</v>
      </c>
      <c r="G1897" s="7" t="s">
        <v>11</v>
      </c>
    </row>
    <row r="1898" spans="1:7" x14ac:dyDescent="0.2">
      <c r="A1898" s="6" t="s">
        <v>8</v>
      </c>
      <c r="B1898" s="7" t="s">
        <v>13</v>
      </c>
      <c r="C1898" s="7" t="s">
        <v>2377</v>
      </c>
      <c r="D1898" s="7">
        <v>2.6480153</v>
      </c>
      <c r="E1898" s="7">
        <v>1.01985148</v>
      </c>
      <c r="F1898" s="9" t="str">
        <f t="shared" si="9"/>
        <v>Direct</v>
      </c>
      <c r="G1898" s="7" t="s">
        <v>11</v>
      </c>
    </row>
    <row r="1899" spans="1:7" x14ac:dyDescent="0.2">
      <c r="A1899" s="6" t="s">
        <v>8</v>
      </c>
      <c r="B1899" s="7" t="s">
        <v>13</v>
      </c>
      <c r="C1899" s="7" t="s">
        <v>2378</v>
      </c>
      <c r="D1899" s="7">
        <v>1.04822887</v>
      </c>
      <c r="E1899" s="7">
        <v>1.9483951900000001</v>
      </c>
      <c r="F1899" s="9" t="str">
        <f t="shared" si="9"/>
        <v>Direct</v>
      </c>
      <c r="G1899" s="7" t="s">
        <v>11</v>
      </c>
    </row>
    <row r="1900" spans="1:7" x14ac:dyDescent="0.2">
      <c r="A1900" s="6" t="s">
        <v>8</v>
      </c>
      <c r="B1900" s="7" t="s">
        <v>13</v>
      </c>
      <c r="C1900" s="7" t="s">
        <v>2379</v>
      </c>
      <c r="D1900" s="7">
        <v>1.82940758</v>
      </c>
      <c r="E1900" s="7">
        <v>2.5293713200000001</v>
      </c>
      <c r="F1900" s="9" t="str">
        <f t="shared" si="9"/>
        <v>Direct</v>
      </c>
      <c r="G1900" s="7" t="s">
        <v>2155</v>
      </c>
    </row>
    <row r="1901" spans="1:7" x14ac:dyDescent="0.2">
      <c r="A1901" s="6" t="s">
        <v>8</v>
      </c>
      <c r="B1901" s="7" t="s">
        <v>13</v>
      </c>
      <c r="C1901" s="7" t="s">
        <v>2380</v>
      </c>
      <c r="D1901" s="7">
        <v>4.78140711</v>
      </c>
      <c r="E1901" s="7">
        <v>6.3422461500000002</v>
      </c>
      <c r="F1901" s="9" t="str">
        <f t="shared" si="9"/>
        <v>Direct</v>
      </c>
      <c r="G1901" s="7" t="s">
        <v>2381</v>
      </c>
    </row>
    <row r="1902" spans="1:7" x14ac:dyDescent="0.2">
      <c r="A1902" s="6" t="s">
        <v>8</v>
      </c>
      <c r="B1902" s="7" t="s">
        <v>13</v>
      </c>
      <c r="C1902" s="7" t="s">
        <v>2382</v>
      </c>
      <c r="D1902" s="7">
        <v>-2.3731757</v>
      </c>
      <c r="E1902" s="7">
        <v>-5.3934479</v>
      </c>
      <c r="F1902" s="9" t="str">
        <f t="shared" si="9"/>
        <v>Direct</v>
      </c>
      <c r="G1902" s="7" t="s">
        <v>2381</v>
      </c>
    </row>
    <row r="1903" spans="1:7" x14ac:dyDescent="0.2">
      <c r="A1903" s="6" t="s">
        <v>8</v>
      </c>
      <c r="B1903" s="7" t="s">
        <v>13</v>
      </c>
      <c r="C1903" s="7" t="s">
        <v>2383</v>
      </c>
      <c r="D1903" s="7">
        <v>-2.3663596</v>
      </c>
      <c r="E1903" s="7">
        <v>-1.6460851000000001</v>
      </c>
      <c r="F1903" s="9" t="str">
        <f t="shared" si="9"/>
        <v>Direct</v>
      </c>
      <c r="G1903" s="7" t="s">
        <v>2345</v>
      </c>
    </row>
    <row r="1904" spans="1:7" x14ac:dyDescent="0.2">
      <c r="A1904" s="6" t="s">
        <v>8</v>
      </c>
      <c r="B1904" s="7" t="s">
        <v>13</v>
      </c>
      <c r="C1904" s="7" t="s">
        <v>895</v>
      </c>
      <c r="D1904" s="7">
        <v>5.3959248799999999</v>
      </c>
      <c r="E1904" s="7">
        <v>12.0740368</v>
      </c>
      <c r="F1904" s="9" t="str">
        <f t="shared" si="9"/>
        <v>Direct</v>
      </c>
      <c r="G1904" s="7" t="s">
        <v>11</v>
      </c>
    </row>
    <row r="1905" spans="1:7" x14ac:dyDescent="0.2">
      <c r="A1905" s="6" t="s">
        <v>8</v>
      </c>
      <c r="B1905" s="7" t="s">
        <v>13</v>
      </c>
      <c r="C1905" s="7" t="s">
        <v>2384</v>
      </c>
      <c r="D1905" s="7">
        <v>2.7659941099999998</v>
      </c>
      <c r="E1905" s="7">
        <v>3.911044</v>
      </c>
      <c r="F1905" s="9" t="str">
        <f t="shared" si="9"/>
        <v>Direct</v>
      </c>
      <c r="G1905" s="7" t="s">
        <v>11</v>
      </c>
    </row>
    <row r="1906" spans="1:7" x14ac:dyDescent="0.2">
      <c r="A1906" s="6" t="s">
        <v>8</v>
      </c>
      <c r="B1906" s="7" t="s">
        <v>13</v>
      </c>
      <c r="C1906" s="7" t="s">
        <v>2385</v>
      </c>
      <c r="D1906" s="7">
        <v>-1.3796208000000001</v>
      </c>
      <c r="E1906" s="7">
        <v>-2.2253365000000001</v>
      </c>
      <c r="F1906" s="9" t="str">
        <f t="shared" si="9"/>
        <v>Direct</v>
      </c>
      <c r="G1906" s="7" t="s">
        <v>2386</v>
      </c>
    </row>
    <row r="1907" spans="1:7" x14ac:dyDescent="0.2">
      <c r="A1907" s="6" t="s">
        <v>8</v>
      </c>
      <c r="B1907" s="7" t="s">
        <v>13</v>
      </c>
      <c r="C1907" s="7" t="s">
        <v>2387</v>
      </c>
      <c r="D1907" s="7">
        <v>2.8865291200000001</v>
      </c>
      <c r="E1907" s="7">
        <v>10.7565496</v>
      </c>
      <c r="F1907" s="9" t="str">
        <f t="shared" si="9"/>
        <v>Direct</v>
      </c>
      <c r="G1907" s="7" t="s">
        <v>11</v>
      </c>
    </row>
    <row r="1908" spans="1:7" x14ac:dyDescent="0.2">
      <c r="A1908" s="6" t="s">
        <v>8</v>
      </c>
      <c r="B1908" s="7" t="s">
        <v>13</v>
      </c>
      <c r="C1908" s="7" t="s">
        <v>2388</v>
      </c>
      <c r="D1908" s="7">
        <v>-1.1044783</v>
      </c>
      <c r="E1908" s="7">
        <v>-7.8292785</v>
      </c>
      <c r="F1908" s="9" t="str">
        <f t="shared" si="9"/>
        <v>Direct</v>
      </c>
      <c r="G1908" s="7" t="s">
        <v>2389</v>
      </c>
    </row>
    <row r="1909" spans="1:7" x14ac:dyDescent="0.2">
      <c r="A1909" s="6" t="s">
        <v>8</v>
      </c>
      <c r="B1909" s="7" t="s">
        <v>13</v>
      </c>
      <c r="C1909" s="7" t="s">
        <v>2390</v>
      </c>
      <c r="D1909" s="7">
        <v>-1.2636270000000001</v>
      </c>
      <c r="E1909" s="7">
        <v>1.4531974400000001</v>
      </c>
      <c r="F1909" s="9" t="str">
        <f t="shared" si="9"/>
        <v>Inverse</v>
      </c>
      <c r="G1909" s="7" t="s">
        <v>2026</v>
      </c>
    </row>
    <row r="1910" spans="1:7" x14ac:dyDescent="0.2">
      <c r="A1910" s="6" t="s">
        <v>8</v>
      </c>
      <c r="B1910" s="7" t="s">
        <v>13</v>
      </c>
      <c r="C1910" s="7" t="s">
        <v>2391</v>
      </c>
      <c r="D1910" s="7">
        <v>-1.0614231999999999</v>
      </c>
      <c r="E1910" s="7">
        <v>-1.4404838</v>
      </c>
      <c r="F1910" s="9" t="str">
        <f t="shared" si="9"/>
        <v>Direct</v>
      </c>
      <c r="G1910" s="7" t="s">
        <v>2392</v>
      </c>
    </row>
    <row r="1911" spans="1:7" x14ac:dyDescent="0.2">
      <c r="A1911" s="6" t="s">
        <v>8</v>
      </c>
      <c r="B1911" s="7" t="s">
        <v>13</v>
      </c>
      <c r="C1911" s="7" t="s">
        <v>903</v>
      </c>
      <c r="D1911" s="7">
        <v>1.85229746</v>
      </c>
      <c r="E1911" s="7">
        <v>3.0304487500000001</v>
      </c>
      <c r="F1911" s="9" t="str">
        <f t="shared" si="9"/>
        <v>Direct</v>
      </c>
      <c r="G1911" s="7" t="s">
        <v>11</v>
      </c>
    </row>
    <row r="1912" spans="1:7" x14ac:dyDescent="0.2">
      <c r="A1912" s="6" t="s">
        <v>8</v>
      </c>
      <c r="B1912" s="7" t="s">
        <v>13</v>
      </c>
      <c r="C1912" s="7" t="s">
        <v>905</v>
      </c>
      <c r="D1912" s="7">
        <v>1.0040721500000001</v>
      </c>
      <c r="E1912" s="7">
        <v>3.01438732</v>
      </c>
      <c r="F1912" s="9" t="str">
        <f t="shared" si="9"/>
        <v>Direct</v>
      </c>
      <c r="G1912" s="7" t="s">
        <v>11</v>
      </c>
    </row>
    <row r="1913" spans="1:7" x14ac:dyDescent="0.2">
      <c r="A1913" s="6" t="s">
        <v>8</v>
      </c>
      <c r="B1913" s="7" t="s">
        <v>13</v>
      </c>
      <c r="C1913" s="7" t="s">
        <v>906</v>
      </c>
      <c r="D1913" s="7">
        <v>-1.0756806999999999</v>
      </c>
      <c r="E1913" s="7">
        <v>-1.1661982</v>
      </c>
      <c r="F1913" s="9" t="str">
        <f t="shared" si="9"/>
        <v>Direct</v>
      </c>
      <c r="G1913" s="7" t="s">
        <v>907</v>
      </c>
    </row>
    <row r="1914" spans="1:7" x14ac:dyDescent="0.2">
      <c r="A1914" s="6" t="s">
        <v>8</v>
      </c>
      <c r="B1914" s="7" t="s">
        <v>13</v>
      </c>
      <c r="C1914" s="7" t="s">
        <v>2393</v>
      </c>
      <c r="D1914" s="7">
        <v>-1.3782255999999999</v>
      </c>
      <c r="E1914" s="7">
        <v>-1.9337247</v>
      </c>
      <c r="F1914" s="9" t="str">
        <f t="shared" si="9"/>
        <v>Direct</v>
      </c>
      <c r="G1914" s="7" t="s">
        <v>11</v>
      </c>
    </row>
    <row r="1915" spans="1:7" x14ac:dyDescent="0.2">
      <c r="A1915" s="6" t="s">
        <v>8</v>
      </c>
      <c r="B1915" s="7" t="s">
        <v>13</v>
      </c>
      <c r="C1915" s="7" t="s">
        <v>2394</v>
      </c>
      <c r="D1915" s="7">
        <v>1.3616075700000001</v>
      </c>
      <c r="E1915" s="7">
        <v>3.5342069</v>
      </c>
      <c r="F1915" s="9" t="str">
        <f t="shared" si="9"/>
        <v>Direct</v>
      </c>
      <c r="G1915" s="7" t="s">
        <v>11</v>
      </c>
    </row>
    <row r="1916" spans="1:7" x14ac:dyDescent="0.2">
      <c r="A1916" s="6" t="s">
        <v>8</v>
      </c>
      <c r="B1916" s="7" t="s">
        <v>13</v>
      </c>
      <c r="C1916" s="7" t="s">
        <v>2395</v>
      </c>
      <c r="D1916" s="7">
        <v>-1.6214972000000001</v>
      </c>
      <c r="E1916" s="7">
        <v>-2.1707112999999998</v>
      </c>
      <c r="F1916" s="9" t="str">
        <f t="shared" si="9"/>
        <v>Direct</v>
      </c>
      <c r="G1916" s="7" t="s">
        <v>11</v>
      </c>
    </row>
    <row r="1917" spans="1:7" x14ac:dyDescent="0.2">
      <c r="A1917" s="6" t="s">
        <v>8</v>
      </c>
      <c r="B1917" s="7" t="s">
        <v>13</v>
      </c>
      <c r="C1917" s="7" t="s">
        <v>917</v>
      </c>
      <c r="D1917" s="7">
        <v>-2.8651065999999998</v>
      </c>
      <c r="E1917" s="7">
        <v>-4.2827183</v>
      </c>
      <c r="F1917" s="9" t="str">
        <f t="shared" si="9"/>
        <v>Direct</v>
      </c>
      <c r="G1917" s="7" t="s">
        <v>11</v>
      </c>
    </row>
    <row r="1918" spans="1:7" x14ac:dyDescent="0.2">
      <c r="A1918" s="6" t="s">
        <v>8</v>
      </c>
      <c r="B1918" s="7" t="s">
        <v>13</v>
      </c>
      <c r="C1918" s="7" t="s">
        <v>918</v>
      </c>
      <c r="D1918" s="7">
        <v>-2.7428226000000002</v>
      </c>
      <c r="E1918" s="7">
        <v>-6.2118536999999998</v>
      </c>
      <c r="F1918" s="9" t="str">
        <f t="shared" si="9"/>
        <v>Direct</v>
      </c>
      <c r="G1918" s="7" t="s">
        <v>919</v>
      </c>
    </row>
    <row r="1919" spans="1:7" x14ac:dyDescent="0.2">
      <c r="A1919" s="6" t="s">
        <v>8</v>
      </c>
      <c r="B1919" s="7" t="s">
        <v>13</v>
      </c>
      <c r="C1919" s="7" t="s">
        <v>2396</v>
      </c>
      <c r="D1919" s="7">
        <v>2.52504733</v>
      </c>
      <c r="E1919" s="7">
        <v>5.4752868000000001</v>
      </c>
      <c r="F1919" s="9" t="str">
        <f t="shared" si="9"/>
        <v>Direct</v>
      </c>
      <c r="G1919" s="7" t="s">
        <v>35</v>
      </c>
    </row>
    <row r="1920" spans="1:7" x14ac:dyDescent="0.2">
      <c r="A1920" s="6" t="s">
        <v>8</v>
      </c>
      <c r="B1920" s="7" t="s">
        <v>13</v>
      </c>
      <c r="C1920" s="7" t="s">
        <v>2397</v>
      </c>
      <c r="D1920" s="7">
        <v>1.2230007199999999</v>
      </c>
      <c r="E1920" s="7">
        <v>3.4505240700000002</v>
      </c>
      <c r="F1920" s="9" t="str">
        <f t="shared" si="9"/>
        <v>Direct</v>
      </c>
      <c r="G1920" s="7" t="s">
        <v>11</v>
      </c>
    </row>
    <row r="1921" spans="1:7" x14ac:dyDescent="0.2">
      <c r="A1921" s="6" t="s">
        <v>8</v>
      </c>
      <c r="B1921" s="7" t="s">
        <v>13</v>
      </c>
      <c r="C1921" s="7" t="s">
        <v>2398</v>
      </c>
      <c r="D1921" s="7">
        <v>2.1033723200000001</v>
      </c>
      <c r="E1921" s="7">
        <v>4.32969794</v>
      </c>
      <c r="F1921" s="9" t="str">
        <f t="shared" si="9"/>
        <v>Direct</v>
      </c>
      <c r="G1921" s="7" t="s">
        <v>11</v>
      </c>
    </row>
    <row r="1922" spans="1:7" x14ac:dyDescent="0.2">
      <c r="A1922" s="6" t="s">
        <v>8</v>
      </c>
      <c r="B1922" s="7" t="s">
        <v>13</v>
      </c>
      <c r="C1922" s="7" t="s">
        <v>924</v>
      </c>
      <c r="D1922" s="7">
        <v>3.0047762499999999</v>
      </c>
      <c r="E1922" s="7">
        <v>8.4196291700000003</v>
      </c>
      <c r="F1922" s="9" t="str">
        <f t="shared" si="9"/>
        <v>Direct</v>
      </c>
      <c r="G1922" s="7" t="s">
        <v>11</v>
      </c>
    </row>
    <row r="1923" spans="1:7" x14ac:dyDescent="0.2">
      <c r="A1923" s="6" t="s">
        <v>8</v>
      </c>
      <c r="B1923" s="7" t="s">
        <v>13</v>
      </c>
      <c r="C1923" s="7" t="s">
        <v>2399</v>
      </c>
      <c r="D1923" s="7">
        <v>-4.4545411000000001</v>
      </c>
      <c r="E1923" s="7">
        <v>-7.9080814000000004</v>
      </c>
      <c r="F1923" s="9" t="str">
        <f t="shared" si="9"/>
        <v>Direct</v>
      </c>
      <c r="G1923" s="7" t="s">
        <v>2400</v>
      </c>
    </row>
    <row r="1924" spans="1:7" x14ac:dyDescent="0.2">
      <c r="A1924" s="6" t="s">
        <v>8</v>
      </c>
      <c r="B1924" s="7" t="s">
        <v>13</v>
      </c>
      <c r="C1924" s="7" t="s">
        <v>925</v>
      </c>
      <c r="D1924" s="7">
        <v>2.0168690800000002</v>
      </c>
      <c r="E1924" s="7">
        <v>2.50296751</v>
      </c>
      <c r="F1924" s="9" t="str">
        <f t="shared" si="9"/>
        <v>Direct</v>
      </c>
      <c r="G1924" s="7" t="s">
        <v>926</v>
      </c>
    </row>
    <row r="1925" spans="1:7" x14ac:dyDescent="0.2">
      <c r="A1925" s="6" t="s">
        <v>8</v>
      </c>
      <c r="B1925" s="7" t="s">
        <v>13</v>
      </c>
      <c r="C1925" s="7" t="s">
        <v>927</v>
      </c>
      <c r="D1925" s="7">
        <v>2.5940509500000002</v>
      </c>
      <c r="E1925" s="7">
        <v>4.6515366199999999</v>
      </c>
      <c r="F1925" s="9" t="str">
        <f t="shared" si="9"/>
        <v>Direct</v>
      </c>
      <c r="G1925" s="7" t="s">
        <v>11</v>
      </c>
    </row>
    <row r="1926" spans="1:7" x14ac:dyDescent="0.2">
      <c r="A1926" s="6" t="s">
        <v>8</v>
      </c>
      <c r="B1926" s="7" t="s">
        <v>13</v>
      </c>
      <c r="C1926" s="7" t="s">
        <v>2401</v>
      </c>
      <c r="D1926" s="7">
        <v>1.1701967200000001</v>
      </c>
      <c r="E1926" s="7">
        <v>1.97869468</v>
      </c>
      <c r="F1926" s="9" t="str">
        <f t="shared" si="9"/>
        <v>Direct</v>
      </c>
      <c r="G1926" s="7" t="s">
        <v>106</v>
      </c>
    </row>
    <row r="1927" spans="1:7" x14ac:dyDescent="0.2">
      <c r="A1927" s="6" t="s">
        <v>8</v>
      </c>
      <c r="B1927" s="7" t="s">
        <v>13</v>
      </c>
      <c r="C1927" s="7" t="s">
        <v>2402</v>
      </c>
      <c r="D1927" s="7">
        <v>1.4272294599999999</v>
      </c>
      <c r="E1927" s="7">
        <v>2.5534679699999998</v>
      </c>
      <c r="F1927" s="9" t="str">
        <f t="shared" si="9"/>
        <v>Direct</v>
      </c>
      <c r="G1927" s="7" t="s">
        <v>2403</v>
      </c>
    </row>
    <row r="1928" spans="1:7" x14ac:dyDescent="0.2">
      <c r="A1928" s="6" t="s">
        <v>8</v>
      </c>
      <c r="B1928" s="7" t="s">
        <v>13</v>
      </c>
      <c r="C1928" s="7" t="s">
        <v>928</v>
      </c>
      <c r="D1928" s="7">
        <v>1.12711765</v>
      </c>
      <c r="E1928" s="7">
        <v>1.8940696800000001</v>
      </c>
      <c r="F1928" s="9" t="str">
        <f t="shared" si="9"/>
        <v>Direct</v>
      </c>
      <c r="G1928" s="7" t="s">
        <v>929</v>
      </c>
    </row>
    <row r="1929" spans="1:7" x14ac:dyDescent="0.2">
      <c r="A1929" s="6" t="s">
        <v>8</v>
      </c>
      <c r="B1929" s="7" t="s">
        <v>13</v>
      </c>
      <c r="C1929" s="7" t="s">
        <v>2404</v>
      </c>
      <c r="D1929" s="7">
        <v>1.3314227700000001</v>
      </c>
      <c r="E1929" s="7">
        <v>2.7577733000000002</v>
      </c>
      <c r="F1929" s="9" t="str">
        <f t="shared" si="9"/>
        <v>Direct</v>
      </c>
      <c r="G1929" s="7" t="s">
        <v>11</v>
      </c>
    </row>
    <row r="1930" spans="1:7" x14ac:dyDescent="0.2">
      <c r="A1930" s="6" t="s">
        <v>8</v>
      </c>
      <c r="B1930" s="7" t="s">
        <v>13</v>
      </c>
      <c r="C1930" s="7" t="s">
        <v>2405</v>
      </c>
      <c r="D1930" s="7">
        <v>1.02910006</v>
      </c>
      <c r="E1930" s="7">
        <v>3.03966512</v>
      </c>
      <c r="F1930" s="9" t="str">
        <f t="shared" si="9"/>
        <v>Direct</v>
      </c>
      <c r="G1930" s="7" t="s">
        <v>2406</v>
      </c>
    </row>
    <row r="1931" spans="1:7" x14ac:dyDescent="0.2">
      <c r="A1931" s="6" t="s">
        <v>8</v>
      </c>
      <c r="B1931" s="7" t="s">
        <v>13</v>
      </c>
      <c r="C1931" s="7" t="s">
        <v>2407</v>
      </c>
      <c r="D1931" s="7">
        <v>-1.5396224000000001</v>
      </c>
      <c r="E1931" s="7">
        <v>-1.7226208000000001</v>
      </c>
      <c r="F1931" s="9" t="str">
        <f t="shared" si="9"/>
        <v>Direct</v>
      </c>
      <c r="G1931" s="7" t="s">
        <v>11</v>
      </c>
    </row>
    <row r="1932" spans="1:7" x14ac:dyDescent="0.2">
      <c r="A1932" s="6" t="s">
        <v>8</v>
      </c>
      <c r="B1932" s="7" t="s">
        <v>13</v>
      </c>
      <c r="C1932" s="7" t="s">
        <v>2408</v>
      </c>
      <c r="D1932" s="7">
        <v>1.26575601</v>
      </c>
      <c r="E1932" s="7">
        <v>3.14036143</v>
      </c>
      <c r="F1932" s="9" t="str">
        <f t="shared" si="9"/>
        <v>Direct</v>
      </c>
      <c r="G1932" s="7" t="s">
        <v>11</v>
      </c>
    </row>
    <row r="1933" spans="1:7" x14ac:dyDescent="0.2">
      <c r="A1933" s="6" t="s">
        <v>8</v>
      </c>
      <c r="B1933" s="7" t="s">
        <v>13</v>
      </c>
      <c r="C1933" s="7" t="s">
        <v>2409</v>
      </c>
      <c r="D1933" s="7">
        <v>1.56513646</v>
      </c>
      <c r="E1933" s="7">
        <v>1.24018184</v>
      </c>
      <c r="F1933" s="9" t="str">
        <f t="shared" si="9"/>
        <v>Direct</v>
      </c>
      <c r="G1933" s="7" t="s">
        <v>11</v>
      </c>
    </row>
    <row r="1934" spans="1:7" x14ac:dyDescent="0.2">
      <c r="A1934" s="6" t="s">
        <v>8</v>
      </c>
      <c r="B1934" s="7" t="s">
        <v>13</v>
      </c>
      <c r="C1934" s="7" t="s">
        <v>2410</v>
      </c>
      <c r="D1934" s="7">
        <v>-1.5921832</v>
      </c>
      <c r="E1934" s="7">
        <v>-1.7045485</v>
      </c>
      <c r="F1934" s="9" t="str">
        <f t="shared" si="9"/>
        <v>Direct</v>
      </c>
      <c r="G1934" s="7" t="s">
        <v>2411</v>
      </c>
    </row>
    <row r="1935" spans="1:7" x14ac:dyDescent="0.2">
      <c r="A1935" s="6" t="s">
        <v>8</v>
      </c>
      <c r="B1935" s="7" t="s">
        <v>13</v>
      </c>
      <c r="C1935" s="7" t="s">
        <v>2412</v>
      </c>
      <c r="D1935" s="7">
        <v>-1.9387741999999999</v>
      </c>
      <c r="E1935" s="7">
        <v>-1.2396</v>
      </c>
      <c r="F1935" s="9" t="str">
        <f t="shared" si="9"/>
        <v>Direct</v>
      </c>
      <c r="G1935" s="7" t="s">
        <v>2413</v>
      </c>
    </row>
    <row r="1936" spans="1:7" x14ac:dyDescent="0.2">
      <c r="A1936" s="6" t="s">
        <v>8</v>
      </c>
      <c r="B1936" s="7" t="s">
        <v>13</v>
      </c>
      <c r="C1936" s="7" t="s">
        <v>931</v>
      </c>
      <c r="D1936" s="7">
        <v>-1.3467298000000001</v>
      </c>
      <c r="E1936" s="7">
        <v>-1.2751568</v>
      </c>
      <c r="F1936" s="9" t="str">
        <f t="shared" si="9"/>
        <v>Direct</v>
      </c>
      <c r="G1936" s="7" t="s">
        <v>11</v>
      </c>
    </row>
    <row r="1937" spans="1:7" x14ac:dyDescent="0.2">
      <c r="A1937" s="6" t="s">
        <v>8</v>
      </c>
      <c r="B1937" s="7" t="s">
        <v>13</v>
      </c>
      <c r="C1937" s="7" t="s">
        <v>2414</v>
      </c>
      <c r="D1937" s="7">
        <v>1.0547793599999999</v>
      </c>
      <c r="E1937" s="7">
        <v>4.4742909300000004</v>
      </c>
      <c r="F1937" s="9" t="str">
        <f t="shared" si="9"/>
        <v>Direct</v>
      </c>
      <c r="G1937" s="7" t="s">
        <v>11</v>
      </c>
    </row>
    <row r="1938" spans="1:7" x14ac:dyDescent="0.2">
      <c r="A1938" s="6" t="s">
        <v>8</v>
      </c>
      <c r="B1938" s="7" t="s">
        <v>13</v>
      </c>
      <c r="C1938" s="7" t="s">
        <v>2415</v>
      </c>
      <c r="D1938" s="7">
        <v>3.8910040700000001</v>
      </c>
      <c r="E1938" s="7">
        <v>2.5388576299999999</v>
      </c>
      <c r="F1938" s="9" t="str">
        <f t="shared" si="9"/>
        <v>Direct</v>
      </c>
      <c r="G1938" s="7" t="s">
        <v>11</v>
      </c>
    </row>
    <row r="1939" spans="1:7" x14ac:dyDescent="0.2">
      <c r="A1939" s="6" t="s">
        <v>8</v>
      </c>
      <c r="B1939" s="7" t="s">
        <v>13</v>
      </c>
      <c r="C1939" s="7" t="s">
        <v>2416</v>
      </c>
      <c r="D1939" s="7">
        <v>1.6319230899999999</v>
      </c>
      <c r="E1939" s="7">
        <v>2.0732631399999999</v>
      </c>
      <c r="F1939" s="9" t="str">
        <f t="shared" si="9"/>
        <v>Direct</v>
      </c>
      <c r="G1939" s="7" t="s">
        <v>2417</v>
      </c>
    </row>
    <row r="1940" spans="1:7" x14ac:dyDescent="0.2">
      <c r="A1940" s="6" t="s">
        <v>8</v>
      </c>
      <c r="B1940" s="7" t="s">
        <v>13</v>
      </c>
      <c r="C1940" s="7" t="s">
        <v>2418</v>
      </c>
      <c r="D1940" s="7">
        <v>1.48173932</v>
      </c>
      <c r="E1940" s="7">
        <v>1.2872848699999999</v>
      </c>
      <c r="F1940" s="9" t="str">
        <f t="shared" si="9"/>
        <v>Direct</v>
      </c>
      <c r="G1940" s="7" t="s">
        <v>2419</v>
      </c>
    </row>
    <row r="1941" spans="1:7" x14ac:dyDescent="0.2">
      <c r="A1941" s="6" t="s">
        <v>8</v>
      </c>
      <c r="B1941" s="7" t="s">
        <v>13</v>
      </c>
      <c r="C1941" s="7" t="s">
        <v>2420</v>
      </c>
      <c r="D1941" s="7">
        <v>-1.2765624</v>
      </c>
      <c r="E1941" s="7">
        <v>-1.5241526000000001</v>
      </c>
      <c r="F1941" s="9" t="str">
        <f t="shared" si="9"/>
        <v>Direct</v>
      </c>
      <c r="G1941" s="7" t="s">
        <v>343</v>
      </c>
    </row>
    <row r="1942" spans="1:7" x14ac:dyDescent="0.2">
      <c r="A1942" s="6" t="s">
        <v>8</v>
      </c>
      <c r="B1942" s="7" t="s">
        <v>13</v>
      </c>
      <c r="C1942" s="7" t="s">
        <v>2421</v>
      </c>
      <c r="D1942" s="7">
        <v>1.4278964599999999</v>
      </c>
      <c r="E1942" s="7">
        <v>2.79575606</v>
      </c>
      <c r="F1942" s="9" t="str">
        <f t="shared" si="9"/>
        <v>Direct</v>
      </c>
      <c r="G1942" s="7" t="s">
        <v>2422</v>
      </c>
    </row>
    <row r="1943" spans="1:7" x14ac:dyDescent="0.2">
      <c r="A1943" s="6" t="s">
        <v>8</v>
      </c>
      <c r="B1943" s="7" t="s">
        <v>13</v>
      </c>
      <c r="C1943" s="7" t="s">
        <v>2423</v>
      </c>
      <c r="D1943" s="7">
        <v>-1.3776318999999999</v>
      </c>
      <c r="E1943" s="7">
        <v>-2.5188956</v>
      </c>
      <c r="F1943" s="9" t="str">
        <f t="shared" si="9"/>
        <v>Direct</v>
      </c>
      <c r="G1943" s="7" t="s">
        <v>11</v>
      </c>
    </row>
    <row r="1944" spans="1:7" x14ac:dyDescent="0.2">
      <c r="A1944" s="6" t="s">
        <v>8</v>
      </c>
      <c r="B1944" s="7" t="s">
        <v>13</v>
      </c>
      <c r="C1944" s="7" t="s">
        <v>2424</v>
      </c>
      <c r="D1944" s="7">
        <v>-1.7974102999999999</v>
      </c>
      <c r="E1944" s="7">
        <v>-2.5293713000000002</v>
      </c>
      <c r="F1944" s="9" t="str">
        <f t="shared" si="9"/>
        <v>Direct</v>
      </c>
      <c r="G1944" s="7" t="s">
        <v>2425</v>
      </c>
    </row>
    <row r="1945" spans="1:7" x14ac:dyDescent="0.2">
      <c r="A1945" s="6" t="s">
        <v>8</v>
      </c>
      <c r="B1945" s="7" t="s">
        <v>13</v>
      </c>
      <c r="C1945" s="7" t="s">
        <v>2426</v>
      </c>
      <c r="D1945" s="7">
        <v>2.3902529800000001</v>
      </c>
      <c r="E1945" s="7">
        <v>1.0240269399999999</v>
      </c>
      <c r="F1945" s="9" t="str">
        <f t="shared" si="9"/>
        <v>Direct</v>
      </c>
      <c r="G1945" s="7" t="s">
        <v>113</v>
      </c>
    </row>
    <row r="1946" spans="1:7" x14ac:dyDescent="0.2">
      <c r="A1946" s="6" t="s">
        <v>8</v>
      </c>
      <c r="B1946" s="7" t="s">
        <v>13</v>
      </c>
      <c r="C1946" s="7" t="s">
        <v>2427</v>
      </c>
      <c r="D1946" s="7">
        <v>1.21540625</v>
      </c>
      <c r="E1946" s="7">
        <v>1.2481633000000001</v>
      </c>
      <c r="F1946" s="9" t="str">
        <f t="shared" si="9"/>
        <v>Direct</v>
      </c>
      <c r="G1946" s="7" t="s">
        <v>11</v>
      </c>
    </row>
    <row r="1947" spans="1:7" x14ac:dyDescent="0.2">
      <c r="A1947" s="6" t="s">
        <v>8</v>
      </c>
      <c r="B1947" s="7" t="s">
        <v>13</v>
      </c>
      <c r="C1947" s="7" t="s">
        <v>937</v>
      </c>
      <c r="D1947" s="7">
        <v>2.2182463000000001</v>
      </c>
      <c r="E1947" s="7">
        <v>8.8771300600000007</v>
      </c>
      <c r="F1947" s="9" t="str">
        <f t="shared" si="9"/>
        <v>Direct</v>
      </c>
      <c r="G1947" s="7" t="s">
        <v>11</v>
      </c>
    </row>
    <row r="1948" spans="1:7" x14ac:dyDescent="0.2">
      <c r="A1948" s="6" t="s">
        <v>8</v>
      </c>
      <c r="B1948" s="7" t="s">
        <v>13</v>
      </c>
      <c r="C1948" s="7" t="s">
        <v>2428</v>
      </c>
      <c r="D1948" s="7">
        <v>-1.1923324</v>
      </c>
      <c r="E1948" s="7">
        <v>-6.0058636999999999</v>
      </c>
      <c r="F1948" s="9" t="str">
        <f t="shared" si="9"/>
        <v>Direct</v>
      </c>
      <c r="G1948" s="7" t="s">
        <v>56</v>
      </c>
    </row>
    <row r="1949" spans="1:7" x14ac:dyDescent="0.2">
      <c r="A1949" s="6" t="s">
        <v>8</v>
      </c>
      <c r="B1949" s="7" t="s">
        <v>13</v>
      </c>
      <c r="C1949" s="7" t="s">
        <v>2429</v>
      </c>
      <c r="D1949" s="7">
        <v>1.0932063700000001</v>
      </c>
      <c r="E1949" s="7">
        <v>2.1204670399999999</v>
      </c>
      <c r="F1949" s="9" t="str">
        <f t="shared" si="9"/>
        <v>Direct</v>
      </c>
      <c r="G1949" s="7" t="s">
        <v>1524</v>
      </c>
    </row>
    <row r="1950" spans="1:7" x14ac:dyDescent="0.2">
      <c r="A1950" s="6" t="s">
        <v>8</v>
      </c>
      <c r="B1950" s="7" t="s">
        <v>13</v>
      </c>
      <c r="C1950" s="7" t="s">
        <v>938</v>
      </c>
      <c r="D1950" s="7">
        <v>-1.2174597</v>
      </c>
      <c r="E1950" s="7">
        <v>-3.4402477</v>
      </c>
      <c r="F1950" s="9" t="str">
        <f t="shared" si="9"/>
        <v>Direct</v>
      </c>
      <c r="G1950" s="7" t="s">
        <v>11</v>
      </c>
    </row>
    <row r="1951" spans="1:7" x14ac:dyDescent="0.2">
      <c r="A1951" s="6" t="s">
        <v>8</v>
      </c>
      <c r="B1951" s="7" t="s">
        <v>13</v>
      </c>
      <c r="C1951" s="7" t="s">
        <v>2430</v>
      </c>
      <c r="D1951" s="7">
        <v>1.8705547600000001</v>
      </c>
      <c r="E1951" s="7">
        <v>3.4663766499999999</v>
      </c>
      <c r="F1951" s="9" t="str">
        <f t="shared" si="9"/>
        <v>Direct</v>
      </c>
      <c r="G1951" s="7" t="s">
        <v>11</v>
      </c>
    </row>
    <row r="1952" spans="1:7" x14ac:dyDescent="0.2">
      <c r="A1952" s="6" t="s">
        <v>8</v>
      </c>
      <c r="B1952" s="7" t="s">
        <v>13</v>
      </c>
      <c r="C1952" s="7" t="s">
        <v>2431</v>
      </c>
      <c r="D1952" s="7">
        <v>1.26373738</v>
      </c>
      <c r="E1952" s="7">
        <v>3.9655895000000001</v>
      </c>
      <c r="F1952" s="9" t="str">
        <f t="shared" si="9"/>
        <v>Direct</v>
      </c>
      <c r="G1952" s="7" t="s">
        <v>1909</v>
      </c>
    </row>
    <row r="1953" spans="1:7" x14ac:dyDescent="0.2">
      <c r="A1953" s="6" t="s">
        <v>8</v>
      </c>
      <c r="B1953" s="7" t="s">
        <v>13</v>
      </c>
      <c r="C1953" s="7" t="s">
        <v>2432</v>
      </c>
      <c r="D1953" s="7">
        <v>1.0964628000000001</v>
      </c>
      <c r="E1953" s="7">
        <v>1.2708314999999999</v>
      </c>
      <c r="F1953" s="9" t="str">
        <f t="shared" si="9"/>
        <v>Direct</v>
      </c>
      <c r="G1953" s="7" t="s">
        <v>78</v>
      </c>
    </row>
    <row r="1954" spans="1:7" x14ac:dyDescent="0.2">
      <c r="A1954" s="6" t="s">
        <v>8</v>
      </c>
      <c r="B1954" s="7" t="s">
        <v>13</v>
      </c>
      <c r="C1954" s="7" t="s">
        <v>2433</v>
      </c>
      <c r="D1954" s="7">
        <v>-2.3027402000000001</v>
      </c>
      <c r="E1954" s="7">
        <v>-1.9965390000000001</v>
      </c>
      <c r="F1954" s="9" t="str">
        <f t="shared" si="9"/>
        <v>Direct</v>
      </c>
      <c r="G1954" s="7" t="s">
        <v>11</v>
      </c>
    </row>
    <row r="1955" spans="1:7" x14ac:dyDescent="0.2">
      <c r="A1955" s="6" t="s">
        <v>8</v>
      </c>
      <c r="B1955" s="7" t="s">
        <v>13</v>
      </c>
      <c r="C1955" s="7" t="s">
        <v>2434</v>
      </c>
      <c r="D1955" s="7">
        <v>1.2002605</v>
      </c>
      <c r="E1955" s="7">
        <v>2.6982368800000001</v>
      </c>
      <c r="F1955" s="9" t="str">
        <f t="shared" si="9"/>
        <v>Direct</v>
      </c>
      <c r="G1955" s="7" t="s">
        <v>11</v>
      </c>
    </row>
    <row r="1956" spans="1:7" x14ac:dyDescent="0.2">
      <c r="A1956" s="6" t="s">
        <v>8</v>
      </c>
      <c r="B1956" s="7" t="s">
        <v>13</v>
      </c>
      <c r="C1956" s="7" t="s">
        <v>2435</v>
      </c>
      <c r="D1956" s="7">
        <v>1.4519599400000001</v>
      </c>
      <c r="E1956" s="7">
        <v>2.4147197600000001</v>
      </c>
      <c r="F1956" s="9" t="str">
        <f t="shared" si="9"/>
        <v>Direct</v>
      </c>
      <c r="G1956" s="7" t="s">
        <v>2436</v>
      </c>
    </row>
    <row r="1957" spans="1:7" x14ac:dyDescent="0.2">
      <c r="A1957" s="6" t="s">
        <v>8</v>
      </c>
      <c r="B1957" s="7" t="s">
        <v>13</v>
      </c>
      <c r="C1957" s="7" t="s">
        <v>941</v>
      </c>
      <c r="D1957" s="7">
        <v>-2.2198926000000001</v>
      </c>
      <c r="E1957" s="7">
        <v>-2.8396550999999999</v>
      </c>
      <c r="F1957" s="9" t="str">
        <f t="shared" si="9"/>
        <v>Direct</v>
      </c>
      <c r="G1957" s="7" t="s">
        <v>942</v>
      </c>
    </row>
    <row r="1958" spans="1:7" x14ac:dyDescent="0.2">
      <c r="A1958" s="6" t="s">
        <v>8</v>
      </c>
      <c r="B1958" s="7" t="s">
        <v>13</v>
      </c>
      <c r="C1958" s="7" t="s">
        <v>2437</v>
      </c>
      <c r="D1958" s="7">
        <v>-2.5496656</v>
      </c>
      <c r="E1958" s="7">
        <v>-4.2170373000000003</v>
      </c>
      <c r="F1958" s="9" t="str">
        <f t="shared" si="9"/>
        <v>Direct</v>
      </c>
      <c r="G1958" s="7" t="s">
        <v>11</v>
      </c>
    </row>
    <row r="1959" spans="1:7" x14ac:dyDescent="0.2">
      <c r="A1959" s="6" t="s">
        <v>8</v>
      </c>
      <c r="B1959" s="7" t="s">
        <v>13</v>
      </c>
      <c r="C1959" s="7" t="s">
        <v>2438</v>
      </c>
      <c r="D1959" s="7">
        <v>-1.0766694999999999</v>
      </c>
      <c r="E1959" s="7">
        <v>-1.3323008000000001</v>
      </c>
      <c r="F1959" s="9" t="str">
        <f t="shared" si="9"/>
        <v>Direct</v>
      </c>
      <c r="G1959" s="7" t="s">
        <v>11</v>
      </c>
    </row>
    <row r="1960" spans="1:7" x14ac:dyDescent="0.2">
      <c r="A1960" s="6" t="s">
        <v>8</v>
      </c>
      <c r="B1960" s="7" t="s">
        <v>13</v>
      </c>
      <c r="C1960" s="7" t="s">
        <v>2439</v>
      </c>
      <c r="D1960" s="7">
        <v>-1.4560055000000001</v>
      </c>
      <c r="E1960" s="7">
        <v>-3.5839121999999999</v>
      </c>
      <c r="F1960" s="9" t="str">
        <f t="shared" si="9"/>
        <v>Direct</v>
      </c>
      <c r="G1960" s="7" t="s">
        <v>11</v>
      </c>
    </row>
    <row r="1961" spans="1:7" x14ac:dyDescent="0.2">
      <c r="A1961" s="6" t="s">
        <v>8</v>
      </c>
      <c r="B1961" s="7" t="s">
        <v>13</v>
      </c>
      <c r="C1961" s="7" t="s">
        <v>2440</v>
      </c>
      <c r="D1961" s="7">
        <v>-1.7874741999999999</v>
      </c>
      <c r="E1961" s="7">
        <v>-1.4707912000000001</v>
      </c>
      <c r="F1961" s="9" t="str">
        <f t="shared" si="9"/>
        <v>Direct</v>
      </c>
      <c r="G1961" s="7" t="s">
        <v>11</v>
      </c>
    </row>
    <row r="1962" spans="1:7" x14ac:dyDescent="0.2">
      <c r="A1962" s="6" t="s">
        <v>8</v>
      </c>
      <c r="B1962" s="7" t="s">
        <v>13</v>
      </c>
      <c r="C1962" s="7" t="s">
        <v>944</v>
      </c>
      <c r="D1962" s="7">
        <v>-2.7675339000000001</v>
      </c>
      <c r="E1962" s="7">
        <v>-2.176866</v>
      </c>
      <c r="F1962" s="9" t="str">
        <f t="shared" si="9"/>
        <v>Direct</v>
      </c>
      <c r="G1962" s="7" t="s">
        <v>11</v>
      </c>
    </row>
    <row r="1963" spans="1:7" x14ac:dyDescent="0.2">
      <c r="A1963" s="6" t="s">
        <v>8</v>
      </c>
      <c r="B1963" s="7" t="s">
        <v>13</v>
      </c>
      <c r="C1963" s="7" t="s">
        <v>2441</v>
      </c>
      <c r="D1963" s="7">
        <v>3.3386568699999999</v>
      </c>
      <c r="E1963" s="7">
        <v>9.3309900100000007</v>
      </c>
      <c r="F1963" s="9" t="str">
        <f t="shared" si="9"/>
        <v>Direct</v>
      </c>
      <c r="G1963" s="7" t="s">
        <v>2442</v>
      </c>
    </row>
    <row r="1964" spans="1:7" x14ac:dyDescent="0.2">
      <c r="A1964" s="6" t="s">
        <v>8</v>
      </c>
      <c r="B1964" s="7" t="s">
        <v>13</v>
      </c>
      <c r="C1964" s="7" t="s">
        <v>2443</v>
      </c>
      <c r="D1964" s="7">
        <v>1.0177694900000001</v>
      </c>
      <c r="E1964" s="7">
        <v>2.4135288899999998</v>
      </c>
      <c r="F1964" s="9" t="str">
        <f t="shared" si="9"/>
        <v>Direct</v>
      </c>
      <c r="G1964" s="7" t="s">
        <v>11</v>
      </c>
    </row>
    <row r="1965" spans="1:7" x14ac:dyDescent="0.2">
      <c r="A1965" s="6" t="s">
        <v>8</v>
      </c>
      <c r="B1965" s="7" t="s">
        <v>13</v>
      </c>
      <c r="C1965" s="7" t="s">
        <v>949</v>
      </c>
      <c r="D1965" s="7">
        <v>1.94719584</v>
      </c>
      <c r="E1965" s="7">
        <v>4.7332053099999998</v>
      </c>
      <c r="F1965" s="9" t="str">
        <f t="shared" si="9"/>
        <v>Direct</v>
      </c>
      <c r="G1965" s="7" t="s">
        <v>950</v>
      </c>
    </row>
    <row r="1966" spans="1:7" x14ac:dyDescent="0.2">
      <c r="A1966" s="6" t="s">
        <v>8</v>
      </c>
      <c r="B1966" s="7" t="s">
        <v>13</v>
      </c>
      <c r="C1966" s="7" t="s">
        <v>2444</v>
      </c>
      <c r="D1966" s="7">
        <v>-4.4545411000000001</v>
      </c>
      <c r="E1966" s="7">
        <v>-2.1246847</v>
      </c>
      <c r="F1966" s="9" t="str">
        <f t="shared" si="9"/>
        <v>Direct</v>
      </c>
      <c r="G1966" s="7" t="s">
        <v>11</v>
      </c>
    </row>
    <row r="1967" spans="1:7" x14ac:dyDescent="0.2">
      <c r="A1967" s="6" t="s">
        <v>8</v>
      </c>
      <c r="B1967" s="7" t="s">
        <v>13</v>
      </c>
      <c r="C1967" s="7" t="s">
        <v>2445</v>
      </c>
      <c r="D1967" s="7">
        <v>-1.2206665000000001</v>
      </c>
      <c r="E1967" s="7">
        <v>-2.7436294000000001</v>
      </c>
      <c r="F1967" s="9" t="str">
        <f t="shared" si="9"/>
        <v>Direct</v>
      </c>
      <c r="G1967" s="7" t="s">
        <v>11</v>
      </c>
    </row>
    <row r="1968" spans="1:7" x14ac:dyDescent="0.2">
      <c r="A1968" s="6" t="s">
        <v>8</v>
      </c>
      <c r="B1968" s="7" t="s">
        <v>13</v>
      </c>
      <c r="C1968" s="7" t="s">
        <v>2446</v>
      </c>
      <c r="D1968" s="7">
        <v>-2.2336497</v>
      </c>
      <c r="E1968" s="7">
        <v>-2.1109486999999998</v>
      </c>
      <c r="F1968" s="9" t="str">
        <f t="shared" si="9"/>
        <v>Direct</v>
      </c>
      <c r="G1968" s="7" t="s">
        <v>11</v>
      </c>
    </row>
    <row r="1969" spans="1:7" x14ac:dyDescent="0.2">
      <c r="A1969" s="6" t="s">
        <v>8</v>
      </c>
      <c r="B1969" s="7" t="s">
        <v>13</v>
      </c>
      <c r="C1969" s="7" t="s">
        <v>951</v>
      </c>
      <c r="D1969" s="7">
        <v>1.1248794600000001</v>
      </c>
      <c r="E1969" s="7">
        <v>7.6193024400000002</v>
      </c>
      <c r="F1969" s="9" t="str">
        <f t="shared" si="9"/>
        <v>Direct</v>
      </c>
      <c r="G1969" s="7" t="s">
        <v>952</v>
      </c>
    </row>
    <row r="1970" spans="1:7" x14ac:dyDescent="0.2">
      <c r="A1970" s="6" t="s">
        <v>8</v>
      </c>
      <c r="B1970" s="7" t="s">
        <v>13</v>
      </c>
      <c r="C1970" s="7" t="s">
        <v>2447</v>
      </c>
      <c r="D1970" s="7">
        <v>1.2218678199999999</v>
      </c>
      <c r="E1970" s="7">
        <v>20.6814392</v>
      </c>
      <c r="F1970" s="9" t="str">
        <f t="shared" si="9"/>
        <v>Direct</v>
      </c>
      <c r="G1970" s="7" t="s">
        <v>11</v>
      </c>
    </row>
    <row r="1971" spans="1:7" x14ac:dyDescent="0.2">
      <c r="A1971" s="6" t="s">
        <v>8</v>
      </c>
      <c r="B1971" s="7" t="s">
        <v>13</v>
      </c>
      <c r="C1971" s="7" t="s">
        <v>2448</v>
      </c>
      <c r="D1971" s="7">
        <v>1.2795563299999999</v>
      </c>
      <c r="E1971" s="7">
        <v>3.8794041699999999</v>
      </c>
      <c r="F1971" s="9" t="str">
        <f t="shared" si="9"/>
        <v>Direct</v>
      </c>
      <c r="G1971" s="7" t="s">
        <v>1208</v>
      </c>
    </row>
    <row r="1972" spans="1:7" x14ac:dyDescent="0.2">
      <c r="A1972" s="6" t="s">
        <v>8</v>
      </c>
      <c r="B1972" s="7" t="s">
        <v>13</v>
      </c>
      <c r="C1972" s="7" t="s">
        <v>2449</v>
      </c>
      <c r="D1972" s="7">
        <v>2.2336497400000002</v>
      </c>
      <c r="E1972" s="7">
        <v>8.0174180899999996</v>
      </c>
      <c r="F1972" s="9" t="str">
        <f t="shared" si="9"/>
        <v>Direct</v>
      </c>
      <c r="G1972" s="7" t="s">
        <v>11</v>
      </c>
    </row>
    <row r="1973" spans="1:7" x14ac:dyDescent="0.2">
      <c r="A1973" s="6" t="s">
        <v>8</v>
      </c>
      <c r="B1973" s="7" t="s">
        <v>13</v>
      </c>
      <c r="C1973" s="7" t="s">
        <v>2450</v>
      </c>
      <c r="D1973" s="7">
        <v>3.91623535</v>
      </c>
      <c r="E1973" s="7">
        <v>10.243646699999999</v>
      </c>
      <c r="F1973" s="9" t="str">
        <f t="shared" si="9"/>
        <v>Direct</v>
      </c>
      <c r="G1973" s="7" t="s">
        <v>11</v>
      </c>
    </row>
    <row r="1974" spans="1:7" x14ac:dyDescent="0.2">
      <c r="A1974" s="6" t="s">
        <v>8</v>
      </c>
      <c r="B1974" s="7" t="s">
        <v>13</v>
      </c>
      <c r="C1974" s="7" t="s">
        <v>2451</v>
      </c>
      <c r="D1974" s="7">
        <v>1.4537634500000001</v>
      </c>
      <c r="E1974" s="7">
        <v>2.5167607900000002</v>
      </c>
      <c r="F1974" s="9" t="str">
        <f t="shared" si="9"/>
        <v>Direct</v>
      </c>
      <c r="G1974" s="7" t="s">
        <v>958</v>
      </c>
    </row>
    <row r="1975" spans="1:7" x14ac:dyDescent="0.2">
      <c r="A1975" s="6" t="s">
        <v>8</v>
      </c>
      <c r="B1975" s="7" t="s">
        <v>13</v>
      </c>
      <c r="C1975" s="7" t="s">
        <v>957</v>
      </c>
      <c r="D1975" s="7">
        <v>5.3959248799999999</v>
      </c>
      <c r="E1975" s="7">
        <v>11.373321300000001</v>
      </c>
      <c r="F1975" s="9" t="str">
        <f t="shared" si="9"/>
        <v>Direct</v>
      </c>
      <c r="G1975" s="7" t="s">
        <v>958</v>
      </c>
    </row>
    <row r="1976" spans="1:7" x14ac:dyDescent="0.2">
      <c r="A1976" s="6" t="s">
        <v>8</v>
      </c>
      <c r="B1976" s="7" t="s">
        <v>13</v>
      </c>
      <c r="C1976" s="7" t="s">
        <v>2452</v>
      </c>
      <c r="D1976" s="7">
        <v>1.1599752299999999</v>
      </c>
      <c r="E1976" s="7">
        <v>3.5404025400000001</v>
      </c>
      <c r="F1976" s="9" t="str">
        <f t="shared" si="9"/>
        <v>Direct</v>
      </c>
      <c r="G1976" s="7" t="s">
        <v>2453</v>
      </c>
    </row>
    <row r="1977" spans="1:7" x14ac:dyDescent="0.2">
      <c r="A1977" s="6" t="s">
        <v>8</v>
      </c>
      <c r="B1977" s="7" t="s">
        <v>13</v>
      </c>
      <c r="C1977" s="7" t="s">
        <v>959</v>
      </c>
      <c r="D1977" s="7">
        <v>2.3262100399999999</v>
      </c>
      <c r="E1977" s="7">
        <v>1.15073947</v>
      </c>
      <c r="F1977" s="9" t="str">
        <f t="shared" si="9"/>
        <v>Direct</v>
      </c>
      <c r="G1977" s="7" t="s">
        <v>11</v>
      </c>
    </row>
    <row r="1978" spans="1:7" x14ac:dyDescent="0.2">
      <c r="A1978" s="6" t="s">
        <v>8</v>
      </c>
      <c r="B1978" s="7" t="s">
        <v>13</v>
      </c>
      <c r="C1978" s="7" t="s">
        <v>962</v>
      </c>
      <c r="D1978" s="7">
        <v>5.3959248799999999</v>
      </c>
      <c r="E1978" s="7">
        <v>4.3032989300000004</v>
      </c>
      <c r="F1978" s="9" t="str">
        <f t="shared" si="9"/>
        <v>Direct</v>
      </c>
      <c r="G1978" s="7" t="s">
        <v>963</v>
      </c>
    </row>
    <row r="1979" spans="1:7" x14ac:dyDescent="0.2">
      <c r="A1979" s="6" t="s">
        <v>8</v>
      </c>
      <c r="B1979" s="7" t="s">
        <v>13</v>
      </c>
      <c r="C1979" s="7" t="s">
        <v>964</v>
      </c>
      <c r="D1979" s="7">
        <v>1.38825877</v>
      </c>
      <c r="E1979" s="7">
        <v>5.2803950200000003</v>
      </c>
      <c r="F1979" s="9" t="str">
        <f t="shared" si="9"/>
        <v>Direct</v>
      </c>
      <c r="G1979" s="7" t="s">
        <v>965</v>
      </c>
    </row>
    <row r="1980" spans="1:7" x14ac:dyDescent="0.2">
      <c r="A1980" s="6" t="s">
        <v>8</v>
      </c>
      <c r="B1980" s="7" t="s">
        <v>13</v>
      </c>
      <c r="C1980" s="7" t="s">
        <v>967</v>
      </c>
      <c r="D1980" s="7">
        <v>1.37843611</v>
      </c>
      <c r="E1980" s="7">
        <v>3.9245745900000002</v>
      </c>
      <c r="F1980" s="9" t="str">
        <f t="shared" si="9"/>
        <v>Direct</v>
      </c>
      <c r="G1980" s="7" t="s">
        <v>11</v>
      </c>
    </row>
    <row r="1981" spans="1:7" x14ac:dyDescent="0.2">
      <c r="A1981" s="6" t="s">
        <v>8</v>
      </c>
      <c r="B1981" s="7" t="s">
        <v>13</v>
      </c>
      <c r="C1981" s="7" t="s">
        <v>968</v>
      </c>
      <c r="D1981" s="7">
        <v>1.0398261900000001</v>
      </c>
      <c r="E1981" s="7">
        <v>2.9902055299999999</v>
      </c>
      <c r="F1981" s="9" t="str">
        <f t="shared" si="9"/>
        <v>Direct</v>
      </c>
      <c r="G1981" s="7" t="s">
        <v>961</v>
      </c>
    </row>
    <row r="1982" spans="1:7" x14ac:dyDescent="0.2">
      <c r="A1982" s="6" t="s">
        <v>8</v>
      </c>
      <c r="B1982" s="7" t="s">
        <v>13</v>
      </c>
      <c r="C1982" s="7" t="s">
        <v>2454</v>
      </c>
      <c r="D1982" s="7">
        <v>1.58835645</v>
      </c>
      <c r="E1982" s="7">
        <v>1.5264729500000001</v>
      </c>
      <c r="F1982" s="9" t="str">
        <f t="shared" si="9"/>
        <v>Direct</v>
      </c>
      <c r="G1982" s="7" t="s">
        <v>11</v>
      </c>
    </row>
    <row r="1983" spans="1:7" x14ac:dyDescent="0.2">
      <c r="A1983" s="6" t="s">
        <v>8</v>
      </c>
      <c r="B1983" s="7" t="s">
        <v>13</v>
      </c>
      <c r="C1983" s="7" t="s">
        <v>2455</v>
      </c>
      <c r="D1983" s="7">
        <v>4.45454112</v>
      </c>
      <c r="E1983" s="7">
        <v>7.91285521</v>
      </c>
      <c r="F1983" s="9" t="str">
        <f t="shared" si="9"/>
        <v>Direct</v>
      </c>
      <c r="G1983" s="7" t="s">
        <v>11</v>
      </c>
    </row>
    <row r="1984" spans="1:7" x14ac:dyDescent="0.2">
      <c r="A1984" s="6" t="s">
        <v>8</v>
      </c>
      <c r="B1984" s="7" t="s">
        <v>13</v>
      </c>
      <c r="C1984" s="7" t="s">
        <v>2456</v>
      </c>
      <c r="D1984" s="7">
        <v>1.9251263199999999</v>
      </c>
      <c r="E1984" s="7">
        <v>1.18354195</v>
      </c>
      <c r="F1984" s="9" t="str">
        <f t="shared" si="9"/>
        <v>Direct</v>
      </c>
      <c r="G1984" s="7" t="s">
        <v>11</v>
      </c>
    </row>
    <row r="1985" spans="1:7" x14ac:dyDescent="0.2">
      <c r="A1985" s="6" t="s">
        <v>8</v>
      </c>
      <c r="B1985" s="7" t="s">
        <v>13</v>
      </c>
      <c r="C1985" s="7" t="s">
        <v>2457</v>
      </c>
      <c r="D1985" s="7">
        <v>1.1069429200000001</v>
      </c>
      <c r="E1985" s="7">
        <v>1.3856737400000001</v>
      </c>
      <c r="F1985" s="9" t="str">
        <f t="shared" si="9"/>
        <v>Direct</v>
      </c>
      <c r="G1985" s="7" t="s">
        <v>2458</v>
      </c>
    </row>
    <row r="1986" spans="1:7" x14ac:dyDescent="0.2">
      <c r="A1986" s="6" t="s">
        <v>8</v>
      </c>
      <c r="B1986" s="7" t="s">
        <v>13</v>
      </c>
      <c r="C1986" s="7" t="s">
        <v>2459</v>
      </c>
      <c r="D1986" s="7">
        <v>-1.1459634000000001</v>
      </c>
      <c r="E1986" s="7">
        <v>-2.5150131999999998</v>
      </c>
      <c r="F1986" s="9" t="str">
        <f t="shared" si="9"/>
        <v>Direct</v>
      </c>
      <c r="G1986" s="7" t="s">
        <v>2460</v>
      </c>
    </row>
    <row r="1987" spans="1:7" x14ac:dyDescent="0.2">
      <c r="A1987" s="6" t="s">
        <v>8</v>
      </c>
      <c r="B1987" s="7" t="s">
        <v>13</v>
      </c>
      <c r="C1987" s="7" t="s">
        <v>2461</v>
      </c>
      <c r="D1987" s="7">
        <v>1.1148370299999999</v>
      </c>
      <c r="E1987" s="7">
        <v>2.2233501699999998</v>
      </c>
      <c r="F1987" s="9" t="str">
        <f t="shared" si="9"/>
        <v>Direct</v>
      </c>
      <c r="G1987" s="7" t="s">
        <v>11</v>
      </c>
    </row>
    <row r="1988" spans="1:7" x14ac:dyDescent="0.2">
      <c r="A1988" s="6" t="s">
        <v>8</v>
      </c>
      <c r="B1988" s="7" t="s">
        <v>13</v>
      </c>
      <c r="C1988" s="7" t="s">
        <v>973</v>
      </c>
      <c r="D1988" s="7">
        <v>-1.5458292</v>
      </c>
      <c r="E1988" s="7">
        <v>-2.4696815999999999</v>
      </c>
      <c r="F1988" s="9" t="str">
        <f t="shared" si="9"/>
        <v>Direct</v>
      </c>
      <c r="G1988" s="7" t="s">
        <v>11</v>
      </c>
    </row>
    <row r="1989" spans="1:7" x14ac:dyDescent="0.2">
      <c r="A1989" s="6" t="s">
        <v>8</v>
      </c>
      <c r="B1989" s="7" t="s">
        <v>13</v>
      </c>
      <c r="C1989" s="7" t="s">
        <v>2462</v>
      </c>
      <c r="D1989" s="7">
        <v>-1.5396224000000001</v>
      </c>
      <c r="E1989" s="7">
        <v>-1.2784584000000001</v>
      </c>
      <c r="F1989" s="9" t="str">
        <f t="shared" si="9"/>
        <v>Direct</v>
      </c>
      <c r="G1989" s="7" t="s">
        <v>11</v>
      </c>
    </row>
    <row r="1990" spans="1:7" x14ac:dyDescent="0.2">
      <c r="A1990" s="6" t="s">
        <v>8</v>
      </c>
      <c r="B1990" s="7" t="s">
        <v>13</v>
      </c>
      <c r="C1990" s="7" t="s">
        <v>2463</v>
      </c>
      <c r="D1990" s="7">
        <v>-2.0748804000000001</v>
      </c>
      <c r="E1990" s="7">
        <v>-1.0697365999999999</v>
      </c>
      <c r="F1990" s="9" t="str">
        <f t="shared" si="9"/>
        <v>Direct</v>
      </c>
      <c r="G1990" s="7" t="s">
        <v>11</v>
      </c>
    </row>
    <row r="1991" spans="1:7" x14ac:dyDescent="0.2">
      <c r="A1991" s="6" t="s">
        <v>8</v>
      </c>
      <c r="B1991" s="7" t="s">
        <v>13</v>
      </c>
      <c r="C1991" s="7" t="s">
        <v>974</v>
      </c>
      <c r="D1991" s="7">
        <v>-3.1884497000000001</v>
      </c>
      <c r="E1991" s="7">
        <v>-3.6973305000000001</v>
      </c>
      <c r="F1991" s="9" t="str">
        <f t="shared" si="9"/>
        <v>Direct</v>
      </c>
      <c r="G1991" s="7" t="s">
        <v>11</v>
      </c>
    </row>
    <row r="1992" spans="1:7" x14ac:dyDescent="0.2">
      <c r="A1992" s="6" t="s">
        <v>8</v>
      </c>
      <c r="B1992" s="7" t="s">
        <v>13</v>
      </c>
      <c r="C1992" s="7" t="s">
        <v>2464</v>
      </c>
      <c r="D1992" s="7">
        <v>-1.3467815000000001</v>
      </c>
      <c r="E1992" s="7">
        <v>-7.9273603000000001</v>
      </c>
      <c r="F1992" s="9" t="str">
        <f t="shared" si="9"/>
        <v>Direct</v>
      </c>
      <c r="G1992" s="7" t="s">
        <v>2465</v>
      </c>
    </row>
    <row r="1993" spans="1:7" x14ac:dyDescent="0.2">
      <c r="A1993" s="6" t="s">
        <v>8</v>
      </c>
      <c r="B1993" s="7" t="s">
        <v>13</v>
      </c>
      <c r="C1993" s="7" t="s">
        <v>2466</v>
      </c>
      <c r="D1993" s="7">
        <v>3.4050622700000002</v>
      </c>
      <c r="E1993" s="7">
        <v>3.50171521</v>
      </c>
      <c r="F1993" s="9" t="str">
        <f t="shared" si="9"/>
        <v>Direct</v>
      </c>
      <c r="G1993" s="7" t="s">
        <v>11</v>
      </c>
    </row>
    <row r="1994" spans="1:7" x14ac:dyDescent="0.2">
      <c r="A1994" s="6" t="s">
        <v>8</v>
      </c>
      <c r="B1994" s="7" t="s">
        <v>13</v>
      </c>
      <c r="C1994" s="7" t="s">
        <v>2467</v>
      </c>
      <c r="D1994" s="7">
        <v>1.18643845</v>
      </c>
      <c r="E1994" s="7">
        <v>1.4114922299999999</v>
      </c>
      <c r="F1994" s="9" t="str">
        <f t="shared" si="9"/>
        <v>Direct</v>
      </c>
      <c r="G1994" s="7" t="s">
        <v>11</v>
      </c>
    </row>
    <row r="1995" spans="1:7" x14ac:dyDescent="0.2">
      <c r="A1995" s="6" t="s">
        <v>8</v>
      </c>
      <c r="B1995" s="7" t="s">
        <v>13</v>
      </c>
      <c r="C1995" s="7" t="s">
        <v>2468</v>
      </c>
      <c r="D1995" s="7">
        <v>1.7482038600000001</v>
      </c>
      <c r="E1995" s="7">
        <v>1.84562465</v>
      </c>
      <c r="F1995" s="9" t="str">
        <f t="shared" si="9"/>
        <v>Direct</v>
      </c>
      <c r="G1995" s="7" t="s">
        <v>2469</v>
      </c>
    </row>
    <row r="1996" spans="1:7" x14ac:dyDescent="0.2">
      <c r="A1996" s="6" t="s">
        <v>8</v>
      </c>
      <c r="B1996" s="7" t="s">
        <v>13</v>
      </c>
      <c r="C1996" s="7" t="s">
        <v>2470</v>
      </c>
      <c r="D1996" s="7">
        <v>2.8904380199999999</v>
      </c>
      <c r="E1996" s="7">
        <v>1.55164415</v>
      </c>
      <c r="F1996" s="9" t="str">
        <f t="shared" si="9"/>
        <v>Direct</v>
      </c>
      <c r="G1996" s="7" t="s">
        <v>2471</v>
      </c>
    </row>
    <row r="1997" spans="1:7" x14ac:dyDescent="0.2">
      <c r="A1997" s="6" t="s">
        <v>8</v>
      </c>
      <c r="B1997" s="7" t="s">
        <v>13</v>
      </c>
      <c r="C1997" s="7" t="s">
        <v>2472</v>
      </c>
      <c r="D1997" s="7">
        <v>7.7334497999999998</v>
      </c>
      <c r="E1997" s="7">
        <v>12.944240199999999</v>
      </c>
      <c r="F1997" s="9" t="str">
        <f t="shared" si="9"/>
        <v>Direct</v>
      </c>
      <c r="G1997" s="7" t="s">
        <v>2473</v>
      </c>
    </row>
    <row r="1998" spans="1:7" x14ac:dyDescent="0.2">
      <c r="A1998" s="6" t="s">
        <v>8</v>
      </c>
      <c r="B1998" s="7" t="s">
        <v>13</v>
      </c>
      <c r="C1998" s="7" t="s">
        <v>2474</v>
      </c>
      <c r="D1998" s="7">
        <v>1.3057702899999999</v>
      </c>
      <c r="E1998" s="7">
        <v>1.6279139600000001</v>
      </c>
      <c r="F1998" s="9" t="str">
        <f t="shared" si="9"/>
        <v>Direct</v>
      </c>
      <c r="G1998" s="7" t="s">
        <v>2475</v>
      </c>
    </row>
    <row r="1999" spans="1:7" x14ac:dyDescent="0.2">
      <c r="A1999" s="6" t="s">
        <v>8</v>
      </c>
      <c r="B1999" s="7" t="s">
        <v>13</v>
      </c>
      <c r="C1999" s="7" t="s">
        <v>984</v>
      </c>
      <c r="D1999" s="7">
        <v>1.1170326500000001</v>
      </c>
      <c r="E1999" s="7">
        <v>-1.2542869000000001</v>
      </c>
      <c r="F1999" s="9" t="str">
        <f t="shared" si="9"/>
        <v>Inverse</v>
      </c>
      <c r="G1999" s="7" t="s">
        <v>11</v>
      </c>
    </row>
    <row r="2000" spans="1:7" x14ac:dyDescent="0.2">
      <c r="A2000" s="6" t="s">
        <v>8</v>
      </c>
      <c r="B2000" s="7" t="s">
        <v>13</v>
      </c>
      <c r="C2000" s="7" t="s">
        <v>2476</v>
      </c>
      <c r="D2000" s="7">
        <v>1.7916723400000001</v>
      </c>
      <c r="E2000" s="7">
        <v>1.1728132200000001</v>
      </c>
      <c r="F2000" s="9" t="str">
        <f t="shared" si="9"/>
        <v>Direct</v>
      </c>
      <c r="G2000" s="7" t="s">
        <v>510</v>
      </c>
    </row>
    <row r="2001" spans="1:7" x14ac:dyDescent="0.2">
      <c r="A2001" s="6" t="s">
        <v>8</v>
      </c>
      <c r="B2001" s="7" t="s">
        <v>13</v>
      </c>
      <c r="C2001" s="7" t="s">
        <v>2477</v>
      </c>
      <c r="D2001" s="7">
        <v>1.3455280700000001</v>
      </c>
      <c r="E2001" s="7">
        <v>13.1268406</v>
      </c>
      <c r="F2001" s="9" t="str">
        <f t="shared" si="9"/>
        <v>Direct</v>
      </c>
      <c r="G2001" s="7" t="s">
        <v>1118</v>
      </c>
    </row>
    <row r="2002" spans="1:7" x14ac:dyDescent="0.2">
      <c r="A2002" s="6" t="s">
        <v>8</v>
      </c>
      <c r="B2002" s="7" t="s">
        <v>13</v>
      </c>
      <c r="C2002" s="7" t="s">
        <v>2478</v>
      </c>
      <c r="D2002" s="7">
        <v>-1.1877042</v>
      </c>
      <c r="E2002" s="7">
        <v>-1.1722013</v>
      </c>
      <c r="F2002" s="9" t="str">
        <f t="shared" si="9"/>
        <v>Direct</v>
      </c>
      <c r="G2002" s="7" t="s">
        <v>2479</v>
      </c>
    </row>
    <row r="2003" spans="1:7" x14ac:dyDescent="0.2">
      <c r="A2003" s="6" t="s">
        <v>8</v>
      </c>
      <c r="B2003" s="7" t="s">
        <v>13</v>
      </c>
      <c r="C2003" s="7" t="s">
        <v>985</v>
      </c>
      <c r="D2003" s="7">
        <v>-1.9043947999999999</v>
      </c>
      <c r="E2003" s="7">
        <v>-1.4588563000000001</v>
      </c>
      <c r="F2003" s="9" t="str">
        <f t="shared" si="9"/>
        <v>Direct</v>
      </c>
      <c r="G2003" s="7" t="s">
        <v>11</v>
      </c>
    </row>
    <row r="2004" spans="1:7" x14ac:dyDescent="0.2">
      <c r="A2004" s="6" t="s">
        <v>8</v>
      </c>
      <c r="B2004" s="7" t="s">
        <v>13</v>
      </c>
      <c r="C2004" s="7" t="s">
        <v>2480</v>
      </c>
      <c r="D2004" s="7">
        <v>1.9946522799999999</v>
      </c>
      <c r="E2004" s="7">
        <v>2.7540954599999998</v>
      </c>
      <c r="F2004" s="9" t="str">
        <f t="shared" si="9"/>
        <v>Direct</v>
      </c>
      <c r="G2004" s="7" t="s">
        <v>11</v>
      </c>
    </row>
    <row r="2005" spans="1:7" x14ac:dyDescent="0.2">
      <c r="A2005" s="6" t="s">
        <v>8</v>
      </c>
      <c r="B2005" s="7" t="s">
        <v>13</v>
      </c>
      <c r="C2005" s="7" t="s">
        <v>2481</v>
      </c>
      <c r="D2005" s="7">
        <v>3.66511619</v>
      </c>
      <c r="E2005" s="7">
        <v>6.5295731699999999</v>
      </c>
      <c r="F2005" s="9" t="str">
        <f t="shared" si="9"/>
        <v>Direct</v>
      </c>
      <c r="G2005" s="7" t="s">
        <v>11</v>
      </c>
    </row>
    <row r="2006" spans="1:7" x14ac:dyDescent="0.2">
      <c r="A2006" s="6" t="s">
        <v>8</v>
      </c>
      <c r="B2006" s="7" t="s">
        <v>13</v>
      </c>
      <c r="C2006" s="7" t="s">
        <v>2482</v>
      </c>
      <c r="D2006" s="7">
        <v>2.5435162199999999</v>
      </c>
      <c r="E2006" s="7">
        <v>2.0724391199999999</v>
      </c>
      <c r="F2006" s="9" t="str">
        <f t="shared" si="9"/>
        <v>Direct</v>
      </c>
      <c r="G2006" s="7" t="s">
        <v>2483</v>
      </c>
    </row>
    <row r="2007" spans="1:7" x14ac:dyDescent="0.2">
      <c r="A2007" s="6" t="s">
        <v>8</v>
      </c>
      <c r="B2007" s="7" t="s">
        <v>13</v>
      </c>
      <c r="C2007" s="7" t="s">
        <v>2484</v>
      </c>
      <c r="D2007" s="7">
        <v>-1.3707745</v>
      </c>
      <c r="E2007" s="7">
        <v>-3.2909535000000001</v>
      </c>
      <c r="F2007" s="9" t="str">
        <f t="shared" si="9"/>
        <v>Direct</v>
      </c>
      <c r="G2007" s="7" t="s">
        <v>11</v>
      </c>
    </row>
    <row r="2008" spans="1:7" x14ac:dyDescent="0.2">
      <c r="A2008" s="6" t="s">
        <v>8</v>
      </c>
      <c r="B2008" s="7" t="s">
        <v>13</v>
      </c>
      <c r="C2008" s="7" t="s">
        <v>2485</v>
      </c>
      <c r="D2008" s="7">
        <v>-1.6388484999999999</v>
      </c>
      <c r="E2008" s="7">
        <v>-2.2262012000000002</v>
      </c>
      <c r="F2008" s="9" t="str">
        <f t="shared" si="9"/>
        <v>Direct</v>
      </c>
      <c r="G2008" s="7" t="s">
        <v>11</v>
      </c>
    </row>
    <row r="2009" spans="1:7" x14ac:dyDescent="0.2">
      <c r="A2009" s="6" t="s">
        <v>8</v>
      </c>
      <c r="B2009" s="7" t="s">
        <v>13</v>
      </c>
      <c r="C2009" s="7" t="s">
        <v>989</v>
      </c>
      <c r="D2009" s="7">
        <v>-3.1594977000000002</v>
      </c>
      <c r="E2009" s="7">
        <v>-3.6759738</v>
      </c>
      <c r="F2009" s="9" t="str">
        <f t="shared" si="9"/>
        <v>Direct</v>
      </c>
      <c r="G2009" s="7" t="s">
        <v>11</v>
      </c>
    </row>
    <row r="2010" spans="1:7" x14ac:dyDescent="0.2">
      <c r="A2010" s="6" t="s">
        <v>8</v>
      </c>
      <c r="B2010" s="7" t="s">
        <v>13</v>
      </c>
      <c r="C2010" s="7" t="s">
        <v>2486</v>
      </c>
      <c r="D2010" s="7">
        <v>1.60801349</v>
      </c>
      <c r="E2010" s="7">
        <v>7.0558849099999996</v>
      </c>
      <c r="F2010" s="9" t="str">
        <f t="shared" si="9"/>
        <v>Direct</v>
      </c>
      <c r="G2010" s="7" t="s">
        <v>11</v>
      </c>
    </row>
    <row r="2011" spans="1:7" x14ac:dyDescent="0.2">
      <c r="A2011" s="6" t="s">
        <v>8</v>
      </c>
      <c r="B2011" s="7" t="s">
        <v>13</v>
      </c>
      <c r="C2011" s="7" t="s">
        <v>2487</v>
      </c>
      <c r="D2011" s="7">
        <v>2.5940509500000002</v>
      </c>
      <c r="E2011" s="7">
        <v>3.2264126599999998</v>
      </c>
      <c r="F2011" s="9" t="str">
        <f t="shared" si="9"/>
        <v>Direct</v>
      </c>
      <c r="G2011" s="7" t="s">
        <v>2488</v>
      </c>
    </row>
    <row r="2012" spans="1:7" x14ac:dyDescent="0.2">
      <c r="A2012" s="6" t="s">
        <v>8</v>
      </c>
      <c r="B2012" s="7" t="s">
        <v>13</v>
      </c>
      <c r="C2012" s="7" t="s">
        <v>2489</v>
      </c>
      <c r="D2012" s="7">
        <v>1.51599561</v>
      </c>
      <c r="E2012" s="7">
        <v>2.6958454500000002</v>
      </c>
      <c r="F2012" s="9" t="str">
        <f t="shared" si="9"/>
        <v>Direct</v>
      </c>
      <c r="G2012" s="7" t="s">
        <v>11</v>
      </c>
    </row>
    <row r="2013" spans="1:7" x14ac:dyDescent="0.2">
      <c r="A2013" s="6" t="s">
        <v>8</v>
      </c>
      <c r="B2013" s="7" t="s">
        <v>13</v>
      </c>
      <c r="C2013" s="7" t="s">
        <v>2490</v>
      </c>
      <c r="D2013" s="7">
        <v>-1.5290946000000001</v>
      </c>
      <c r="E2013" s="7">
        <v>-3.8187411</v>
      </c>
      <c r="F2013" s="9" t="str">
        <f t="shared" si="9"/>
        <v>Direct</v>
      </c>
      <c r="G2013" s="7" t="s">
        <v>11</v>
      </c>
    </row>
    <row r="2014" spans="1:7" x14ac:dyDescent="0.2">
      <c r="A2014" s="6" t="s">
        <v>8</v>
      </c>
      <c r="B2014" s="7" t="s">
        <v>13</v>
      </c>
      <c r="C2014" s="7" t="s">
        <v>2491</v>
      </c>
      <c r="D2014" s="7">
        <v>-2.3631381</v>
      </c>
      <c r="E2014" s="7">
        <v>-1.4778871</v>
      </c>
      <c r="F2014" s="9" t="str">
        <f t="shared" si="9"/>
        <v>Direct</v>
      </c>
      <c r="G2014" s="7" t="s">
        <v>2492</v>
      </c>
    </row>
    <row r="2015" spans="1:7" x14ac:dyDescent="0.2">
      <c r="A2015" s="6" t="s">
        <v>8</v>
      </c>
      <c r="B2015" s="7" t="s">
        <v>13</v>
      </c>
      <c r="C2015" s="7" t="s">
        <v>2493</v>
      </c>
      <c r="D2015" s="7">
        <v>-3.3148349000000001</v>
      </c>
      <c r="E2015" s="7">
        <v>-3.8655617000000002</v>
      </c>
      <c r="F2015" s="9" t="str">
        <f t="shared" si="9"/>
        <v>Direct</v>
      </c>
      <c r="G2015" s="7" t="s">
        <v>11</v>
      </c>
    </row>
    <row r="2016" spans="1:7" x14ac:dyDescent="0.2">
      <c r="A2016" s="6" t="s">
        <v>8</v>
      </c>
      <c r="B2016" s="7" t="s">
        <v>13</v>
      </c>
      <c r="C2016" s="7" t="s">
        <v>990</v>
      </c>
      <c r="D2016" s="7">
        <v>-1.3650439000000001</v>
      </c>
      <c r="E2016" s="7">
        <v>-1.1554838999999999</v>
      </c>
      <c r="F2016" s="9" t="str">
        <f t="shared" si="9"/>
        <v>Direct</v>
      </c>
      <c r="G2016" s="7" t="s">
        <v>11</v>
      </c>
    </row>
    <row r="2017" spans="1:7" x14ac:dyDescent="0.2">
      <c r="A2017" s="6" t="s">
        <v>8</v>
      </c>
      <c r="B2017" s="7" t="s">
        <v>13</v>
      </c>
      <c r="C2017" s="7" t="s">
        <v>991</v>
      </c>
      <c r="D2017" s="7">
        <v>2.5674870300000001</v>
      </c>
      <c r="E2017" s="7">
        <v>2.4298547400000001</v>
      </c>
      <c r="F2017" s="9" t="str">
        <f t="shared" si="9"/>
        <v>Direct</v>
      </c>
      <c r="G2017" s="7" t="s">
        <v>11</v>
      </c>
    </row>
    <row r="2018" spans="1:7" x14ac:dyDescent="0.2">
      <c r="A2018" s="6" t="s">
        <v>8</v>
      </c>
      <c r="B2018" s="7" t="s">
        <v>13</v>
      </c>
      <c r="C2018" s="7" t="s">
        <v>2494</v>
      </c>
      <c r="D2018" s="7">
        <v>1.62141311</v>
      </c>
      <c r="E2018" s="7">
        <v>1.5039383500000001</v>
      </c>
      <c r="F2018" s="9" t="str">
        <f t="shared" si="9"/>
        <v>Direct</v>
      </c>
      <c r="G2018" s="7" t="s">
        <v>11</v>
      </c>
    </row>
    <row r="2019" spans="1:7" x14ac:dyDescent="0.2">
      <c r="A2019" s="6" t="s">
        <v>8</v>
      </c>
      <c r="B2019" s="7" t="s">
        <v>13</v>
      </c>
      <c r="C2019" s="7" t="s">
        <v>2495</v>
      </c>
      <c r="D2019" s="7">
        <v>1.2795563299999999</v>
      </c>
      <c r="E2019" s="7">
        <v>3.86891841</v>
      </c>
      <c r="F2019" s="9" t="str">
        <f t="shared" si="9"/>
        <v>Direct</v>
      </c>
      <c r="G2019" s="7" t="s">
        <v>11</v>
      </c>
    </row>
    <row r="2020" spans="1:7" x14ac:dyDescent="0.2">
      <c r="A2020" s="6" t="s">
        <v>8</v>
      </c>
      <c r="B2020" s="7" t="s">
        <v>13</v>
      </c>
      <c r="C2020" s="7" t="s">
        <v>1000</v>
      </c>
      <c r="D2020" s="7">
        <v>1.9811835499999999</v>
      </c>
      <c r="E2020" s="7">
        <v>2.6557986499999999</v>
      </c>
      <c r="F2020" s="9" t="str">
        <f t="shared" si="9"/>
        <v>Direct</v>
      </c>
      <c r="G2020" s="7" t="s">
        <v>693</v>
      </c>
    </row>
    <row r="2021" spans="1:7" x14ac:dyDescent="0.2">
      <c r="A2021" s="6" t="s">
        <v>8</v>
      </c>
      <c r="B2021" s="7" t="s">
        <v>13</v>
      </c>
      <c r="C2021" s="7" t="s">
        <v>2496</v>
      </c>
      <c r="D2021" s="7">
        <v>1.92535558</v>
      </c>
      <c r="E2021" s="7">
        <v>1.23420887</v>
      </c>
      <c r="F2021" s="9" t="str">
        <f t="shared" si="9"/>
        <v>Direct</v>
      </c>
      <c r="G2021" s="7" t="s">
        <v>200</v>
      </c>
    </row>
    <row r="2022" spans="1:7" x14ac:dyDescent="0.2">
      <c r="A2022" s="6" t="s">
        <v>8</v>
      </c>
      <c r="B2022" s="7" t="s">
        <v>13</v>
      </c>
      <c r="C2022" s="7" t="s">
        <v>2497</v>
      </c>
      <c r="D2022" s="7">
        <v>3.7069266500000002</v>
      </c>
      <c r="E2022" s="7">
        <v>2.5749878399999999</v>
      </c>
      <c r="F2022" s="9" t="str">
        <f t="shared" si="9"/>
        <v>Direct</v>
      </c>
      <c r="G2022" s="7" t="s">
        <v>11</v>
      </c>
    </row>
    <row r="2023" spans="1:7" x14ac:dyDescent="0.2">
      <c r="A2023" s="6" t="s">
        <v>8</v>
      </c>
      <c r="B2023" s="7" t="s">
        <v>13</v>
      </c>
      <c r="C2023" s="7" t="s">
        <v>2498</v>
      </c>
      <c r="D2023" s="7">
        <v>-1.4180173</v>
      </c>
      <c r="E2023" s="7">
        <v>-1.6265356</v>
      </c>
      <c r="F2023" s="9" t="str">
        <f t="shared" si="9"/>
        <v>Direct</v>
      </c>
      <c r="G2023" s="7" t="s">
        <v>11</v>
      </c>
    </row>
    <row r="2024" spans="1:7" x14ac:dyDescent="0.2">
      <c r="A2024" s="6" t="s">
        <v>8</v>
      </c>
      <c r="B2024" s="7" t="s">
        <v>13</v>
      </c>
      <c r="C2024" s="7" t="s">
        <v>2499</v>
      </c>
      <c r="D2024" s="7">
        <v>-1.1837192000000001</v>
      </c>
      <c r="E2024" s="7">
        <v>-5.2701785000000001</v>
      </c>
      <c r="F2024" s="9" t="str">
        <f t="shared" si="9"/>
        <v>Direct</v>
      </c>
      <c r="G2024" s="7" t="s">
        <v>200</v>
      </c>
    </row>
    <row r="2025" spans="1:7" x14ac:dyDescent="0.2">
      <c r="A2025" s="6" t="s">
        <v>8</v>
      </c>
      <c r="B2025" s="7" t="s">
        <v>13</v>
      </c>
      <c r="C2025" s="7" t="s">
        <v>1004</v>
      </c>
      <c r="D2025" s="7">
        <v>-1.0999703999999999</v>
      </c>
      <c r="E2025" s="7">
        <v>-1.0206507</v>
      </c>
      <c r="F2025" s="9" t="str">
        <f t="shared" si="9"/>
        <v>Direct</v>
      </c>
      <c r="G2025" s="7" t="s">
        <v>11</v>
      </c>
    </row>
    <row r="2026" spans="1:7" x14ac:dyDescent="0.2">
      <c r="A2026" s="6" t="s">
        <v>8</v>
      </c>
      <c r="B2026" s="7" t="s">
        <v>13</v>
      </c>
      <c r="C2026" s="7" t="s">
        <v>1005</v>
      </c>
      <c r="D2026" s="7">
        <v>-2.0959276999999998</v>
      </c>
      <c r="E2026" s="7">
        <v>-6.8961017</v>
      </c>
      <c r="F2026" s="9" t="str">
        <f t="shared" si="9"/>
        <v>Direct</v>
      </c>
      <c r="G2026" s="7" t="s">
        <v>11</v>
      </c>
    </row>
    <row r="2027" spans="1:7" x14ac:dyDescent="0.2">
      <c r="A2027" s="6" t="s">
        <v>8</v>
      </c>
      <c r="B2027" s="7" t="s">
        <v>13</v>
      </c>
      <c r="C2027" s="7" t="s">
        <v>1006</v>
      </c>
      <c r="D2027" s="7">
        <v>-3.4202587000000002</v>
      </c>
      <c r="E2027" s="7">
        <v>-5.3954108999999999</v>
      </c>
      <c r="F2027" s="9" t="str">
        <f t="shared" si="9"/>
        <v>Direct</v>
      </c>
      <c r="G2027" s="7" t="s">
        <v>11</v>
      </c>
    </row>
    <row r="2028" spans="1:7" x14ac:dyDescent="0.2">
      <c r="A2028" s="6" t="s">
        <v>8</v>
      </c>
      <c r="B2028" s="7" t="s">
        <v>13</v>
      </c>
      <c r="C2028" s="7" t="s">
        <v>2500</v>
      </c>
      <c r="D2028" s="7">
        <v>1.8661672</v>
      </c>
      <c r="E2028" s="7">
        <v>3.4248050299999999</v>
      </c>
      <c r="F2028" s="9" t="str">
        <f t="shared" si="9"/>
        <v>Direct</v>
      </c>
      <c r="G2028" s="7" t="s">
        <v>56</v>
      </c>
    </row>
    <row r="2029" spans="1:7" x14ac:dyDescent="0.2">
      <c r="A2029" s="6" t="s">
        <v>8</v>
      </c>
      <c r="B2029" s="7" t="s">
        <v>13</v>
      </c>
      <c r="C2029" s="7" t="s">
        <v>2501</v>
      </c>
      <c r="D2029" s="7">
        <v>-1.7920718</v>
      </c>
      <c r="E2029" s="7">
        <v>-4.8197051000000002</v>
      </c>
      <c r="F2029" s="9" t="str">
        <f t="shared" si="9"/>
        <v>Direct</v>
      </c>
      <c r="G2029" s="7" t="s">
        <v>11</v>
      </c>
    </row>
    <row r="2030" spans="1:7" x14ac:dyDescent="0.2">
      <c r="A2030" s="6" t="s">
        <v>8</v>
      </c>
      <c r="B2030" s="7" t="s">
        <v>13</v>
      </c>
      <c r="C2030" s="7" t="s">
        <v>2502</v>
      </c>
      <c r="D2030" s="7">
        <v>-1.3003673</v>
      </c>
      <c r="E2030" s="7">
        <v>-5.8037898999999999</v>
      </c>
      <c r="F2030" s="9" t="str">
        <f t="shared" si="9"/>
        <v>Direct</v>
      </c>
      <c r="G2030" s="7" t="s">
        <v>11</v>
      </c>
    </row>
    <row r="2031" spans="1:7" x14ac:dyDescent="0.2">
      <c r="A2031" s="6" t="s">
        <v>8</v>
      </c>
      <c r="B2031" s="7" t="s">
        <v>13</v>
      </c>
      <c r="C2031" s="7" t="s">
        <v>2503</v>
      </c>
      <c r="D2031" s="7">
        <v>3.1996988499999999</v>
      </c>
      <c r="E2031" s="7">
        <v>1.0842375399999999</v>
      </c>
      <c r="F2031" s="9" t="str">
        <f t="shared" si="9"/>
        <v>Direct</v>
      </c>
      <c r="G2031" s="7" t="s">
        <v>200</v>
      </c>
    </row>
    <row r="2032" spans="1:7" x14ac:dyDescent="0.2">
      <c r="A2032" s="6" t="s">
        <v>8</v>
      </c>
      <c r="B2032" s="7" t="s">
        <v>13</v>
      </c>
      <c r="C2032" s="7" t="s">
        <v>2504</v>
      </c>
      <c r="D2032" s="7">
        <v>1.6962735900000001</v>
      </c>
      <c r="E2032" s="7">
        <v>-1.0981201</v>
      </c>
      <c r="F2032" s="9" t="str">
        <f t="shared" si="9"/>
        <v>Inverse</v>
      </c>
      <c r="G2032" s="7" t="s">
        <v>200</v>
      </c>
    </row>
    <row r="2033" spans="1:7" x14ac:dyDescent="0.2">
      <c r="A2033" s="6" t="s">
        <v>8</v>
      </c>
      <c r="B2033" s="7" t="s">
        <v>13</v>
      </c>
      <c r="C2033" s="7" t="s">
        <v>1009</v>
      </c>
      <c r="D2033" s="7">
        <v>-3.1946257999999998</v>
      </c>
      <c r="E2033" s="7">
        <v>-6.1126594000000001</v>
      </c>
      <c r="F2033" s="9" t="str">
        <f t="shared" si="9"/>
        <v>Direct</v>
      </c>
      <c r="G2033" s="7" t="s">
        <v>11</v>
      </c>
    </row>
    <row r="2034" spans="1:7" x14ac:dyDescent="0.2">
      <c r="A2034" s="6" t="s">
        <v>8</v>
      </c>
      <c r="B2034" s="7" t="s">
        <v>13</v>
      </c>
      <c r="C2034" s="7" t="s">
        <v>2505</v>
      </c>
      <c r="D2034" s="7">
        <v>2.51725435</v>
      </c>
      <c r="E2034" s="7">
        <v>7.4340816099999998</v>
      </c>
      <c r="F2034" s="9" t="str">
        <f t="shared" si="9"/>
        <v>Direct</v>
      </c>
      <c r="G2034" s="7" t="s">
        <v>243</v>
      </c>
    </row>
    <row r="2035" spans="1:7" x14ac:dyDescent="0.2">
      <c r="A2035" s="6" t="s">
        <v>8</v>
      </c>
      <c r="B2035" s="7" t="s">
        <v>13</v>
      </c>
      <c r="C2035" s="7" t="s">
        <v>2506</v>
      </c>
      <c r="D2035" s="7">
        <v>1.0854244799999999</v>
      </c>
      <c r="E2035" s="7">
        <v>3.2289153399999999</v>
      </c>
      <c r="F2035" s="9" t="str">
        <f t="shared" si="9"/>
        <v>Direct</v>
      </c>
      <c r="G2035" s="7" t="s">
        <v>2507</v>
      </c>
    </row>
    <row r="2036" spans="1:7" x14ac:dyDescent="0.2">
      <c r="A2036" s="6" t="s">
        <v>8</v>
      </c>
      <c r="B2036" s="7" t="s">
        <v>13</v>
      </c>
      <c r="C2036" s="7" t="s">
        <v>2508</v>
      </c>
      <c r="D2036" s="7">
        <v>-1.1576719</v>
      </c>
      <c r="E2036" s="7">
        <v>-2.0046039000000002</v>
      </c>
      <c r="F2036" s="9" t="str">
        <f t="shared" si="9"/>
        <v>Direct</v>
      </c>
      <c r="G2036" s="7" t="s">
        <v>2509</v>
      </c>
    </row>
    <row r="2037" spans="1:7" x14ac:dyDescent="0.2">
      <c r="A2037" s="6" t="s">
        <v>8</v>
      </c>
      <c r="B2037" s="7" t="s">
        <v>13</v>
      </c>
      <c r="C2037" s="7" t="s">
        <v>2510</v>
      </c>
      <c r="D2037" s="7">
        <v>-1.7422503</v>
      </c>
      <c r="E2037" s="7">
        <v>-1.4893091000000001</v>
      </c>
      <c r="F2037" s="9" t="str">
        <f t="shared" si="9"/>
        <v>Direct</v>
      </c>
      <c r="G2037" s="7" t="s">
        <v>11</v>
      </c>
    </row>
    <row r="2038" spans="1:7" x14ac:dyDescent="0.2">
      <c r="A2038" s="6" t="s">
        <v>8</v>
      </c>
      <c r="B2038" s="7" t="s">
        <v>13</v>
      </c>
      <c r="C2038" s="7" t="s">
        <v>2511</v>
      </c>
      <c r="D2038" s="7">
        <v>-1.4510297999999999</v>
      </c>
      <c r="E2038" s="7">
        <v>-6.8990444000000002</v>
      </c>
      <c r="F2038" s="9" t="str">
        <f t="shared" si="9"/>
        <v>Direct</v>
      </c>
      <c r="G2038" s="7" t="s">
        <v>11</v>
      </c>
    </row>
    <row r="2039" spans="1:7" x14ac:dyDescent="0.2">
      <c r="A2039" s="6" t="s">
        <v>8</v>
      </c>
      <c r="B2039" s="7" t="s">
        <v>13</v>
      </c>
      <c r="C2039" s="7" t="s">
        <v>2512</v>
      </c>
      <c r="D2039" s="7">
        <v>-4.3436256999999996</v>
      </c>
      <c r="E2039" s="7">
        <v>-6.3426068999999998</v>
      </c>
      <c r="F2039" s="9" t="str">
        <f t="shared" si="9"/>
        <v>Direct</v>
      </c>
      <c r="G2039" s="7" t="s">
        <v>11</v>
      </c>
    </row>
    <row r="2040" spans="1:7" x14ac:dyDescent="0.2">
      <c r="A2040" s="6" t="s">
        <v>8</v>
      </c>
      <c r="B2040" s="7" t="s">
        <v>13</v>
      </c>
      <c r="C2040" s="7" t="s">
        <v>2513</v>
      </c>
      <c r="D2040" s="7">
        <v>-3.5029143</v>
      </c>
      <c r="E2040" s="7">
        <v>-2.1400809000000001</v>
      </c>
      <c r="F2040" s="9" t="str">
        <f t="shared" si="9"/>
        <v>Direct</v>
      </c>
      <c r="G2040" s="7" t="s">
        <v>200</v>
      </c>
    </row>
    <row r="2041" spans="1:7" x14ac:dyDescent="0.2">
      <c r="A2041" s="6" t="s">
        <v>8</v>
      </c>
      <c r="B2041" s="7" t="s">
        <v>13</v>
      </c>
      <c r="C2041" s="7" t="s">
        <v>2514</v>
      </c>
      <c r="D2041" s="7">
        <v>1.87291615</v>
      </c>
      <c r="E2041" s="7">
        <v>2.6629143800000001</v>
      </c>
      <c r="F2041" s="9" t="str">
        <f t="shared" si="9"/>
        <v>Direct</v>
      </c>
      <c r="G2041" s="7" t="s">
        <v>11</v>
      </c>
    </row>
    <row r="2042" spans="1:7" x14ac:dyDescent="0.2">
      <c r="A2042" s="6" t="s">
        <v>8</v>
      </c>
      <c r="B2042" s="7" t="s">
        <v>13</v>
      </c>
      <c r="C2042" s="7" t="s">
        <v>2515</v>
      </c>
      <c r="D2042" s="7">
        <v>2.06576636</v>
      </c>
      <c r="E2042" s="7">
        <v>3.0697124200000001</v>
      </c>
      <c r="F2042" s="9" t="str">
        <f t="shared" ref="F2042:F2296" si="10">IF(OR(AND(D2042&gt;0,E2042&gt;0),AND(D2042&lt;0,E2042&lt;0)),"Direct","Inverse")</f>
        <v>Direct</v>
      </c>
      <c r="G2042" s="7" t="s">
        <v>11</v>
      </c>
    </row>
    <row r="2043" spans="1:7" x14ac:dyDescent="0.2">
      <c r="A2043" s="6" t="s">
        <v>8</v>
      </c>
      <c r="B2043" s="7" t="s">
        <v>13</v>
      </c>
      <c r="C2043" s="7" t="s">
        <v>2516</v>
      </c>
      <c r="D2043" s="7">
        <v>-2.8798414999999999</v>
      </c>
      <c r="E2043" s="7">
        <v>-1.6277759000000001</v>
      </c>
      <c r="F2043" s="9" t="str">
        <f t="shared" si="10"/>
        <v>Direct</v>
      </c>
      <c r="G2043" s="7" t="s">
        <v>11</v>
      </c>
    </row>
    <row r="2044" spans="1:7" x14ac:dyDescent="0.2">
      <c r="A2044" s="6" t="s">
        <v>8</v>
      </c>
      <c r="B2044" s="7" t="s">
        <v>13</v>
      </c>
      <c r="C2044" s="7" t="s">
        <v>2517</v>
      </c>
      <c r="D2044" s="7">
        <v>2.62263213</v>
      </c>
      <c r="E2044" s="7">
        <v>2.4677052499999999</v>
      </c>
      <c r="F2044" s="9" t="str">
        <f t="shared" si="10"/>
        <v>Direct</v>
      </c>
      <c r="G2044" s="7" t="s">
        <v>11</v>
      </c>
    </row>
    <row r="2045" spans="1:7" x14ac:dyDescent="0.2">
      <c r="A2045" s="6" t="s">
        <v>8</v>
      </c>
      <c r="B2045" s="7" t="s">
        <v>13</v>
      </c>
      <c r="C2045" s="7" t="s">
        <v>2518</v>
      </c>
      <c r="D2045" s="7">
        <v>-1.0445945000000001</v>
      </c>
      <c r="E2045" s="7">
        <v>-4.0086352999999999</v>
      </c>
      <c r="F2045" s="9" t="str">
        <f t="shared" si="10"/>
        <v>Direct</v>
      </c>
      <c r="G2045" s="7" t="s">
        <v>11</v>
      </c>
    </row>
    <row r="2046" spans="1:7" x14ac:dyDescent="0.2">
      <c r="A2046" s="6" t="s">
        <v>8</v>
      </c>
      <c r="B2046" s="7" t="s">
        <v>13</v>
      </c>
      <c r="C2046" s="7" t="s">
        <v>2519</v>
      </c>
      <c r="D2046" s="7">
        <v>1.4289736500000001</v>
      </c>
      <c r="E2046" s="7">
        <v>3.0481577500000001</v>
      </c>
      <c r="F2046" s="9" t="str">
        <f t="shared" si="10"/>
        <v>Direct</v>
      </c>
      <c r="G2046" s="7" t="s">
        <v>11</v>
      </c>
    </row>
    <row r="2047" spans="1:7" x14ac:dyDescent="0.2">
      <c r="A2047" s="6" t="s">
        <v>8</v>
      </c>
      <c r="B2047" s="7" t="s">
        <v>13</v>
      </c>
      <c r="C2047" s="7" t="s">
        <v>2520</v>
      </c>
      <c r="D2047" s="7">
        <v>1.3172985399999999</v>
      </c>
      <c r="E2047" s="7">
        <v>2.5514151300000001</v>
      </c>
      <c r="F2047" s="9" t="str">
        <f t="shared" si="10"/>
        <v>Direct</v>
      </c>
      <c r="G2047" s="7" t="s">
        <v>11</v>
      </c>
    </row>
    <row r="2048" spans="1:7" x14ac:dyDescent="0.2">
      <c r="A2048" s="6" t="s">
        <v>8</v>
      </c>
      <c r="B2048" s="7" t="s">
        <v>13</v>
      </c>
      <c r="C2048" s="7" t="s">
        <v>2521</v>
      </c>
      <c r="D2048" s="7">
        <v>-6.6691944999999997</v>
      </c>
      <c r="E2048" s="7">
        <v>-3.1592661999999998</v>
      </c>
      <c r="F2048" s="9" t="str">
        <f t="shared" si="10"/>
        <v>Direct</v>
      </c>
      <c r="G2048" s="7" t="s">
        <v>2522</v>
      </c>
    </row>
    <row r="2049" spans="1:7" x14ac:dyDescent="0.2">
      <c r="A2049" s="6" t="s">
        <v>8</v>
      </c>
      <c r="B2049" s="7" t="s">
        <v>13</v>
      </c>
      <c r="C2049" s="7" t="s">
        <v>2523</v>
      </c>
      <c r="D2049" s="7">
        <v>-1.3587023</v>
      </c>
      <c r="E2049" s="7">
        <v>-4.8825611999999996</v>
      </c>
      <c r="F2049" s="9" t="str">
        <f t="shared" si="10"/>
        <v>Direct</v>
      </c>
      <c r="G2049" s="7" t="s">
        <v>2524</v>
      </c>
    </row>
    <row r="2050" spans="1:7" x14ac:dyDescent="0.2">
      <c r="A2050" s="6" t="s">
        <v>8</v>
      </c>
      <c r="B2050" s="7" t="s">
        <v>13</v>
      </c>
      <c r="C2050" s="7" t="s">
        <v>2525</v>
      </c>
      <c r="D2050" s="7">
        <v>-1.9706277999999999</v>
      </c>
      <c r="E2050" s="7">
        <v>-3.6413701999999999</v>
      </c>
      <c r="F2050" s="9" t="str">
        <f t="shared" si="10"/>
        <v>Direct</v>
      </c>
      <c r="G2050" s="7" t="s">
        <v>11</v>
      </c>
    </row>
    <row r="2051" spans="1:7" x14ac:dyDescent="0.2">
      <c r="A2051" s="6" t="s">
        <v>8</v>
      </c>
      <c r="B2051" s="7" t="s">
        <v>13</v>
      </c>
      <c r="C2051" s="7" t="s">
        <v>2526</v>
      </c>
      <c r="D2051" s="7">
        <v>4.3346362799999998</v>
      </c>
      <c r="E2051" s="7">
        <v>12.640343700000001</v>
      </c>
      <c r="F2051" s="9" t="str">
        <f t="shared" si="10"/>
        <v>Direct</v>
      </c>
      <c r="G2051" s="7" t="s">
        <v>11</v>
      </c>
    </row>
    <row r="2052" spans="1:7" x14ac:dyDescent="0.2">
      <c r="A2052" s="6" t="s">
        <v>8</v>
      </c>
      <c r="B2052" s="7" t="s">
        <v>13</v>
      </c>
      <c r="C2052" s="7" t="s">
        <v>2527</v>
      </c>
      <c r="D2052" s="7">
        <v>-1.1869584</v>
      </c>
      <c r="E2052" s="7">
        <v>-1.0970871</v>
      </c>
      <c r="F2052" s="9" t="str">
        <f t="shared" si="10"/>
        <v>Direct</v>
      </c>
      <c r="G2052" s="7" t="s">
        <v>11</v>
      </c>
    </row>
    <row r="2053" spans="1:7" x14ac:dyDescent="0.2">
      <c r="A2053" s="6" t="s">
        <v>8</v>
      </c>
      <c r="B2053" s="7" t="s">
        <v>13</v>
      </c>
      <c r="C2053" s="7" t="s">
        <v>2528</v>
      </c>
      <c r="D2053" s="7">
        <v>9.9825040600000001</v>
      </c>
      <c r="E2053" s="7">
        <v>16.312268</v>
      </c>
      <c r="F2053" s="9" t="str">
        <f t="shared" si="10"/>
        <v>Direct</v>
      </c>
      <c r="G2053" s="7" t="s">
        <v>2360</v>
      </c>
    </row>
    <row r="2054" spans="1:7" x14ac:dyDescent="0.2">
      <c r="A2054" s="6" t="s">
        <v>8</v>
      </c>
      <c r="B2054" s="7" t="s">
        <v>13</v>
      </c>
      <c r="C2054" s="7" t="s">
        <v>2529</v>
      </c>
      <c r="D2054" s="7">
        <v>1.8790648400000001</v>
      </c>
      <c r="E2054" s="7">
        <v>6.4302634999999997</v>
      </c>
      <c r="F2054" s="9" t="str">
        <f t="shared" si="10"/>
        <v>Direct</v>
      </c>
      <c r="G2054" s="7" t="s">
        <v>2360</v>
      </c>
    </row>
    <row r="2055" spans="1:7" x14ac:dyDescent="0.2">
      <c r="A2055" s="6" t="s">
        <v>8</v>
      </c>
      <c r="B2055" s="7" t="s">
        <v>13</v>
      </c>
      <c r="C2055" s="7" t="s">
        <v>2530</v>
      </c>
      <c r="D2055" s="7">
        <v>1.30529301</v>
      </c>
      <c r="E2055" s="7">
        <v>6.4587767100000004</v>
      </c>
      <c r="F2055" s="9" t="str">
        <f t="shared" si="10"/>
        <v>Direct</v>
      </c>
      <c r="G2055" s="7" t="s">
        <v>2360</v>
      </c>
    </row>
    <row r="2056" spans="1:7" x14ac:dyDescent="0.2">
      <c r="A2056" s="6" t="s">
        <v>8</v>
      </c>
      <c r="B2056" s="7" t="s">
        <v>13</v>
      </c>
      <c r="C2056" s="7" t="s">
        <v>2531</v>
      </c>
      <c r="D2056" s="7">
        <v>1.27306206</v>
      </c>
      <c r="E2056" s="7">
        <v>2.3883042400000001</v>
      </c>
      <c r="F2056" s="9" t="str">
        <f t="shared" si="10"/>
        <v>Direct</v>
      </c>
      <c r="G2056" s="7" t="s">
        <v>11</v>
      </c>
    </row>
    <row r="2057" spans="1:7" x14ac:dyDescent="0.2">
      <c r="A2057" s="6" t="s">
        <v>8</v>
      </c>
      <c r="B2057" s="7" t="s">
        <v>13</v>
      </c>
      <c r="C2057" s="7" t="s">
        <v>2532</v>
      </c>
      <c r="D2057" s="7">
        <v>2.6903609899999998</v>
      </c>
      <c r="E2057" s="7">
        <v>1.2019151100000001</v>
      </c>
      <c r="F2057" s="9" t="str">
        <f t="shared" si="10"/>
        <v>Direct</v>
      </c>
      <c r="G2057" s="7" t="s">
        <v>2533</v>
      </c>
    </row>
    <row r="2058" spans="1:7" x14ac:dyDescent="0.2">
      <c r="A2058" s="6" t="s">
        <v>8</v>
      </c>
      <c r="B2058" s="7" t="s">
        <v>13</v>
      </c>
      <c r="C2058" s="7" t="s">
        <v>2534</v>
      </c>
      <c r="D2058" s="7">
        <v>1.9053708300000001</v>
      </c>
      <c r="E2058" s="7">
        <v>1.5498376</v>
      </c>
      <c r="F2058" s="9" t="str">
        <f t="shared" si="10"/>
        <v>Direct</v>
      </c>
      <c r="G2058" s="7" t="s">
        <v>11</v>
      </c>
    </row>
    <row r="2059" spans="1:7" x14ac:dyDescent="0.2">
      <c r="A2059" s="6" t="s">
        <v>8</v>
      </c>
      <c r="B2059" s="7" t="s">
        <v>13</v>
      </c>
      <c r="C2059" s="7" t="s">
        <v>2535</v>
      </c>
      <c r="D2059" s="7">
        <v>2.4890570599999999</v>
      </c>
      <c r="E2059" s="7">
        <v>3.31753769</v>
      </c>
      <c r="F2059" s="9" t="str">
        <f t="shared" si="10"/>
        <v>Direct</v>
      </c>
      <c r="G2059" s="7" t="s">
        <v>11</v>
      </c>
    </row>
    <row r="2060" spans="1:7" x14ac:dyDescent="0.2">
      <c r="A2060" s="6" t="s">
        <v>8</v>
      </c>
      <c r="B2060" s="7" t="s">
        <v>13</v>
      </c>
      <c r="C2060" s="7" t="s">
        <v>2536</v>
      </c>
      <c r="D2060" s="7">
        <v>1.1459633899999999</v>
      </c>
      <c r="E2060" s="7">
        <v>2.0183400599999999</v>
      </c>
      <c r="F2060" s="9" t="str">
        <f t="shared" si="10"/>
        <v>Direct</v>
      </c>
      <c r="G2060" s="7" t="s">
        <v>11</v>
      </c>
    </row>
    <row r="2061" spans="1:7" x14ac:dyDescent="0.2">
      <c r="A2061" s="6" t="s">
        <v>8</v>
      </c>
      <c r="B2061" s="7" t="s">
        <v>13</v>
      </c>
      <c r="C2061" s="7" t="s">
        <v>2537</v>
      </c>
      <c r="D2061" s="7">
        <v>1.72374413</v>
      </c>
      <c r="E2061" s="7">
        <v>2.65066779</v>
      </c>
      <c r="F2061" s="9" t="str">
        <f t="shared" si="10"/>
        <v>Direct</v>
      </c>
      <c r="G2061" s="7" t="s">
        <v>11</v>
      </c>
    </row>
    <row r="2062" spans="1:7" x14ac:dyDescent="0.2">
      <c r="A2062" s="6" t="s">
        <v>8</v>
      </c>
      <c r="B2062" s="7" t="s">
        <v>13</v>
      </c>
      <c r="C2062" s="7" t="s">
        <v>2538</v>
      </c>
      <c r="D2062" s="7">
        <v>1.4278964599999999</v>
      </c>
      <c r="E2062" s="7">
        <v>1.2562196299999999</v>
      </c>
      <c r="F2062" s="9" t="str">
        <f t="shared" si="10"/>
        <v>Direct</v>
      </c>
      <c r="G2062" s="7" t="s">
        <v>716</v>
      </c>
    </row>
    <row r="2063" spans="1:7" x14ac:dyDescent="0.2">
      <c r="A2063" s="6" t="s">
        <v>8</v>
      </c>
      <c r="B2063" s="7" t="s">
        <v>13</v>
      </c>
      <c r="C2063" s="7" t="s">
        <v>2539</v>
      </c>
      <c r="D2063" s="7">
        <v>-2.8651065999999998</v>
      </c>
      <c r="E2063" s="7">
        <v>-1.3568502</v>
      </c>
      <c r="F2063" s="9" t="str">
        <f t="shared" si="10"/>
        <v>Direct</v>
      </c>
      <c r="G2063" s="7" t="s">
        <v>2540</v>
      </c>
    </row>
    <row r="2064" spans="1:7" x14ac:dyDescent="0.2">
      <c r="A2064" s="6" t="s">
        <v>8</v>
      </c>
      <c r="B2064" s="7" t="s">
        <v>13</v>
      </c>
      <c r="C2064" s="7" t="s">
        <v>1033</v>
      </c>
      <c r="D2064" s="7">
        <v>1.2363051</v>
      </c>
      <c r="E2064" s="7">
        <v>1.5791706299999999</v>
      </c>
      <c r="F2064" s="9" t="str">
        <f t="shared" si="10"/>
        <v>Direct</v>
      </c>
      <c r="G2064" s="7" t="s">
        <v>11</v>
      </c>
    </row>
    <row r="2065" spans="1:7" x14ac:dyDescent="0.2">
      <c r="A2065" s="6" t="s">
        <v>8</v>
      </c>
      <c r="B2065" s="7" t="s">
        <v>13</v>
      </c>
      <c r="C2065" s="7" t="s">
        <v>1035</v>
      </c>
      <c r="D2065" s="7">
        <v>-1.6368783</v>
      </c>
      <c r="E2065" s="7">
        <v>-2.4866915000000001</v>
      </c>
      <c r="F2065" s="9" t="str">
        <f t="shared" si="10"/>
        <v>Direct</v>
      </c>
      <c r="G2065" s="7" t="s">
        <v>11</v>
      </c>
    </row>
    <row r="2066" spans="1:7" x14ac:dyDescent="0.2">
      <c r="A2066" s="6" t="s">
        <v>8</v>
      </c>
      <c r="B2066" s="7" t="s">
        <v>13</v>
      </c>
      <c r="C2066" s="7" t="s">
        <v>2541</v>
      </c>
      <c r="D2066" s="7">
        <v>1.8705547600000001</v>
      </c>
      <c r="E2066" s="7">
        <v>3.99471292</v>
      </c>
      <c r="F2066" s="9" t="str">
        <f t="shared" si="10"/>
        <v>Direct</v>
      </c>
      <c r="G2066" s="7" t="s">
        <v>2542</v>
      </c>
    </row>
    <row r="2067" spans="1:7" x14ac:dyDescent="0.2">
      <c r="A2067" s="6" t="s">
        <v>8</v>
      </c>
      <c r="B2067" s="7" t="s">
        <v>13</v>
      </c>
      <c r="C2067" s="7" t="s">
        <v>2543</v>
      </c>
      <c r="D2067" s="7">
        <v>1.6325916700000001</v>
      </c>
      <c r="E2067" s="7">
        <v>4.0841922300000002</v>
      </c>
      <c r="F2067" s="9" t="str">
        <f t="shared" si="10"/>
        <v>Direct</v>
      </c>
      <c r="G2067" s="7" t="s">
        <v>2544</v>
      </c>
    </row>
    <row r="2068" spans="1:7" x14ac:dyDescent="0.2">
      <c r="A2068" s="6" t="s">
        <v>8</v>
      </c>
      <c r="B2068" s="7" t="s">
        <v>13</v>
      </c>
      <c r="C2068" s="7" t="s">
        <v>2545</v>
      </c>
      <c r="D2068" s="7">
        <v>1.1110735700000001</v>
      </c>
      <c r="E2068" s="7">
        <v>1.94213678</v>
      </c>
      <c r="F2068" s="9" t="str">
        <f t="shared" si="10"/>
        <v>Direct</v>
      </c>
      <c r="G2068" s="7" t="s">
        <v>11</v>
      </c>
    </row>
    <row r="2069" spans="1:7" x14ac:dyDescent="0.2">
      <c r="A2069" s="6" t="s">
        <v>8</v>
      </c>
      <c r="B2069" s="7" t="s">
        <v>13</v>
      </c>
      <c r="C2069" s="7" t="s">
        <v>1040</v>
      </c>
      <c r="D2069" s="7">
        <v>-1.2662439000000001</v>
      </c>
      <c r="E2069" s="7">
        <v>-1.0108355</v>
      </c>
      <c r="F2069" s="9" t="str">
        <f t="shared" si="10"/>
        <v>Direct</v>
      </c>
      <c r="G2069" s="7" t="s">
        <v>11</v>
      </c>
    </row>
    <row r="2070" spans="1:7" x14ac:dyDescent="0.2">
      <c r="A2070" s="6" t="s">
        <v>8</v>
      </c>
      <c r="B2070" s="7" t="s">
        <v>13</v>
      </c>
      <c r="C2070" s="7" t="s">
        <v>2546</v>
      </c>
      <c r="D2070" s="7">
        <v>-1.1108214000000001</v>
      </c>
      <c r="E2070" s="7">
        <v>-7.3848174999999996</v>
      </c>
      <c r="F2070" s="9" t="str">
        <f t="shared" si="10"/>
        <v>Direct</v>
      </c>
      <c r="G2070" s="7" t="s">
        <v>2547</v>
      </c>
    </row>
    <row r="2071" spans="1:7" x14ac:dyDescent="0.2">
      <c r="A2071" s="6" t="s">
        <v>8</v>
      </c>
      <c r="B2071" s="7" t="s">
        <v>13</v>
      </c>
      <c r="C2071" s="7" t="s">
        <v>2548</v>
      </c>
      <c r="D2071" s="7">
        <v>1.1866690799999999</v>
      </c>
      <c r="E2071" s="7">
        <v>3.9003106700000001</v>
      </c>
      <c r="F2071" s="9" t="str">
        <f t="shared" si="10"/>
        <v>Direct</v>
      </c>
      <c r="G2071" s="7" t="s">
        <v>2458</v>
      </c>
    </row>
    <row r="2072" spans="1:7" x14ac:dyDescent="0.2">
      <c r="A2072" s="6" t="s">
        <v>8</v>
      </c>
      <c r="B2072" s="7" t="s">
        <v>13</v>
      </c>
      <c r="C2072" s="7" t="s">
        <v>2549</v>
      </c>
      <c r="D2072" s="7">
        <v>-1.4051028999999999</v>
      </c>
      <c r="E2072" s="7">
        <v>-2.4898693999999999</v>
      </c>
      <c r="F2072" s="9" t="str">
        <f t="shared" si="10"/>
        <v>Direct</v>
      </c>
      <c r="G2072" s="7" t="s">
        <v>11</v>
      </c>
    </row>
    <row r="2073" spans="1:7" x14ac:dyDescent="0.2">
      <c r="A2073" s="6" t="s">
        <v>8</v>
      </c>
      <c r="B2073" s="7" t="s">
        <v>13</v>
      </c>
      <c r="C2073" s="7" t="s">
        <v>1043</v>
      </c>
      <c r="D2073" s="7">
        <v>-2.1649292</v>
      </c>
      <c r="E2073" s="7">
        <v>-2.1396373999999998</v>
      </c>
      <c r="F2073" s="9" t="str">
        <f t="shared" si="10"/>
        <v>Direct</v>
      </c>
      <c r="G2073" s="7" t="s">
        <v>11</v>
      </c>
    </row>
    <row r="2074" spans="1:7" x14ac:dyDescent="0.2">
      <c r="A2074" s="6" t="s">
        <v>8</v>
      </c>
      <c r="B2074" s="7" t="s">
        <v>13</v>
      </c>
      <c r="C2074" s="7" t="s">
        <v>2550</v>
      </c>
      <c r="D2074" s="7">
        <v>-1.1421051</v>
      </c>
      <c r="E2074" s="7">
        <v>-1.9633122999999999</v>
      </c>
      <c r="F2074" s="9" t="str">
        <f t="shared" si="10"/>
        <v>Direct</v>
      </c>
      <c r="G2074" s="7" t="s">
        <v>11</v>
      </c>
    </row>
    <row r="2075" spans="1:7" x14ac:dyDescent="0.2">
      <c r="A2075" s="6" t="s">
        <v>8</v>
      </c>
      <c r="B2075" s="7" t="s">
        <v>13</v>
      </c>
      <c r="C2075" s="7" t="s">
        <v>1044</v>
      </c>
      <c r="D2075" s="7">
        <v>1.81308421</v>
      </c>
      <c r="E2075" s="7">
        <v>1.9833238799999999</v>
      </c>
      <c r="F2075" s="9" t="str">
        <f t="shared" si="10"/>
        <v>Direct</v>
      </c>
      <c r="G2075" s="7" t="s">
        <v>11</v>
      </c>
    </row>
    <row r="2076" spans="1:7" x14ac:dyDescent="0.2">
      <c r="A2076" s="6" t="s">
        <v>8</v>
      </c>
      <c r="B2076" s="7" t="s">
        <v>13</v>
      </c>
      <c r="C2076" s="7" t="s">
        <v>1045</v>
      </c>
      <c r="D2076" s="7">
        <v>3.6925443599999999</v>
      </c>
      <c r="E2076" s="7">
        <v>4.2272301399999996</v>
      </c>
      <c r="F2076" s="9" t="str">
        <f t="shared" si="10"/>
        <v>Direct</v>
      </c>
      <c r="G2076" s="7" t="s">
        <v>1046</v>
      </c>
    </row>
    <row r="2077" spans="1:7" x14ac:dyDescent="0.2">
      <c r="A2077" s="6" t="s">
        <v>8</v>
      </c>
      <c r="B2077" s="7" t="s">
        <v>13</v>
      </c>
      <c r="C2077" s="7" t="s">
        <v>2551</v>
      </c>
      <c r="D2077" s="7">
        <v>1.26119662</v>
      </c>
      <c r="E2077" s="7">
        <v>2.2064333399999998</v>
      </c>
      <c r="F2077" s="9" t="str">
        <f t="shared" si="10"/>
        <v>Direct</v>
      </c>
      <c r="G2077" s="7" t="s">
        <v>11</v>
      </c>
    </row>
    <row r="2078" spans="1:7" x14ac:dyDescent="0.2">
      <c r="A2078" s="6" t="s">
        <v>8</v>
      </c>
      <c r="B2078" s="7" t="s">
        <v>13</v>
      </c>
      <c r="C2078" s="7" t="s">
        <v>1048</v>
      </c>
      <c r="D2078" s="7">
        <v>2.72820346</v>
      </c>
      <c r="E2078" s="7">
        <v>3.3470062899999999</v>
      </c>
      <c r="F2078" s="9" t="str">
        <f t="shared" si="10"/>
        <v>Direct</v>
      </c>
      <c r="G2078" s="7" t="s">
        <v>11</v>
      </c>
    </row>
    <row r="2079" spans="1:7" x14ac:dyDescent="0.2">
      <c r="A2079" s="6" t="s">
        <v>8</v>
      </c>
      <c r="B2079" s="7" t="s">
        <v>13</v>
      </c>
      <c r="C2079" s="7" t="s">
        <v>2552</v>
      </c>
      <c r="D2079" s="7">
        <v>-1.2070973</v>
      </c>
      <c r="E2079" s="7">
        <v>-4.7837532999999999</v>
      </c>
      <c r="F2079" s="9" t="str">
        <f t="shared" si="10"/>
        <v>Direct</v>
      </c>
      <c r="G2079" s="7" t="s">
        <v>35</v>
      </c>
    </row>
    <row r="2080" spans="1:7" x14ac:dyDescent="0.2">
      <c r="A2080" s="6" t="s">
        <v>8</v>
      </c>
      <c r="B2080" s="7" t="s">
        <v>13</v>
      </c>
      <c r="C2080" s="7" t="s">
        <v>2553</v>
      </c>
      <c r="D2080" s="7">
        <v>1.26373738</v>
      </c>
      <c r="E2080" s="7">
        <v>6.8862843399999996</v>
      </c>
      <c r="F2080" s="9" t="str">
        <f t="shared" si="10"/>
        <v>Direct</v>
      </c>
      <c r="G2080" s="7" t="s">
        <v>11</v>
      </c>
    </row>
    <row r="2081" spans="1:7" x14ac:dyDescent="0.2">
      <c r="A2081" s="6" t="s">
        <v>8</v>
      </c>
      <c r="B2081" s="7" t="s">
        <v>13</v>
      </c>
      <c r="C2081" s="7" t="s">
        <v>2554</v>
      </c>
      <c r="D2081" s="7">
        <v>1.3796207700000001</v>
      </c>
      <c r="E2081" s="7">
        <v>2.4702658500000001</v>
      </c>
      <c r="F2081" s="9" t="str">
        <f t="shared" si="10"/>
        <v>Direct</v>
      </c>
      <c r="G2081" s="7" t="s">
        <v>2555</v>
      </c>
    </row>
    <row r="2082" spans="1:7" x14ac:dyDescent="0.2">
      <c r="A2082" s="6" t="s">
        <v>8</v>
      </c>
      <c r="B2082" s="7" t="s">
        <v>13</v>
      </c>
      <c r="C2082" s="7" t="s">
        <v>1050</v>
      </c>
      <c r="D2082" s="7">
        <v>-1.7151422999999999</v>
      </c>
      <c r="E2082" s="7">
        <v>-2.1863663999999998</v>
      </c>
      <c r="F2082" s="9" t="str">
        <f t="shared" si="10"/>
        <v>Direct</v>
      </c>
      <c r="G2082" s="7" t="s">
        <v>11</v>
      </c>
    </row>
    <row r="2083" spans="1:7" x14ac:dyDescent="0.2">
      <c r="A2083" s="6" t="s">
        <v>8</v>
      </c>
      <c r="B2083" s="7" t="s">
        <v>13</v>
      </c>
      <c r="C2083" s="7" t="s">
        <v>2556</v>
      </c>
      <c r="D2083" s="7">
        <v>2.2905941799999998</v>
      </c>
      <c r="E2083" s="7">
        <v>5.2629221399999997</v>
      </c>
      <c r="F2083" s="9" t="str">
        <f t="shared" si="10"/>
        <v>Direct</v>
      </c>
      <c r="G2083" s="7" t="s">
        <v>1383</v>
      </c>
    </row>
    <row r="2084" spans="1:7" x14ac:dyDescent="0.2">
      <c r="A2084" s="6" t="s">
        <v>8</v>
      </c>
      <c r="B2084" s="7" t="s">
        <v>13</v>
      </c>
      <c r="C2084" s="7" t="s">
        <v>2557</v>
      </c>
      <c r="D2084" s="7">
        <v>1.54752595</v>
      </c>
      <c r="E2084" s="7">
        <v>-2.1759382999999999</v>
      </c>
      <c r="F2084" s="9" t="str">
        <f t="shared" si="10"/>
        <v>Inverse</v>
      </c>
      <c r="G2084" s="7" t="s">
        <v>58</v>
      </c>
    </row>
    <row r="2085" spans="1:7" x14ac:dyDescent="0.2">
      <c r="A2085" s="6" t="s">
        <v>8</v>
      </c>
      <c r="B2085" s="7" t="s">
        <v>13</v>
      </c>
      <c r="C2085" s="7" t="s">
        <v>2558</v>
      </c>
      <c r="D2085" s="7">
        <v>-1.3581578000000001</v>
      </c>
      <c r="E2085" s="7">
        <v>-1.7040953000000001</v>
      </c>
      <c r="F2085" s="9" t="str">
        <f t="shared" si="10"/>
        <v>Direct</v>
      </c>
      <c r="G2085" s="7" t="s">
        <v>11</v>
      </c>
    </row>
    <row r="2086" spans="1:7" x14ac:dyDescent="0.2">
      <c r="A2086" s="6" t="s">
        <v>8</v>
      </c>
      <c r="B2086" s="7" t="s">
        <v>13</v>
      </c>
      <c r="C2086" s="7" t="s">
        <v>2559</v>
      </c>
      <c r="D2086" s="7">
        <v>-1.8569625000000001</v>
      </c>
      <c r="E2086" s="7">
        <v>-3.8081231</v>
      </c>
      <c r="F2086" s="9" t="str">
        <f t="shared" si="10"/>
        <v>Direct</v>
      </c>
      <c r="G2086" s="7" t="s">
        <v>11</v>
      </c>
    </row>
    <row r="2087" spans="1:7" x14ac:dyDescent="0.2">
      <c r="A2087" s="6" t="s">
        <v>8</v>
      </c>
      <c r="B2087" s="7" t="s">
        <v>13</v>
      </c>
      <c r="C2087" s="7" t="s">
        <v>2560</v>
      </c>
      <c r="D2087" s="7">
        <v>-2.2336497</v>
      </c>
      <c r="E2087" s="7">
        <v>-6.6145927999999996</v>
      </c>
      <c r="F2087" s="9" t="str">
        <f t="shared" si="10"/>
        <v>Direct</v>
      </c>
      <c r="G2087" s="7" t="s">
        <v>2561</v>
      </c>
    </row>
    <row r="2088" spans="1:7" x14ac:dyDescent="0.2">
      <c r="A2088" s="6" t="s">
        <v>8</v>
      </c>
      <c r="B2088" s="7" t="s">
        <v>13</v>
      </c>
      <c r="C2088" s="7" t="s">
        <v>1054</v>
      </c>
      <c r="D2088" s="7">
        <v>2.6739827799999998</v>
      </c>
      <c r="E2088" s="7">
        <v>3.7961430699999998</v>
      </c>
      <c r="F2088" s="9" t="str">
        <f t="shared" si="10"/>
        <v>Direct</v>
      </c>
      <c r="G2088" s="7" t="s">
        <v>11</v>
      </c>
    </row>
    <row r="2089" spans="1:7" x14ac:dyDescent="0.2">
      <c r="A2089" s="6" t="s">
        <v>8</v>
      </c>
      <c r="B2089" s="7" t="s">
        <v>13</v>
      </c>
      <c r="C2089" s="7" t="s">
        <v>2562</v>
      </c>
      <c r="D2089" s="7">
        <v>-2.9366026999999999</v>
      </c>
      <c r="E2089" s="7">
        <v>-4.8667115000000001</v>
      </c>
      <c r="F2089" s="9" t="str">
        <f t="shared" si="10"/>
        <v>Direct</v>
      </c>
      <c r="G2089" s="7" t="s">
        <v>11</v>
      </c>
    </row>
    <row r="2090" spans="1:7" x14ac:dyDescent="0.2">
      <c r="A2090" s="6" t="s">
        <v>8</v>
      </c>
      <c r="B2090" s="7" t="s">
        <v>13</v>
      </c>
      <c r="C2090" s="7" t="s">
        <v>2563</v>
      </c>
      <c r="D2090" s="7">
        <v>-2.9355153</v>
      </c>
      <c r="E2090" s="7">
        <v>-14.043291</v>
      </c>
      <c r="F2090" s="9" t="str">
        <f t="shared" si="10"/>
        <v>Direct</v>
      </c>
      <c r="G2090" s="7" t="s">
        <v>2564</v>
      </c>
    </row>
    <row r="2091" spans="1:7" x14ac:dyDescent="0.2">
      <c r="A2091" s="6" t="s">
        <v>8</v>
      </c>
      <c r="B2091" s="7" t="s">
        <v>13</v>
      </c>
      <c r="C2091" s="7" t="s">
        <v>1060</v>
      </c>
      <c r="D2091" s="7">
        <v>-1.6493064</v>
      </c>
      <c r="E2091" s="7">
        <v>-3.8708407</v>
      </c>
      <c r="F2091" s="9" t="str">
        <f t="shared" si="10"/>
        <v>Direct</v>
      </c>
      <c r="G2091" s="7" t="s">
        <v>11</v>
      </c>
    </row>
    <row r="2092" spans="1:7" x14ac:dyDescent="0.2">
      <c r="A2092" s="6" t="s">
        <v>18</v>
      </c>
      <c r="B2092" s="7" t="s">
        <v>9</v>
      </c>
      <c r="C2092" s="7" t="s">
        <v>2565</v>
      </c>
      <c r="D2092" s="7">
        <v>-1.7094935</v>
      </c>
      <c r="E2092" s="7">
        <v>-1.1531766000000001</v>
      </c>
      <c r="F2092" s="9" t="str">
        <f t="shared" si="10"/>
        <v>Direct</v>
      </c>
      <c r="G2092" s="7" t="s">
        <v>2566</v>
      </c>
    </row>
    <row r="2093" spans="1:7" x14ac:dyDescent="0.2">
      <c r="A2093" s="6" t="s">
        <v>18</v>
      </c>
      <c r="B2093" s="7" t="s">
        <v>9</v>
      </c>
      <c r="C2093" s="7" t="s">
        <v>2567</v>
      </c>
      <c r="D2093" s="7">
        <v>-1.0042449</v>
      </c>
      <c r="E2093" s="7">
        <v>-1.5455958000000001</v>
      </c>
      <c r="F2093" s="9" t="str">
        <f t="shared" si="10"/>
        <v>Direct</v>
      </c>
      <c r="G2093" s="7" t="s">
        <v>11</v>
      </c>
    </row>
    <row r="2094" spans="1:7" x14ac:dyDescent="0.2">
      <c r="A2094" s="6" t="s">
        <v>18</v>
      </c>
      <c r="B2094" s="7" t="s">
        <v>9</v>
      </c>
      <c r="C2094" s="7" t="s">
        <v>2568</v>
      </c>
      <c r="D2094" s="7">
        <v>1.54479433</v>
      </c>
      <c r="E2094" s="7">
        <v>1.07941441</v>
      </c>
      <c r="F2094" s="9" t="str">
        <f t="shared" si="10"/>
        <v>Direct</v>
      </c>
      <c r="G2094" s="7" t="s">
        <v>11</v>
      </c>
    </row>
    <row r="2095" spans="1:7" x14ac:dyDescent="0.2">
      <c r="A2095" s="6" t="s">
        <v>18</v>
      </c>
      <c r="B2095" s="7" t="s">
        <v>9</v>
      </c>
      <c r="C2095" s="7" t="s">
        <v>2569</v>
      </c>
      <c r="D2095" s="7">
        <v>-2.1846516</v>
      </c>
      <c r="E2095" s="7">
        <v>-1.1463365000000001</v>
      </c>
      <c r="F2095" s="9" t="str">
        <f t="shared" si="10"/>
        <v>Direct</v>
      </c>
      <c r="G2095" s="7" t="s">
        <v>2570</v>
      </c>
    </row>
    <row r="2096" spans="1:7" x14ac:dyDescent="0.2">
      <c r="A2096" s="6" t="s">
        <v>18</v>
      </c>
      <c r="B2096" s="7" t="s">
        <v>9</v>
      </c>
      <c r="C2096" s="7" t="s">
        <v>2571</v>
      </c>
      <c r="D2096" s="7">
        <v>1.37031711</v>
      </c>
      <c r="E2096" s="7">
        <v>1.1999448800000001</v>
      </c>
      <c r="F2096" s="9" t="str">
        <f t="shared" si="10"/>
        <v>Direct</v>
      </c>
      <c r="G2096" s="7" t="s">
        <v>11</v>
      </c>
    </row>
    <row r="2097" spans="1:7" x14ac:dyDescent="0.2">
      <c r="A2097" s="6" t="s">
        <v>18</v>
      </c>
      <c r="B2097" s="7" t="s">
        <v>9</v>
      </c>
      <c r="C2097" s="7" t="s">
        <v>2572</v>
      </c>
      <c r="D2097" s="7">
        <v>1.48674555</v>
      </c>
      <c r="E2097" s="7">
        <v>1.2960633800000001</v>
      </c>
      <c r="F2097" s="9" t="str">
        <f t="shared" si="10"/>
        <v>Direct</v>
      </c>
      <c r="G2097" s="7" t="s">
        <v>11</v>
      </c>
    </row>
    <row r="2098" spans="1:7" x14ac:dyDescent="0.2">
      <c r="A2098" s="6" t="s">
        <v>18</v>
      </c>
      <c r="B2098" s="7" t="s">
        <v>9</v>
      </c>
      <c r="C2098" s="7" t="s">
        <v>2573</v>
      </c>
      <c r="D2098" s="7">
        <v>2.1740424699999998</v>
      </c>
      <c r="E2098" s="7">
        <v>1.1160096799999999</v>
      </c>
      <c r="F2098" s="9" t="str">
        <f t="shared" si="10"/>
        <v>Direct</v>
      </c>
      <c r="G2098" s="7" t="s">
        <v>2574</v>
      </c>
    </row>
    <row r="2099" spans="1:7" x14ac:dyDescent="0.2">
      <c r="A2099" s="6" t="s">
        <v>18</v>
      </c>
      <c r="B2099" s="7" t="s">
        <v>9</v>
      </c>
      <c r="C2099" s="7" t="s">
        <v>2575</v>
      </c>
      <c r="D2099" s="7">
        <v>-1.8052501000000001</v>
      </c>
      <c r="E2099" s="7">
        <v>-2.285463</v>
      </c>
      <c r="F2099" s="9" t="str">
        <f t="shared" si="10"/>
        <v>Direct</v>
      </c>
      <c r="G2099" s="7" t="s">
        <v>11</v>
      </c>
    </row>
    <row r="2100" spans="1:7" x14ac:dyDescent="0.2">
      <c r="A2100" s="6" t="s">
        <v>18</v>
      </c>
      <c r="B2100" s="7" t="s">
        <v>9</v>
      </c>
      <c r="C2100" s="7" t="s">
        <v>2576</v>
      </c>
      <c r="D2100" s="7">
        <v>-2.8119372</v>
      </c>
      <c r="E2100" s="7">
        <v>-2.0203720000000001</v>
      </c>
      <c r="F2100" s="9" t="str">
        <f t="shared" si="10"/>
        <v>Direct</v>
      </c>
      <c r="G2100" s="7" t="s">
        <v>2577</v>
      </c>
    </row>
    <row r="2101" spans="1:7" x14ac:dyDescent="0.2">
      <c r="A2101" s="6" t="s">
        <v>18</v>
      </c>
      <c r="B2101" s="7" t="s">
        <v>9</v>
      </c>
      <c r="C2101" s="7" t="s">
        <v>2578</v>
      </c>
      <c r="D2101" s="7">
        <v>-1.634002</v>
      </c>
      <c r="E2101" s="7">
        <v>-1.0515694</v>
      </c>
      <c r="F2101" s="9" t="str">
        <f t="shared" si="10"/>
        <v>Direct</v>
      </c>
      <c r="G2101" s="7" t="s">
        <v>11</v>
      </c>
    </row>
    <row r="2102" spans="1:7" x14ac:dyDescent="0.2">
      <c r="A2102" s="6" t="s">
        <v>18</v>
      </c>
      <c r="B2102" s="7" t="s">
        <v>9</v>
      </c>
      <c r="C2102" s="7" t="s">
        <v>2579</v>
      </c>
      <c r="D2102" s="7">
        <v>-1.0261464</v>
      </c>
      <c r="E2102" s="7">
        <v>-2.1503111000000001</v>
      </c>
      <c r="F2102" s="9" t="str">
        <f t="shared" si="10"/>
        <v>Direct</v>
      </c>
      <c r="G2102" s="7" t="s">
        <v>11</v>
      </c>
    </row>
    <row r="2103" spans="1:7" x14ac:dyDescent="0.2">
      <c r="A2103" s="6" t="s">
        <v>18</v>
      </c>
      <c r="B2103" s="7" t="s">
        <v>9</v>
      </c>
      <c r="C2103" s="7" t="s">
        <v>2580</v>
      </c>
      <c r="D2103" s="7">
        <v>1.2641227399999999</v>
      </c>
      <c r="E2103" s="7">
        <v>1.84574123</v>
      </c>
      <c r="F2103" s="9" t="str">
        <f t="shared" si="10"/>
        <v>Direct</v>
      </c>
      <c r="G2103" s="7" t="s">
        <v>11</v>
      </c>
    </row>
    <row r="2104" spans="1:7" x14ac:dyDescent="0.2">
      <c r="A2104" s="6" t="s">
        <v>18</v>
      </c>
      <c r="B2104" s="7" t="s">
        <v>9</v>
      </c>
      <c r="C2104" s="7" t="s">
        <v>2581</v>
      </c>
      <c r="D2104" s="7">
        <v>1.30826413</v>
      </c>
      <c r="E2104" s="7">
        <v>1.00367048</v>
      </c>
      <c r="F2104" s="9" t="str">
        <f t="shared" si="10"/>
        <v>Direct</v>
      </c>
      <c r="G2104" s="7" t="s">
        <v>11</v>
      </c>
    </row>
    <row r="2105" spans="1:7" x14ac:dyDescent="0.2">
      <c r="A2105" s="6" t="s">
        <v>18</v>
      </c>
      <c r="B2105" s="7" t="s">
        <v>9</v>
      </c>
      <c r="C2105" s="7" t="s">
        <v>2582</v>
      </c>
      <c r="D2105" s="7">
        <v>-3.276843</v>
      </c>
      <c r="E2105" s="7">
        <v>-2.285463</v>
      </c>
      <c r="F2105" s="9" t="str">
        <f t="shared" si="10"/>
        <v>Direct</v>
      </c>
      <c r="G2105" s="7" t="s">
        <v>1620</v>
      </c>
    </row>
    <row r="2106" spans="1:7" x14ac:dyDescent="0.2">
      <c r="A2106" s="6" t="s">
        <v>18</v>
      </c>
      <c r="B2106" s="7" t="s">
        <v>9</v>
      </c>
      <c r="C2106" s="7" t="s">
        <v>2583</v>
      </c>
      <c r="D2106" s="7">
        <v>1.1142970000000001</v>
      </c>
      <c r="E2106" s="7">
        <v>1.4711675900000001</v>
      </c>
      <c r="F2106" s="9" t="str">
        <f t="shared" si="10"/>
        <v>Direct</v>
      </c>
      <c r="G2106" s="7" t="s">
        <v>11</v>
      </c>
    </row>
    <row r="2107" spans="1:7" x14ac:dyDescent="0.2">
      <c r="A2107" s="6" t="s">
        <v>18</v>
      </c>
      <c r="B2107" s="7" t="s">
        <v>9</v>
      </c>
      <c r="C2107" s="7" t="s">
        <v>2584</v>
      </c>
      <c r="D2107" s="7">
        <v>-2.0280646999999998</v>
      </c>
      <c r="E2107" s="7">
        <v>-3.2864908000000002</v>
      </c>
      <c r="F2107" s="9" t="str">
        <f t="shared" si="10"/>
        <v>Direct</v>
      </c>
      <c r="G2107" s="7" t="s">
        <v>11</v>
      </c>
    </row>
    <row r="2108" spans="1:7" x14ac:dyDescent="0.2">
      <c r="A2108" s="6" t="s">
        <v>18</v>
      </c>
      <c r="B2108" s="7" t="s">
        <v>9</v>
      </c>
      <c r="C2108" s="7" t="s">
        <v>2585</v>
      </c>
      <c r="D2108" s="7">
        <v>1.01659999</v>
      </c>
      <c r="E2108" s="7">
        <v>1.3660684999999999</v>
      </c>
      <c r="F2108" s="9" t="str">
        <f t="shared" si="10"/>
        <v>Direct</v>
      </c>
      <c r="G2108" s="7" t="s">
        <v>2586</v>
      </c>
    </row>
    <row r="2109" spans="1:7" x14ac:dyDescent="0.2">
      <c r="A2109" s="6" t="s">
        <v>18</v>
      </c>
      <c r="B2109" s="7" t="s">
        <v>9</v>
      </c>
      <c r="C2109" s="7" t="s">
        <v>2587</v>
      </c>
      <c r="D2109" s="7">
        <v>1.36351073</v>
      </c>
      <c r="E2109" s="7">
        <v>2.1751348699999999</v>
      </c>
      <c r="F2109" s="9" t="str">
        <f t="shared" si="10"/>
        <v>Direct</v>
      </c>
      <c r="G2109" s="7" t="s">
        <v>11</v>
      </c>
    </row>
    <row r="2110" spans="1:7" x14ac:dyDescent="0.2">
      <c r="A2110" s="6" t="s">
        <v>18</v>
      </c>
      <c r="B2110" s="7" t="s">
        <v>9</v>
      </c>
      <c r="C2110" s="7" t="s">
        <v>2588</v>
      </c>
      <c r="D2110" s="7">
        <v>1.75796218</v>
      </c>
      <c r="E2110" s="7">
        <v>3.2914070899999999</v>
      </c>
      <c r="F2110" s="9" t="str">
        <f t="shared" si="10"/>
        <v>Direct</v>
      </c>
      <c r="G2110" s="7" t="s">
        <v>11</v>
      </c>
    </row>
    <row r="2111" spans="1:7" x14ac:dyDescent="0.2">
      <c r="A2111" s="6" t="s">
        <v>18</v>
      </c>
      <c r="B2111" s="7" t="s">
        <v>9</v>
      </c>
      <c r="C2111" s="7" t="s">
        <v>2589</v>
      </c>
      <c r="D2111" s="7">
        <v>-1.0855697</v>
      </c>
      <c r="E2111" s="7">
        <v>-1.3823023000000001</v>
      </c>
      <c r="F2111" s="9" t="str">
        <f t="shared" si="10"/>
        <v>Direct</v>
      </c>
      <c r="G2111" s="7" t="s">
        <v>11</v>
      </c>
    </row>
    <row r="2112" spans="1:7" x14ac:dyDescent="0.2">
      <c r="A2112" s="6" t="s">
        <v>18</v>
      </c>
      <c r="B2112" s="7" t="s">
        <v>9</v>
      </c>
      <c r="C2112" s="7" t="s">
        <v>2590</v>
      </c>
      <c r="D2112" s="7">
        <v>1.2094640800000001</v>
      </c>
      <c r="E2112" s="7">
        <v>1.47950129</v>
      </c>
      <c r="F2112" s="9" t="str">
        <f t="shared" si="10"/>
        <v>Direct</v>
      </c>
      <c r="G2112" s="7" t="s">
        <v>11</v>
      </c>
    </row>
    <row r="2113" spans="1:7" x14ac:dyDescent="0.2">
      <c r="A2113" s="6" t="s">
        <v>18</v>
      </c>
      <c r="B2113" s="7" t="s">
        <v>9</v>
      </c>
      <c r="C2113" s="7" t="s">
        <v>2591</v>
      </c>
      <c r="D2113" s="7">
        <v>2.8124937700000001</v>
      </c>
      <c r="E2113" s="7">
        <v>2.4672027500000002</v>
      </c>
      <c r="F2113" s="9" t="str">
        <f t="shared" si="10"/>
        <v>Direct</v>
      </c>
      <c r="G2113" s="7" t="s">
        <v>2592</v>
      </c>
    </row>
    <row r="2114" spans="1:7" x14ac:dyDescent="0.2">
      <c r="A2114" s="6" t="s">
        <v>18</v>
      </c>
      <c r="B2114" s="7" t="s">
        <v>9</v>
      </c>
      <c r="C2114" s="7" t="s">
        <v>2593</v>
      </c>
      <c r="D2114" s="7">
        <v>-1.1164689000000001</v>
      </c>
      <c r="E2114" s="7">
        <v>-1.4244531</v>
      </c>
      <c r="F2114" s="9" t="str">
        <f t="shared" si="10"/>
        <v>Direct</v>
      </c>
      <c r="G2114" s="7" t="s">
        <v>2594</v>
      </c>
    </row>
    <row r="2115" spans="1:7" x14ac:dyDescent="0.2">
      <c r="A2115" s="6" t="s">
        <v>18</v>
      </c>
      <c r="B2115" s="7" t="s">
        <v>9</v>
      </c>
      <c r="C2115" s="7" t="s">
        <v>2595</v>
      </c>
      <c r="D2115" s="7">
        <v>2.5249594000000002</v>
      </c>
      <c r="E2115" s="7">
        <v>3.4800905000000002</v>
      </c>
      <c r="F2115" s="9" t="str">
        <f t="shared" si="10"/>
        <v>Direct</v>
      </c>
      <c r="G2115" s="7" t="s">
        <v>401</v>
      </c>
    </row>
    <row r="2116" spans="1:7" x14ac:dyDescent="0.2">
      <c r="A2116" s="6" t="s">
        <v>18</v>
      </c>
      <c r="B2116" s="7" t="s">
        <v>9</v>
      </c>
      <c r="C2116" s="7" t="s">
        <v>2596</v>
      </c>
      <c r="D2116" s="7">
        <v>-1.1711201</v>
      </c>
      <c r="E2116" s="7">
        <v>-1.1309206000000001</v>
      </c>
      <c r="F2116" s="9" t="str">
        <f t="shared" si="10"/>
        <v>Direct</v>
      </c>
      <c r="G2116" s="7" t="s">
        <v>11</v>
      </c>
    </row>
    <row r="2117" spans="1:7" x14ac:dyDescent="0.2">
      <c r="A2117" s="6" t="s">
        <v>18</v>
      </c>
      <c r="B2117" s="7" t="s">
        <v>9</v>
      </c>
      <c r="C2117" s="7" t="s">
        <v>2597</v>
      </c>
      <c r="D2117" s="7">
        <v>-3.971565</v>
      </c>
      <c r="E2117" s="7">
        <v>-4.9022246000000003</v>
      </c>
      <c r="F2117" s="9" t="str">
        <f t="shared" si="10"/>
        <v>Direct</v>
      </c>
      <c r="G2117" s="7" t="s">
        <v>11</v>
      </c>
    </row>
    <row r="2118" spans="1:7" x14ac:dyDescent="0.2">
      <c r="A2118" s="6" t="s">
        <v>18</v>
      </c>
      <c r="B2118" s="7" t="s">
        <v>9</v>
      </c>
      <c r="C2118" s="7" t="s">
        <v>2598</v>
      </c>
      <c r="D2118" s="7">
        <v>-1.8996492</v>
      </c>
      <c r="E2118" s="7">
        <v>-5.6933476000000001</v>
      </c>
      <c r="F2118" s="9" t="str">
        <f t="shared" si="10"/>
        <v>Direct</v>
      </c>
      <c r="G2118" s="7" t="s">
        <v>1383</v>
      </c>
    </row>
    <row r="2119" spans="1:7" x14ac:dyDescent="0.2">
      <c r="A2119" s="6" t="s">
        <v>18</v>
      </c>
      <c r="B2119" s="7" t="s">
        <v>9</v>
      </c>
      <c r="C2119" s="7" t="s">
        <v>2599</v>
      </c>
      <c r="D2119" s="7">
        <v>-1.3110895</v>
      </c>
      <c r="E2119" s="7">
        <v>-2.3598683999999999</v>
      </c>
      <c r="F2119" s="9" t="str">
        <f t="shared" si="10"/>
        <v>Direct</v>
      </c>
      <c r="G2119" s="7" t="s">
        <v>1446</v>
      </c>
    </row>
    <row r="2120" spans="1:7" x14ac:dyDescent="0.2">
      <c r="A2120" s="6" t="s">
        <v>18</v>
      </c>
      <c r="B2120" s="7" t="s">
        <v>9</v>
      </c>
      <c r="C2120" s="7" t="s">
        <v>2600</v>
      </c>
      <c r="D2120" s="7">
        <v>3.29001929</v>
      </c>
      <c r="E2120" s="7">
        <v>2.02349399</v>
      </c>
      <c r="F2120" s="9" t="str">
        <f t="shared" si="10"/>
        <v>Direct</v>
      </c>
      <c r="G2120" s="7" t="s">
        <v>11</v>
      </c>
    </row>
    <row r="2121" spans="1:7" x14ac:dyDescent="0.2">
      <c r="A2121" s="6" t="s">
        <v>18</v>
      </c>
      <c r="B2121" s="7" t="s">
        <v>9</v>
      </c>
      <c r="C2121" s="7" t="s">
        <v>2601</v>
      </c>
      <c r="D2121" s="7">
        <v>2.6852830499999998</v>
      </c>
      <c r="E2121" s="7">
        <v>1.2282318699999999</v>
      </c>
      <c r="F2121" s="9" t="str">
        <f t="shared" si="10"/>
        <v>Direct</v>
      </c>
      <c r="G2121" s="7" t="s">
        <v>2602</v>
      </c>
    </row>
    <row r="2122" spans="1:7" x14ac:dyDescent="0.2">
      <c r="A2122" s="6" t="s">
        <v>18</v>
      </c>
      <c r="B2122" s="7" t="s">
        <v>9</v>
      </c>
      <c r="C2122" s="7" t="s">
        <v>2603</v>
      </c>
      <c r="D2122" s="7">
        <v>1.5001497399999999</v>
      </c>
      <c r="E2122" s="7">
        <v>1.24251987</v>
      </c>
      <c r="F2122" s="9" t="str">
        <f t="shared" si="10"/>
        <v>Direct</v>
      </c>
      <c r="G2122" s="7" t="s">
        <v>58</v>
      </c>
    </row>
    <row r="2123" spans="1:7" x14ac:dyDescent="0.2">
      <c r="A2123" s="6" t="s">
        <v>18</v>
      </c>
      <c r="B2123" s="7" t="s">
        <v>9</v>
      </c>
      <c r="C2123" s="7" t="s">
        <v>2604</v>
      </c>
      <c r="D2123" s="7">
        <v>1.3947674400000001</v>
      </c>
      <c r="E2123" s="7">
        <v>1.61802869</v>
      </c>
      <c r="F2123" s="9" t="str">
        <f t="shared" si="10"/>
        <v>Direct</v>
      </c>
      <c r="G2123" s="7" t="s">
        <v>2605</v>
      </c>
    </row>
    <row r="2124" spans="1:7" x14ac:dyDescent="0.2">
      <c r="A2124" s="6" t="s">
        <v>18</v>
      </c>
      <c r="B2124" s="7" t="s">
        <v>9</v>
      </c>
      <c r="C2124" s="7" t="s">
        <v>2606</v>
      </c>
      <c r="D2124" s="7">
        <v>2.8341535599999998</v>
      </c>
      <c r="E2124" s="7">
        <v>2.4751853100000001</v>
      </c>
      <c r="F2124" s="9" t="str">
        <f t="shared" si="10"/>
        <v>Direct</v>
      </c>
      <c r="G2124" s="7" t="s">
        <v>11</v>
      </c>
    </row>
    <row r="2125" spans="1:7" x14ac:dyDescent="0.2">
      <c r="A2125" s="6" t="s">
        <v>18</v>
      </c>
      <c r="B2125" s="7" t="s">
        <v>9</v>
      </c>
      <c r="C2125" s="7" t="s">
        <v>2607</v>
      </c>
      <c r="D2125" s="7">
        <v>-3.971565</v>
      </c>
      <c r="E2125" s="7">
        <v>-2.3198104000000002</v>
      </c>
      <c r="F2125" s="9" t="str">
        <f t="shared" si="10"/>
        <v>Direct</v>
      </c>
      <c r="G2125" s="7" t="s">
        <v>2605</v>
      </c>
    </row>
    <row r="2126" spans="1:7" x14ac:dyDescent="0.2">
      <c r="A2126" s="6" t="s">
        <v>18</v>
      </c>
      <c r="B2126" s="7" t="s">
        <v>9</v>
      </c>
      <c r="C2126" s="7" t="s">
        <v>2608</v>
      </c>
      <c r="D2126" s="7">
        <v>8.5721205499999993</v>
      </c>
      <c r="E2126" s="7">
        <v>3.98445297</v>
      </c>
      <c r="F2126" s="9" t="str">
        <f t="shared" si="10"/>
        <v>Direct</v>
      </c>
      <c r="G2126" s="7" t="s">
        <v>2605</v>
      </c>
    </row>
    <row r="2127" spans="1:7" x14ac:dyDescent="0.2">
      <c r="A2127" s="6" t="s">
        <v>18</v>
      </c>
      <c r="B2127" s="7" t="s">
        <v>9</v>
      </c>
      <c r="C2127" s="7" t="s">
        <v>2609</v>
      </c>
      <c r="D2127" s="7">
        <v>1.60470932</v>
      </c>
      <c r="E2127" s="7">
        <v>1.1716438300000001</v>
      </c>
      <c r="F2127" s="9" t="str">
        <f t="shared" si="10"/>
        <v>Direct</v>
      </c>
      <c r="G2127" s="7" t="s">
        <v>2605</v>
      </c>
    </row>
    <row r="2128" spans="1:7" x14ac:dyDescent="0.2">
      <c r="A2128" s="6" t="s">
        <v>18</v>
      </c>
      <c r="B2128" s="7" t="s">
        <v>9</v>
      </c>
      <c r="C2128" s="7" t="s">
        <v>2610</v>
      </c>
      <c r="D2128" s="7">
        <v>-1.8055211</v>
      </c>
      <c r="E2128" s="7">
        <v>-1.3984856999999999</v>
      </c>
      <c r="F2128" s="9" t="str">
        <f t="shared" si="10"/>
        <v>Direct</v>
      </c>
      <c r="G2128" s="7" t="s">
        <v>11</v>
      </c>
    </row>
    <row r="2129" spans="1:7" x14ac:dyDescent="0.2">
      <c r="A2129" s="6" t="s">
        <v>18</v>
      </c>
      <c r="B2129" s="7" t="s">
        <v>9</v>
      </c>
      <c r="C2129" s="7" t="s">
        <v>2611</v>
      </c>
      <c r="D2129" s="7">
        <v>-1.6454120999999999</v>
      </c>
      <c r="E2129" s="7">
        <v>-1.2081381</v>
      </c>
      <c r="F2129" s="9" t="str">
        <f t="shared" si="10"/>
        <v>Direct</v>
      </c>
      <c r="G2129" s="7" t="s">
        <v>2612</v>
      </c>
    </row>
    <row r="2130" spans="1:7" x14ac:dyDescent="0.2">
      <c r="A2130" s="6" t="s">
        <v>18</v>
      </c>
      <c r="B2130" s="7" t="s">
        <v>9</v>
      </c>
      <c r="C2130" s="7" t="s">
        <v>2613</v>
      </c>
      <c r="D2130" s="7">
        <v>-2.8233133000000001</v>
      </c>
      <c r="E2130" s="7">
        <v>-1.1483227</v>
      </c>
      <c r="F2130" s="9" t="str">
        <f t="shared" si="10"/>
        <v>Direct</v>
      </c>
      <c r="G2130" s="7" t="s">
        <v>11</v>
      </c>
    </row>
    <row r="2131" spans="1:7" x14ac:dyDescent="0.2">
      <c r="A2131" s="6" t="s">
        <v>18</v>
      </c>
      <c r="B2131" s="7" t="s">
        <v>9</v>
      </c>
      <c r="C2131" s="7" t="s">
        <v>2614</v>
      </c>
      <c r="D2131" s="7">
        <v>-1.2540837</v>
      </c>
      <c r="E2131" s="7">
        <v>-2.1040193999999999</v>
      </c>
      <c r="F2131" s="9" t="str">
        <f t="shared" si="10"/>
        <v>Direct</v>
      </c>
      <c r="G2131" s="7" t="s">
        <v>2615</v>
      </c>
    </row>
    <row r="2132" spans="1:7" x14ac:dyDescent="0.2">
      <c r="A2132" s="6" t="s">
        <v>18</v>
      </c>
      <c r="B2132" s="7" t="s">
        <v>9</v>
      </c>
      <c r="C2132" s="7" t="s">
        <v>2616</v>
      </c>
      <c r="D2132" s="7">
        <v>-2.4362938000000001</v>
      </c>
      <c r="E2132" s="7">
        <v>-1.9852593999999999</v>
      </c>
      <c r="F2132" s="9" t="str">
        <f t="shared" si="10"/>
        <v>Direct</v>
      </c>
      <c r="G2132" s="7" t="s">
        <v>1345</v>
      </c>
    </row>
    <row r="2133" spans="1:7" x14ac:dyDescent="0.2">
      <c r="A2133" s="6" t="s">
        <v>18</v>
      </c>
      <c r="B2133" s="7" t="s">
        <v>9</v>
      </c>
      <c r="C2133" s="7" t="s">
        <v>2617</v>
      </c>
      <c r="D2133" s="7">
        <v>-1.0407126</v>
      </c>
      <c r="E2133" s="7">
        <v>-1.2551059</v>
      </c>
      <c r="F2133" s="9" t="str">
        <f t="shared" si="10"/>
        <v>Direct</v>
      </c>
      <c r="G2133" s="7" t="s">
        <v>11</v>
      </c>
    </row>
    <row r="2134" spans="1:7" x14ac:dyDescent="0.2">
      <c r="A2134" s="6" t="s">
        <v>18</v>
      </c>
      <c r="B2134" s="7" t="s">
        <v>9</v>
      </c>
      <c r="C2134" s="7" t="s">
        <v>2618</v>
      </c>
      <c r="D2134" s="7">
        <v>1.0902451900000001</v>
      </c>
      <c r="E2134" s="7">
        <v>1.2646615000000001</v>
      </c>
      <c r="F2134" s="9" t="str">
        <f t="shared" si="10"/>
        <v>Direct</v>
      </c>
      <c r="G2134" s="7" t="s">
        <v>513</v>
      </c>
    </row>
    <row r="2135" spans="1:7" x14ac:dyDescent="0.2">
      <c r="A2135" s="6" t="s">
        <v>18</v>
      </c>
      <c r="B2135" s="7" t="s">
        <v>9</v>
      </c>
      <c r="C2135" s="7" t="s">
        <v>2619</v>
      </c>
      <c r="D2135" s="7">
        <v>-1.3500513000000001</v>
      </c>
      <c r="E2135" s="7">
        <v>-1.9652277</v>
      </c>
      <c r="F2135" s="9" t="str">
        <f t="shared" si="10"/>
        <v>Direct</v>
      </c>
      <c r="G2135" s="7" t="s">
        <v>2620</v>
      </c>
    </row>
    <row r="2136" spans="1:7" x14ac:dyDescent="0.2">
      <c r="A2136" s="6" t="s">
        <v>18</v>
      </c>
      <c r="B2136" s="7" t="s">
        <v>9</v>
      </c>
      <c r="C2136" s="7" t="s">
        <v>2621</v>
      </c>
      <c r="D2136" s="7">
        <v>3.3950683100000001</v>
      </c>
      <c r="E2136" s="7">
        <v>3.2734557</v>
      </c>
      <c r="F2136" s="9" t="str">
        <f t="shared" si="10"/>
        <v>Direct</v>
      </c>
      <c r="G2136" s="7" t="s">
        <v>11</v>
      </c>
    </row>
    <row r="2137" spans="1:7" x14ac:dyDescent="0.2">
      <c r="A2137" s="6" t="s">
        <v>18</v>
      </c>
      <c r="B2137" s="7" t="s">
        <v>9</v>
      </c>
      <c r="C2137" s="7" t="s">
        <v>2622</v>
      </c>
      <c r="D2137" s="7">
        <v>-1.1710103000000001</v>
      </c>
      <c r="E2137" s="7">
        <v>-1.3400848999999999</v>
      </c>
      <c r="F2137" s="9" t="str">
        <f t="shared" si="10"/>
        <v>Direct</v>
      </c>
      <c r="G2137" s="7" t="s">
        <v>35</v>
      </c>
    </row>
    <row r="2138" spans="1:7" x14ac:dyDescent="0.2">
      <c r="A2138" s="6" t="s">
        <v>18</v>
      </c>
      <c r="B2138" s="7" t="s">
        <v>9</v>
      </c>
      <c r="C2138" s="7" t="s">
        <v>2623</v>
      </c>
      <c r="D2138" s="7">
        <v>-1.3201883999999999</v>
      </c>
      <c r="E2138" s="7">
        <v>-2.3660364999999999</v>
      </c>
      <c r="F2138" s="9" t="str">
        <f t="shared" si="10"/>
        <v>Direct</v>
      </c>
      <c r="G2138" s="7" t="s">
        <v>2624</v>
      </c>
    </row>
    <row r="2139" spans="1:7" x14ac:dyDescent="0.2">
      <c r="A2139" s="6" t="s">
        <v>18</v>
      </c>
      <c r="B2139" s="7" t="s">
        <v>9</v>
      </c>
      <c r="C2139" s="7" t="s">
        <v>2625</v>
      </c>
      <c r="D2139" s="7">
        <v>-2.0018631999999998</v>
      </c>
      <c r="E2139" s="7">
        <v>-1.0177259999999999</v>
      </c>
      <c r="F2139" s="9" t="str">
        <f t="shared" si="10"/>
        <v>Direct</v>
      </c>
      <c r="G2139" s="7" t="s">
        <v>2624</v>
      </c>
    </row>
    <row r="2140" spans="1:7" x14ac:dyDescent="0.2">
      <c r="A2140" s="6" t="s">
        <v>18</v>
      </c>
      <c r="B2140" s="7" t="s">
        <v>9</v>
      </c>
      <c r="C2140" s="7" t="s">
        <v>2626</v>
      </c>
      <c r="D2140" s="7">
        <v>1.78800143</v>
      </c>
      <c r="E2140" s="7">
        <v>1.1379111200000001</v>
      </c>
      <c r="F2140" s="9" t="str">
        <f t="shared" si="10"/>
        <v>Direct</v>
      </c>
      <c r="G2140" s="7" t="s">
        <v>437</v>
      </c>
    </row>
    <row r="2141" spans="1:7" x14ac:dyDescent="0.2">
      <c r="A2141" s="6" t="s">
        <v>18</v>
      </c>
      <c r="B2141" s="7" t="s">
        <v>9</v>
      </c>
      <c r="C2141" s="7" t="s">
        <v>2627</v>
      </c>
      <c r="D2141" s="7">
        <v>-1.1186411000000001</v>
      </c>
      <c r="E2141" s="7">
        <v>-1.3490518</v>
      </c>
      <c r="F2141" s="9" t="str">
        <f t="shared" si="10"/>
        <v>Direct</v>
      </c>
      <c r="G2141" s="7" t="s">
        <v>2628</v>
      </c>
    </row>
    <row r="2142" spans="1:7" x14ac:dyDescent="0.2">
      <c r="A2142" s="6" t="s">
        <v>18</v>
      </c>
      <c r="B2142" s="7" t="s">
        <v>9</v>
      </c>
      <c r="C2142" s="7" t="s">
        <v>2629</v>
      </c>
      <c r="D2142" s="7">
        <v>-3.1528729000000002</v>
      </c>
      <c r="E2142" s="7">
        <v>-2.5290108999999998</v>
      </c>
      <c r="F2142" s="9" t="str">
        <f t="shared" si="10"/>
        <v>Direct</v>
      </c>
      <c r="G2142" s="7" t="s">
        <v>11</v>
      </c>
    </row>
    <row r="2143" spans="1:7" x14ac:dyDescent="0.2">
      <c r="A2143" s="6" t="s">
        <v>18</v>
      </c>
      <c r="B2143" s="7" t="s">
        <v>9</v>
      </c>
      <c r="C2143" s="7" t="s">
        <v>2630</v>
      </c>
      <c r="D2143" s="7">
        <v>-2.6219695000000001</v>
      </c>
      <c r="E2143" s="7">
        <v>-2.1132730999999998</v>
      </c>
      <c r="F2143" s="9" t="str">
        <f t="shared" si="10"/>
        <v>Direct</v>
      </c>
      <c r="G2143" s="7" t="s">
        <v>2631</v>
      </c>
    </row>
    <row r="2144" spans="1:7" x14ac:dyDescent="0.2">
      <c r="A2144" s="6" t="s">
        <v>18</v>
      </c>
      <c r="B2144" s="7" t="s">
        <v>9</v>
      </c>
      <c r="C2144" s="7" t="s">
        <v>2632</v>
      </c>
      <c r="D2144" s="7">
        <v>-1.3699133999999999</v>
      </c>
      <c r="E2144" s="7">
        <v>-2.0376801000000002</v>
      </c>
      <c r="F2144" s="9" t="str">
        <f t="shared" si="10"/>
        <v>Direct</v>
      </c>
      <c r="G2144" s="7" t="s">
        <v>1383</v>
      </c>
    </row>
    <row r="2145" spans="1:7" x14ac:dyDescent="0.2">
      <c r="A2145" s="6" t="s">
        <v>18</v>
      </c>
      <c r="B2145" s="7" t="s">
        <v>9</v>
      </c>
      <c r="C2145" s="7" t="s">
        <v>2633</v>
      </c>
      <c r="D2145" s="7">
        <v>-1.0654191</v>
      </c>
      <c r="E2145" s="7">
        <v>-2.0832438</v>
      </c>
      <c r="F2145" s="9" t="str">
        <f t="shared" si="10"/>
        <v>Direct</v>
      </c>
      <c r="G2145" s="7" t="s">
        <v>2634</v>
      </c>
    </row>
    <row r="2146" spans="1:7" x14ac:dyDescent="0.2">
      <c r="A2146" s="6" t="s">
        <v>18</v>
      </c>
      <c r="B2146" s="7" t="s">
        <v>9</v>
      </c>
      <c r="C2146" s="7" t="s">
        <v>2635</v>
      </c>
      <c r="D2146" s="7">
        <v>1.16541911</v>
      </c>
      <c r="E2146" s="7">
        <v>1.8590779099999999</v>
      </c>
      <c r="F2146" s="9" t="str">
        <f t="shared" si="10"/>
        <v>Direct</v>
      </c>
      <c r="G2146" s="7" t="s">
        <v>11</v>
      </c>
    </row>
    <row r="2147" spans="1:7" x14ac:dyDescent="0.2">
      <c r="A2147" s="6" t="s">
        <v>18</v>
      </c>
      <c r="B2147" s="7" t="s">
        <v>9</v>
      </c>
      <c r="C2147" s="7" t="s">
        <v>2636</v>
      </c>
      <c r="D2147" s="7">
        <v>-1.6873308</v>
      </c>
      <c r="E2147" s="7">
        <v>-1.5724591000000001</v>
      </c>
      <c r="F2147" s="9" t="str">
        <f t="shared" si="10"/>
        <v>Direct</v>
      </c>
      <c r="G2147" s="7" t="s">
        <v>11</v>
      </c>
    </row>
    <row r="2148" spans="1:7" x14ac:dyDescent="0.2">
      <c r="A2148" s="6" t="s">
        <v>18</v>
      </c>
      <c r="B2148" s="7" t="s">
        <v>9</v>
      </c>
      <c r="C2148" s="7" t="s">
        <v>2637</v>
      </c>
      <c r="D2148" s="7">
        <v>-2.0812865999999999</v>
      </c>
      <c r="E2148" s="7">
        <v>-1.5846317999999999</v>
      </c>
      <c r="F2148" s="9" t="str">
        <f t="shared" si="10"/>
        <v>Direct</v>
      </c>
      <c r="G2148" s="7" t="s">
        <v>2638</v>
      </c>
    </row>
    <row r="2149" spans="1:7" x14ac:dyDescent="0.2">
      <c r="A2149" s="6" t="s">
        <v>18</v>
      </c>
      <c r="B2149" s="7" t="s">
        <v>9</v>
      </c>
      <c r="C2149" s="7" t="s">
        <v>2639</v>
      </c>
      <c r="D2149" s="7">
        <v>-2.3416413999999999</v>
      </c>
      <c r="E2149" s="7">
        <v>-1.0772455999999999</v>
      </c>
      <c r="F2149" s="9" t="str">
        <f t="shared" si="10"/>
        <v>Direct</v>
      </c>
      <c r="G2149" s="7" t="s">
        <v>11</v>
      </c>
    </row>
    <row r="2150" spans="1:7" x14ac:dyDescent="0.2">
      <c r="A2150" s="6" t="s">
        <v>18</v>
      </c>
      <c r="B2150" s="7" t="s">
        <v>9</v>
      </c>
      <c r="C2150" s="7" t="s">
        <v>2640</v>
      </c>
      <c r="D2150" s="7">
        <v>-1.3758033000000001</v>
      </c>
      <c r="E2150" s="7">
        <v>-2.3860201999999999</v>
      </c>
      <c r="F2150" s="9" t="str">
        <f t="shared" si="10"/>
        <v>Direct</v>
      </c>
      <c r="G2150" s="7" t="s">
        <v>200</v>
      </c>
    </row>
    <row r="2151" spans="1:7" x14ac:dyDescent="0.2">
      <c r="A2151" s="6" t="s">
        <v>18</v>
      </c>
      <c r="B2151" s="7" t="s">
        <v>9</v>
      </c>
      <c r="C2151" s="7" t="s">
        <v>2641</v>
      </c>
      <c r="D2151" s="7">
        <v>-1.3447595999999999</v>
      </c>
      <c r="E2151" s="7">
        <v>-1.4083464000000001</v>
      </c>
      <c r="F2151" s="9" t="str">
        <f t="shared" si="10"/>
        <v>Direct</v>
      </c>
      <c r="G2151" s="7" t="s">
        <v>11</v>
      </c>
    </row>
    <row r="2152" spans="1:7" x14ac:dyDescent="0.2">
      <c r="A2152" s="6" t="s">
        <v>18</v>
      </c>
      <c r="B2152" s="7" t="s">
        <v>9</v>
      </c>
      <c r="C2152" s="7" t="s">
        <v>2642</v>
      </c>
      <c r="D2152" s="7">
        <v>1.1156464500000001</v>
      </c>
      <c r="E2152" s="7">
        <v>1.3600667399999999</v>
      </c>
      <c r="F2152" s="9" t="str">
        <f t="shared" si="10"/>
        <v>Direct</v>
      </c>
      <c r="G2152" s="7" t="s">
        <v>2643</v>
      </c>
    </row>
    <row r="2153" spans="1:7" x14ac:dyDescent="0.2">
      <c r="A2153" s="6" t="s">
        <v>18</v>
      </c>
      <c r="B2153" s="7" t="s">
        <v>9</v>
      </c>
      <c r="C2153" s="7" t="s">
        <v>2644</v>
      </c>
      <c r="D2153" s="7">
        <v>1.97504623</v>
      </c>
      <c r="E2153" s="7">
        <v>2.2410559299999999</v>
      </c>
      <c r="F2153" s="9" t="str">
        <f t="shared" si="10"/>
        <v>Direct</v>
      </c>
      <c r="G2153" s="7" t="s">
        <v>2645</v>
      </c>
    </row>
    <row r="2154" spans="1:7" x14ac:dyDescent="0.2">
      <c r="A2154" s="6" t="s">
        <v>18</v>
      </c>
      <c r="B2154" s="7" t="s">
        <v>9</v>
      </c>
      <c r="C2154" s="7" t="s">
        <v>2646</v>
      </c>
      <c r="D2154" s="7">
        <v>2.38263048</v>
      </c>
      <c r="E2154" s="7">
        <v>1.1896191899999999</v>
      </c>
      <c r="F2154" s="9" t="str">
        <f t="shared" si="10"/>
        <v>Direct</v>
      </c>
      <c r="G2154" s="7" t="s">
        <v>11</v>
      </c>
    </row>
    <row r="2155" spans="1:7" x14ac:dyDescent="0.2">
      <c r="A2155" s="6" t="s">
        <v>18</v>
      </c>
      <c r="B2155" s="7" t="s">
        <v>9</v>
      </c>
      <c r="C2155" s="7" t="s">
        <v>2647</v>
      </c>
      <c r="D2155" s="7">
        <v>-2.2164446999999998</v>
      </c>
      <c r="E2155" s="7">
        <v>-1.5337405</v>
      </c>
      <c r="F2155" s="9" t="str">
        <f t="shared" si="10"/>
        <v>Direct</v>
      </c>
      <c r="G2155" s="7" t="s">
        <v>11</v>
      </c>
    </row>
    <row r="2156" spans="1:7" x14ac:dyDescent="0.2">
      <c r="A2156" s="6" t="s">
        <v>18</v>
      </c>
      <c r="B2156" s="7" t="s">
        <v>9</v>
      </c>
      <c r="C2156" s="7" t="s">
        <v>2648</v>
      </c>
      <c r="D2156" s="7">
        <v>-1.1654191</v>
      </c>
      <c r="E2156" s="7">
        <v>-1.0487662</v>
      </c>
      <c r="F2156" s="9" t="str">
        <f t="shared" si="10"/>
        <v>Direct</v>
      </c>
      <c r="G2156" s="7" t="s">
        <v>2649</v>
      </c>
    </row>
    <row r="2157" spans="1:7" x14ac:dyDescent="0.2">
      <c r="A2157" s="6" t="s">
        <v>18</v>
      </c>
      <c r="B2157" s="7" t="s">
        <v>9</v>
      </c>
      <c r="C2157" s="7" t="s">
        <v>2650</v>
      </c>
      <c r="D2157" s="7">
        <v>-2.5173502999999999</v>
      </c>
      <c r="E2157" s="7">
        <v>-1.7604344000000001</v>
      </c>
      <c r="F2157" s="9" t="str">
        <f t="shared" si="10"/>
        <v>Direct</v>
      </c>
      <c r="G2157" s="7" t="s">
        <v>2651</v>
      </c>
    </row>
    <row r="2158" spans="1:7" x14ac:dyDescent="0.2">
      <c r="A2158" s="6" t="s">
        <v>18</v>
      </c>
      <c r="B2158" s="7" t="s">
        <v>9</v>
      </c>
      <c r="C2158" s="7" t="s">
        <v>2652</v>
      </c>
      <c r="D2158" s="7">
        <v>4.2256795699999996</v>
      </c>
      <c r="E2158" s="7">
        <v>1.2945927699999999</v>
      </c>
      <c r="F2158" s="9" t="str">
        <f t="shared" si="10"/>
        <v>Direct</v>
      </c>
      <c r="G2158" s="7" t="s">
        <v>11</v>
      </c>
    </row>
    <row r="2159" spans="1:7" x14ac:dyDescent="0.2">
      <c r="A2159" s="6" t="s">
        <v>18</v>
      </c>
      <c r="B2159" s="7" t="s">
        <v>9</v>
      </c>
      <c r="C2159" s="7" t="s">
        <v>2653</v>
      </c>
      <c r="D2159" s="7">
        <v>2.4767692499999998</v>
      </c>
      <c r="E2159" s="7">
        <v>2.7856769699999999</v>
      </c>
      <c r="F2159" s="9" t="str">
        <f t="shared" si="10"/>
        <v>Direct</v>
      </c>
      <c r="G2159" s="7" t="s">
        <v>11</v>
      </c>
    </row>
    <row r="2160" spans="1:7" x14ac:dyDescent="0.2">
      <c r="A2160" s="6" t="s">
        <v>18</v>
      </c>
      <c r="B2160" s="7" t="s">
        <v>9</v>
      </c>
      <c r="C2160" s="7" t="s">
        <v>2654</v>
      </c>
      <c r="D2160" s="7">
        <v>-1.0697140999999999</v>
      </c>
      <c r="E2160" s="7">
        <v>-2.0435702</v>
      </c>
      <c r="F2160" s="9" t="str">
        <f t="shared" si="10"/>
        <v>Direct</v>
      </c>
      <c r="G2160" s="7" t="s">
        <v>11</v>
      </c>
    </row>
    <row r="2161" spans="1:7" x14ac:dyDescent="0.2">
      <c r="A2161" s="6" t="s">
        <v>18</v>
      </c>
      <c r="B2161" s="7" t="s">
        <v>9</v>
      </c>
      <c r="C2161" s="7" t="s">
        <v>2655</v>
      </c>
      <c r="D2161" s="7">
        <v>1.2641227399999999</v>
      </c>
      <c r="E2161" s="7">
        <v>1.3275510699999999</v>
      </c>
      <c r="F2161" s="9" t="str">
        <f t="shared" si="10"/>
        <v>Direct</v>
      </c>
      <c r="G2161" s="7" t="s">
        <v>2656</v>
      </c>
    </row>
    <row r="2162" spans="1:7" x14ac:dyDescent="0.2">
      <c r="A2162" s="6" t="s">
        <v>18</v>
      </c>
      <c r="B2162" s="7" t="s">
        <v>9</v>
      </c>
      <c r="C2162" s="7" t="s">
        <v>2657</v>
      </c>
      <c r="D2162" s="7">
        <v>-3.7448522</v>
      </c>
      <c r="E2162" s="7">
        <v>-9.0754552000000004</v>
      </c>
      <c r="F2162" s="9" t="str">
        <f t="shared" si="10"/>
        <v>Direct</v>
      </c>
      <c r="G2162" s="7" t="s">
        <v>200</v>
      </c>
    </row>
    <row r="2163" spans="1:7" x14ac:dyDescent="0.2">
      <c r="A2163" s="6" t="s">
        <v>18</v>
      </c>
      <c r="B2163" s="7" t="s">
        <v>9</v>
      </c>
      <c r="C2163" s="7" t="s">
        <v>2658</v>
      </c>
      <c r="D2163" s="7">
        <v>-1.6189146999999999</v>
      </c>
      <c r="E2163" s="7">
        <v>-2.6967048</v>
      </c>
      <c r="F2163" s="9" t="str">
        <f t="shared" si="10"/>
        <v>Direct</v>
      </c>
      <c r="G2163" s="7" t="s">
        <v>200</v>
      </c>
    </row>
    <row r="2164" spans="1:7" x14ac:dyDescent="0.2">
      <c r="A2164" s="6" t="s">
        <v>18</v>
      </c>
      <c r="B2164" s="7" t="s">
        <v>9</v>
      </c>
      <c r="C2164" s="7" t="s">
        <v>2659</v>
      </c>
      <c r="D2164" s="7">
        <v>-1.7449250999999999</v>
      </c>
      <c r="E2164" s="7">
        <v>-1.4407989999999999</v>
      </c>
      <c r="F2164" s="9" t="str">
        <f t="shared" si="10"/>
        <v>Direct</v>
      </c>
      <c r="G2164" s="7" t="s">
        <v>716</v>
      </c>
    </row>
    <row r="2165" spans="1:7" x14ac:dyDescent="0.2">
      <c r="A2165" s="6" t="s">
        <v>18</v>
      </c>
      <c r="B2165" s="7" t="s">
        <v>9</v>
      </c>
      <c r="C2165" s="7" t="s">
        <v>2660</v>
      </c>
      <c r="D2165" s="7">
        <v>-1.6523277999999999</v>
      </c>
      <c r="E2165" s="7">
        <v>-1.9663067000000001</v>
      </c>
      <c r="F2165" s="9" t="str">
        <f t="shared" si="10"/>
        <v>Direct</v>
      </c>
      <c r="G2165" s="7" t="s">
        <v>11</v>
      </c>
    </row>
    <row r="2166" spans="1:7" x14ac:dyDescent="0.2">
      <c r="A2166" s="6" t="s">
        <v>18</v>
      </c>
      <c r="B2166" s="7" t="s">
        <v>9</v>
      </c>
      <c r="C2166" s="7" t="s">
        <v>2661</v>
      </c>
      <c r="D2166" s="7">
        <v>-1.733608</v>
      </c>
      <c r="E2166" s="7">
        <v>-1.6663307999999999</v>
      </c>
      <c r="F2166" s="9" t="str">
        <f t="shared" si="10"/>
        <v>Direct</v>
      </c>
      <c r="G2166" s="7" t="s">
        <v>2662</v>
      </c>
    </row>
    <row r="2167" spans="1:7" x14ac:dyDescent="0.2">
      <c r="A2167" s="6" t="s">
        <v>18</v>
      </c>
      <c r="B2167" s="7" t="s">
        <v>9</v>
      </c>
      <c r="C2167" s="7" t="s">
        <v>2663</v>
      </c>
      <c r="D2167" s="7">
        <v>8.4521958900000005</v>
      </c>
      <c r="E2167" s="7">
        <v>1.2686058200000001</v>
      </c>
      <c r="F2167" s="9" t="str">
        <f t="shared" si="10"/>
        <v>Direct</v>
      </c>
      <c r="G2167" s="7" t="s">
        <v>11</v>
      </c>
    </row>
    <row r="2168" spans="1:7" x14ac:dyDescent="0.2">
      <c r="A2168" s="6" t="s">
        <v>18</v>
      </c>
      <c r="B2168" s="7" t="s">
        <v>9</v>
      </c>
      <c r="C2168" s="7" t="s">
        <v>2664</v>
      </c>
      <c r="D2168" s="7">
        <v>-1.1475078000000001</v>
      </c>
      <c r="E2168" s="7">
        <v>-1.6968158</v>
      </c>
      <c r="F2168" s="9" t="str">
        <f t="shared" si="10"/>
        <v>Direct</v>
      </c>
      <c r="G2168" s="7" t="s">
        <v>11</v>
      </c>
    </row>
    <row r="2169" spans="1:7" x14ac:dyDescent="0.2">
      <c r="A2169" s="6" t="s">
        <v>18</v>
      </c>
      <c r="B2169" s="7" t="s">
        <v>9</v>
      </c>
      <c r="C2169" s="7" t="s">
        <v>2665</v>
      </c>
      <c r="D2169" s="7">
        <v>1.7242562800000001</v>
      </c>
      <c r="E2169" s="7">
        <v>2.9703034399999999</v>
      </c>
      <c r="F2169" s="9" t="str">
        <f t="shared" si="10"/>
        <v>Direct</v>
      </c>
      <c r="G2169" s="7" t="s">
        <v>11</v>
      </c>
    </row>
    <row r="2170" spans="1:7" x14ac:dyDescent="0.2">
      <c r="A2170" s="6" t="s">
        <v>18</v>
      </c>
      <c r="B2170" s="7" t="s">
        <v>9</v>
      </c>
      <c r="C2170" s="7" t="s">
        <v>2666</v>
      </c>
      <c r="D2170" s="7">
        <v>1.4972721899999999</v>
      </c>
      <c r="E2170" s="7">
        <v>1.0191653899999999</v>
      </c>
      <c r="F2170" s="9" t="str">
        <f t="shared" si="10"/>
        <v>Direct</v>
      </c>
      <c r="G2170" s="7" t="s">
        <v>2667</v>
      </c>
    </row>
    <row r="2171" spans="1:7" x14ac:dyDescent="0.2">
      <c r="A2171" s="6" t="s">
        <v>18</v>
      </c>
      <c r="B2171" s="7" t="s">
        <v>9</v>
      </c>
      <c r="C2171" s="7" t="s">
        <v>2668</v>
      </c>
      <c r="D2171" s="7">
        <v>2.00882761</v>
      </c>
      <c r="E2171" s="7">
        <v>2.1880946300000002</v>
      </c>
      <c r="F2171" s="9" t="str">
        <f t="shared" si="10"/>
        <v>Direct</v>
      </c>
      <c r="G2171" s="7" t="s">
        <v>11</v>
      </c>
    </row>
    <row r="2172" spans="1:7" x14ac:dyDescent="0.2">
      <c r="A2172" s="6" t="s">
        <v>18</v>
      </c>
      <c r="B2172" s="7" t="s">
        <v>9</v>
      </c>
      <c r="C2172" s="7" t="s">
        <v>2669</v>
      </c>
      <c r="D2172" s="7">
        <v>-1.9829626</v>
      </c>
      <c r="E2172" s="7">
        <v>-1.0037723999999999</v>
      </c>
      <c r="F2172" s="9" t="str">
        <f t="shared" si="10"/>
        <v>Direct</v>
      </c>
      <c r="G2172" s="7" t="s">
        <v>11</v>
      </c>
    </row>
    <row r="2173" spans="1:7" x14ac:dyDescent="0.2">
      <c r="A2173" s="6" t="s">
        <v>18</v>
      </c>
      <c r="B2173" s="7" t="s">
        <v>9</v>
      </c>
      <c r="C2173" s="7" t="s">
        <v>2670</v>
      </c>
      <c r="D2173" s="7">
        <v>-3.3432301</v>
      </c>
      <c r="E2173" s="7">
        <v>-2.3511359000000001</v>
      </c>
      <c r="F2173" s="9" t="str">
        <f t="shared" si="10"/>
        <v>Direct</v>
      </c>
      <c r="G2173" s="7" t="s">
        <v>11</v>
      </c>
    </row>
    <row r="2174" spans="1:7" x14ac:dyDescent="0.2">
      <c r="A2174" s="6" t="s">
        <v>18</v>
      </c>
      <c r="B2174" s="7" t="s">
        <v>9</v>
      </c>
      <c r="C2174" s="7" t="s">
        <v>2671</v>
      </c>
      <c r="D2174" s="7">
        <v>1.1047068099999999</v>
      </c>
      <c r="E2174" s="7">
        <v>2.2958446800000001</v>
      </c>
      <c r="F2174" s="9" t="str">
        <f t="shared" si="10"/>
        <v>Direct</v>
      </c>
      <c r="G2174" s="7" t="s">
        <v>11</v>
      </c>
    </row>
    <row r="2175" spans="1:7" x14ac:dyDescent="0.2">
      <c r="A2175" s="6" t="s">
        <v>18</v>
      </c>
      <c r="B2175" s="7" t="s">
        <v>9</v>
      </c>
      <c r="C2175" s="7" t="s">
        <v>2672</v>
      </c>
      <c r="D2175" s="7">
        <v>-1.8398843</v>
      </c>
      <c r="E2175" s="7">
        <v>-1.1052181000000001</v>
      </c>
      <c r="F2175" s="9" t="str">
        <f t="shared" si="10"/>
        <v>Direct</v>
      </c>
      <c r="G2175" s="7" t="s">
        <v>2673</v>
      </c>
    </row>
    <row r="2176" spans="1:7" x14ac:dyDescent="0.2">
      <c r="A2176" s="6" t="s">
        <v>18</v>
      </c>
      <c r="B2176" s="7" t="s">
        <v>9</v>
      </c>
      <c r="C2176" s="7" t="s">
        <v>2674</v>
      </c>
      <c r="D2176" s="7">
        <v>1.27019021</v>
      </c>
      <c r="E2176" s="7">
        <v>1.46794818</v>
      </c>
      <c r="F2176" s="9" t="str">
        <f t="shared" si="10"/>
        <v>Direct</v>
      </c>
      <c r="G2176" s="7" t="s">
        <v>2675</v>
      </c>
    </row>
    <row r="2177" spans="1:7" x14ac:dyDescent="0.2">
      <c r="A2177" s="6" t="s">
        <v>18</v>
      </c>
      <c r="B2177" s="7" t="s">
        <v>9</v>
      </c>
      <c r="C2177" s="7" t="s">
        <v>2676</v>
      </c>
      <c r="D2177" s="7">
        <v>-1.2331787999999999</v>
      </c>
      <c r="E2177" s="7">
        <v>-2.1842969000000001</v>
      </c>
      <c r="F2177" s="9" t="str">
        <f t="shared" si="10"/>
        <v>Direct</v>
      </c>
      <c r="G2177" s="7" t="s">
        <v>11</v>
      </c>
    </row>
    <row r="2178" spans="1:7" x14ac:dyDescent="0.2">
      <c r="A2178" s="6" t="s">
        <v>18</v>
      </c>
      <c r="B2178" s="7" t="s">
        <v>9</v>
      </c>
      <c r="C2178" s="7" t="s">
        <v>2677</v>
      </c>
      <c r="D2178" s="7">
        <v>1.99732387</v>
      </c>
      <c r="E2178" s="7">
        <v>1.46396842</v>
      </c>
      <c r="F2178" s="9" t="str">
        <f t="shared" si="10"/>
        <v>Direct</v>
      </c>
      <c r="G2178" s="7" t="s">
        <v>499</v>
      </c>
    </row>
    <row r="2179" spans="1:7" x14ac:dyDescent="0.2">
      <c r="A2179" s="6" t="s">
        <v>18</v>
      </c>
      <c r="B2179" s="7" t="s">
        <v>9</v>
      </c>
      <c r="C2179" s="7" t="s">
        <v>2678</v>
      </c>
      <c r="D2179" s="7">
        <v>1.4143317500000001</v>
      </c>
      <c r="E2179" s="7">
        <v>1.34008493</v>
      </c>
      <c r="F2179" s="9" t="str">
        <f t="shared" si="10"/>
        <v>Direct</v>
      </c>
      <c r="G2179" s="7" t="s">
        <v>2679</v>
      </c>
    </row>
    <row r="2180" spans="1:7" x14ac:dyDescent="0.2">
      <c r="A2180" s="6" t="s">
        <v>18</v>
      </c>
      <c r="B2180" s="7" t="s">
        <v>9</v>
      </c>
      <c r="C2180" s="7" t="s">
        <v>2680</v>
      </c>
      <c r="D2180" s="7">
        <v>1.62285079</v>
      </c>
      <c r="E2180" s="7">
        <v>1.2584378199999999</v>
      </c>
      <c r="F2180" s="9" t="str">
        <f t="shared" si="10"/>
        <v>Direct</v>
      </c>
      <c r="G2180" s="7" t="s">
        <v>11</v>
      </c>
    </row>
    <row r="2181" spans="1:7" x14ac:dyDescent="0.2">
      <c r="A2181" s="6" t="s">
        <v>18</v>
      </c>
      <c r="B2181" s="7" t="s">
        <v>9</v>
      </c>
      <c r="C2181" s="7" t="s">
        <v>2681</v>
      </c>
      <c r="D2181" s="7">
        <v>-1.1438288000000001</v>
      </c>
      <c r="E2181" s="7">
        <v>-1.1397052999999999</v>
      </c>
      <c r="F2181" s="9" t="str">
        <f t="shared" si="10"/>
        <v>Direct</v>
      </c>
      <c r="G2181" s="7" t="s">
        <v>11</v>
      </c>
    </row>
    <row r="2182" spans="1:7" x14ac:dyDescent="0.2">
      <c r="A2182" s="6" t="s">
        <v>18</v>
      </c>
      <c r="B2182" s="7" t="s">
        <v>9</v>
      </c>
      <c r="C2182" s="7" t="s">
        <v>2682</v>
      </c>
      <c r="D2182" s="7">
        <v>1.1982053699999999</v>
      </c>
      <c r="E2182" s="7">
        <v>1.8590779099999999</v>
      </c>
      <c r="F2182" s="9" t="str">
        <f t="shared" si="10"/>
        <v>Direct</v>
      </c>
      <c r="G2182" s="7" t="s">
        <v>11</v>
      </c>
    </row>
    <row r="2183" spans="1:7" x14ac:dyDescent="0.2">
      <c r="A2183" s="6" t="s">
        <v>18</v>
      </c>
      <c r="B2183" s="7" t="s">
        <v>9</v>
      </c>
      <c r="C2183" s="7" t="s">
        <v>2683</v>
      </c>
      <c r="D2183" s="7">
        <v>1.50270992</v>
      </c>
      <c r="E2183" s="7">
        <v>2.6907943599999999</v>
      </c>
      <c r="F2183" s="9" t="str">
        <f t="shared" si="10"/>
        <v>Direct</v>
      </c>
      <c r="G2183" s="7" t="s">
        <v>2684</v>
      </c>
    </row>
    <row r="2184" spans="1:7" x14ac:dyDescent="0.2">
      <c r="A2184" s="6" t="s">
        <v>18</v>
      </c>
      <c r="B2184" s="7" t="s">
        <v>9</v>
      </c>
      <c r="C2184" s="7" t="s">
        <v>2685</v>
      </c>
      <c r="D2184" s="7">
        <v>-1.0086611999999999</v>
      </c>
      <c r="E2184" s="7">
        <v>-3.0791319000000001</v>
      </c>
      <c r="F2184" s="9" t="str">
        <f t="shared" si="10"/>
        <v>Direct</v>
      </c>
      <c r="G2184" s="7" t="s">
        <v>1530</v>
      </c>
    </row>
    <row r="2185" spans="1:7" x14ac:dyDescent="0.2">
      <c r="A2185" s="6" t="s">
        <v>18</v>
      </c>
      <c r="B2185" s="7" t="s">
        <v>9</v>
      </c>
      <c r="C2185" s="7" t="s">
        <v>2686</v>
      </c>
      <c r="D2185" s="7">
        <v>-1.4005226</v>
      </c>
      <c r="E2185" s="7">
        <v>-2.2085832000000001</v>
      </c>
      <c r="F2185" s="9" t="str">
        <f t="shared" si="10"/>
        <v>Direct</v>
      </c>
      <c r="G2185" s="7" t="s">
        <v>2687</v>
      </c>
    </row>
    <row r="2186" spans="1:7" x14ac:dyDescent="0.2">
      <c r="A2186" s="6" t="s">
        <v>18</v>
      </c>
      <c r="B2186" s="7" t="s">
        <v>9</v>
      </c>
      <c r="C2186" s="7" t="s">
        <v>2688</v>
      </c>
      <c r="D2186" s="7">
        <v>1.9215458999999999</v>
      </c>
      <c r="E2186" s="7">
        <v>1.31894892</v>
      </c>
      <c r="F2186" s="9" t="str">
        <f t="shared" si="10"/>
        <v>Direct</v>
      </c>
      <c r="G2186" s="7" t="s">
        <v>11</v>
      </c>
    </row>
    <row r="2187" spans="1:7" x14ac:dyDescent="0.2">
      <c r="A2187" s="6" t="s">
        <v>18</v>
      </c>
      <c r="B2187" s="7" t="s">
        <v>9</v>
      </c>
      <c r="C2187" s="7" t="s">
        <v>2689</v>
      </c>
      <c r="D2187" s="7">
        <v>1.08700131</v>
      </c>
      <c r="E2187" s="7">
        <v>2.7544761200000001</v>
      </c>
      <c r="F2187" s="9" t="str">
        <f t="shared" si="10"/>
        <v>Direct</v>
      </c>
      <c r="G2187" s="7" t="s">
        <v>11</v>
      </c>
    </row>
    <row r="2188" spans="1:7" x14ac:dyDescent="0.2">
      <c r="A2188" s="6" t="s">
        <v>18</v>
      </c>
      <c r="B2188" s="7" t="s">
        <v>9</v>
      </c>
      <c r="C2188" s="7" t="s">
        <v>2690</v>
      </c>
      <c r="D2188" s="7">
        <v>-1.7335860000000001</v>
      </c>
      <c r="E2188" s="7">
        <v>-1.7418876999999999</v>
      </c>
      <c r="F2188" s="9" t="str">
        <f t="shared" si="10"/>
        <v>Direct</v>
      </c>
      <c r="G2188" s="7" t="s">
        <v>11</v>
      </c>
    </row>
    <row r="2189" spans="1:7" x14ac:dyDescent="0.2">
      <c r="A2189" s="6" t="s">
        <v>18</v>
      </c>
      <c r="B2189" s="7" t="s">
        <v>9</v>
      </c>
      <c r="C2189" s="7" t="s">
        <v>2691</v>
      </c>
      <c r="D2189" s="7">
        <v>1.7457292200000001</v>
      </c>
      <c r="E2189" s="7">
        <v>2.7936375899999999</v>
      </c>
      <c r="F2189" s="9" t="str">
        <f t="shared" si="10"/>
        <v>Direct</v>
      </c>
      <c r="G2189" s="7" t="s">
        <v>1560</v>
      </c>
    </row>
    <row r="2190" spans="1:7" x14ac:dyDescent="0.2">
      <c r="A2190" s="6" t="s">
        <v>18</v>
      </c>
      <c r="B2190" s="7" t="s">
        <v>9</v>
      </c>
      <c r="C2190" s="7" t="s">
        <v>2692</v>
      </c>
      <c r="D2190" s="7">
        <v>1.8499028099999999</v>
      </c>
      <c r="E2190" s="7">
        <v>1.4221965299999999</v>
      </c>
      <c r="F2190" s="9" t="str">
        <f t="shared" si="10"/>
        <v>Direct</v>
      </c>
      <c r="G2190" s="7" t="s">
        <v>200</v>
      </c>
    </row>
    <row r="2191" spans="1:7" x14ac:dyDescent="0.2">
      <c r="A2191" s="6" t="s">
        <v>18</v>
      </c>
      <c r="B2191" s="7" t="s">
        <v>9</v>
      </c>
      <c r="C2191" s="7" t="s">
        <v>2693</v>
      </c>
      <c r="D2191" s="7">
        <v>1.16541911</v>
      </c>
      <c r="E2191" s="7">
        <v>1.39730822</v>
      </c>
      <c r="F2191" s="9" t="str">
        <f t="shared" si="10"/>
        <v>Direct</v>
      </c>
      <c r="G2191" s="7" t="s">
        <v>1643</v>
      </c>
    </row>
    <row r="2192" spans="1:7" x14ac:dyDescent="0.2">
      <c r="A2192" s="6" t="s">
        <v>18</v>
      </c>
      <c r="B2192" s="7" t="s">
        <v>9</v>
      </c>
      <c r="C2192" s="7" t="s">
        <v>2694</v>
      </c>
      <c r="D2192" s="7">
        <v>-2.2450834</v>
      </c>
      <c r="E2192" s="7">
        <v>-1.3490518</v>
      </c>
      <c r="F2192" s="9" t="str">
        <f t="shared" si="10"/>
        <v>Direct</v>
      </c>
      <c r="G2192" s="7" t="s">
        <v>902</v>
      </c>
    </row>
    <row r="2193" spans="1:7" x14ac:dyDescent="0.2">
      <c r="A2193" s="6" t="s">
        <v>18</v>
      </c>
      <c r="B2193" s="7" t="s">
        <v>9</v>
      </c>
      <c r="C2193" s="7" t="s">
        <v>2695</v>
      </c>
      <c r="D2193" s="7">
        <v>-3.2141910999999999</v>
      </c>
      <c r="E2193" s="7">
        <v>-1.0187147999999999</v>
      </c>
      <c r="F2193" s="9" t="str">
        <f t="shared" si="10"/>
        <v>Direct</v>
      </c>
      <c r="G2193" s="7" t="s">
        <v>2026</v>
      </c>
    </row>
    <row r="2194" spans="1:7" x14ac:dyDescent="0.2">
      <c r="A2194" s="6" t="s">
        <v>18</v>
      </c>
      <c r="B2194" s="7" t="s">
        <v>9</v>
      </c>
      <c r="C2194" s="7" t="s">
        <v>2696</v>
      </c>
      <c r="D2194" s="7">
        <v>3.6095962199999998</v>
      </c>
      <c r="E2194" s="7">
        <v>2.81196124</v>
      </c>
      <c r="F2194" s="9" t="str">
        <f t="shared" si="10"/>
        <v>Direct</v>
      </c>
      <c r="G2194" s="7" t="s">
        <v>11</v>
      </c>
    </row>
    <row r="2195" spans="1:7" x14ac:dyDescent="0.2">
      <c r="A2195" s="6" t="s">
        <v>18</v>
      </c>
      <c r="B2195" s="7" t="s">
        <v>9</v>
      </c>
      <c r="C2195" s="7" t="s">
        <v>2697</v>
      </c>
      <c r="D2195" s="7">
        <v>-2.2226905000000001</v>
      </c>
      <c r="E2195" s="7">
        <v>-2.1268085000000001</v>
      </c>
      <c r="F2195" s="9" t="str">
        <f t="shared" si="10"/>
        <v>Direct</v>
      </c>
      <c r="G2195" s="7" t="s">
        <v>2698</v>
      </c>
    </row>
    <row r="2196" spans="1:7" x14ac:dyDescent="0.2">
      <c r="A2196" s="6" t="s">
        <v>18</v>
      </c>
      <c r="B2196" s="7" t="s">
        <v>9</v>
      </c>
      <c r="C2196" s="7" t="s">
        <v>2699</v>
      </c>
      <c r="D2196" s="7">
        <v>-2.6618472</v>
      </c>
      <c r="E2196" s="7">
        <v>-1.2259485000000001</v>
      </c>
      <c r="F2196" s="9" t="str">
        <f t="shared" si="10"/>
        <v>Direct</v>
      </c>
      <c r="G2196" s="7" t="s">
        <v>11</v>
      </c>
    </row>
    <row r="2197" spans="1:7" x14ac:dyDescent="0.2">
      <c r="A2197" s="6" t="s">
        <v>18</v>
      </c>
      <c r="B2197" s="7" t="s">
        <v>9</v>
      </c>
      <c r="C2197" s="7" t="s">
        <v>2700</v>
      </c>
      <c r="D2197" s="7">
        <v>-1.3881562000000001</v>
      </c>
      <c r="E2197" s="7">
        <v>-2.1263033</v>
      </c>
      <c r="F2197" s="9" t="str">
        <f t="shared" si="10"/>
        <v>Direct</v>
      </c>
      <c r="G2197" s="7" t="s">
        <v>11</v>
      </c>
    </row>
    <row r="2198" spans="1:7" x14ac:dyDescent="0.2">
      <c r="A2198" s="6" t="s">
        <v>18</v>
      </c>
      <c r="B2198" s="7" t="s">
        <v>9</v>
      </c>
      <c r="C2198" s="7" t="s">
        <v>2701</v>
      </c>
      <c r="D2198" s="7">
        <v>-1.268419</v>
      </c>
      <c r="E2198" s="7">
        <v>-2.4815356999999998</v>
      </c>
      <c r="F2198" s="9" t="str">
        <f t="shared" si="10"/>
        <v>Direct</v>
      </c>
      <c r="G2198" s="7" t="s">
        <v>11</v>
      </c>
    </row>
    <row r="2199" spans="1:7" x14ac:dyDescent="0.2">
      <c r="A2199" s="6" t="s">
        <v>18</v>
      </c>
      <c r="B2199" s="7" t="s">
        <v>9</v>
      </c>
      <c r="C2199" s="7" t="s">
        <v>2702</v>
      </c>
      <c r="D2199" s="7">
        <v>-1.8319897000000001</v>
      </c>
      <c r="E2199" s="7">
        <v>-2.7856770000000002</v>
      </c>
      <c r="F2199" s="9" t="str">
        <f t="shared" si="10"/>
        <v>Direct</v>
      </c>
      <c r="G2199" s="7" t="s">
        <v>2703</v>
      </c>
    </row>
    <row r="2200" spans="1:7" x14ac:dyDescent="0.2">
      <c r="A2200" s="6" t="s">
        <v>18</v>
      </c>
      <c r="B2200" s="7" t="s">
        <v>9</v>
      </c>
      <c r="C2200" s="7" t="s">
        <v>2704</v>
      </c>
      <c r="D2200" s="7">
        <v>-1.0636015999999999</v>
      </c>
      <c r="E2200" s="7">
        <v>-1.1918937000000001</v>
      </c>
      <c r="F2200" s="9" t="str">
        <f t="shared" si="10"/>
        <v>Direct</v>
      </c>
      <c r="G2200" s="7" t="s">
        <v>2705</v>
      </c>
    </row>
    <row r="2201" spans="1:7" x14ac:dyDescent="0.2">
      <c r="A2201" s="6" t="s">
        <v>18</v>
      </c>
      <c r="B2201" s="7" t="s">
        <v>9</v>
      </c>
      <c r="C2201" s="7" t="s">
        <v>2706</v>
      </c>
      <c r="D2201" s="7">
        <v>-2.3289420000000001</v>
      </c>
      <c r="E2201" s="7">
        <v>-1.1680453</v>
      </c>
      <c r="F2201" s="9" t="str">
        <f t="shared" si="10"/>
        <v>Direct</v>
      </c>
      <c r="G2201" s="7" t="s">
        <v>2707</v>
      </c>
    </row>
    <row r="2202" spans="1:7" x14ac:dyDescent="0.2">
      <c r="A2202" s="6" t="s">
        <v>18</v>
      </c>
      <c r="B2202" s="7" t="s">
        <v>9</v>
      </c>
      <c r="C2202" s="7" t="s">
        <v>2708</v>
      </c>
      <c r="D2202" s="7">
        <v>-1.0847807</v>
      </c>
      <c r="E2202" s="7">
        <v>-2.4693277999999999</v>
      </c>
      <c r="F2202" s="9" t="str">
        <f t="shared" si="10"/>
        <v>Direct</v>
      </c>
      <c r="G2202" s="7" t="s">
        <v>11</v>
      </c>
    </row>
    <row r="2203" spans="1:7" x14ac:dyDescent="0.2">
      <c r="A2203" s="6" t="s">
        <v>18</v>
      </c>
      <c r="B2203" s="7" t="s">
        <v>9</v>
      </c>
      <c r="C2203" s="7" t="s">
        <v>2709</v>
      </c>
      <c r="D2203" s="7">
        <v>1.8006264400000001</v>
      </c>
      <c r="E2203" s="7">
        <v>2.3350138600000001</v>
      </c>
      <c r="F2203" s="9" t="str">
        <f t="shared" si="10"/>
        <v>Direct</v>
      </c>
      <c r="G2203" s="7" t="s">
        <v>11</v>
      </c>
    </row>
    <row r="2204" spans="1:7" x14ac:dyDescent="0.2">
      <c r="A2204" s="6" t="s">
        <v>18</v>
      </c>
      <c r="B2204" s="7" t="s">
        <v>9</v>
      </c>
      <c r="C2204" s="7" t="s">
        <v>2710</v>
      </c>
      <c r="D2204" s="7">
        <v>1.7055059400000001</v>
      </c>
      <c r="E2204" s="7">
        <v>1.9405601100000001</v>
      </c>
      <c r="F2204" s="9" t="str">
        <f t="shared" si="10"/>
        <v>Direct</v>
      </c>
      <c r="G2204" s="7" t="s">
        <v>2711</v>
      </c>
    </row>
    <row r="2205" spans="1:7" x14ac:dyDescent="0.2">
      <c r="A2205" s="6" t="s">
        <v>18</v>
      </c>
      <c r="B2205" s="7" t="s">
        <v>9</v>
      </c>
      <c r="C2205" s="7" t="s">
        <v>2712</v>
      </c>
      <c r="D2205" s="7">
        <v>-1.5818730999999999</v>
      </c>
      <c r="E2205" s="7">
        <v>-1.2159120000000001</v>
      </c>
      <c r="F2205" s="9" t="str">
        <f t="shared" si="10"/>
        <v>Direct</v>
      </c>
      <c r="G2205" s="7" t="s">
        <v>2713</v>
      </c>
    </row>
    <row r="2206" spans="1:7" x14ac:dyDescent="0.2">
      <c r="A2206" s="6" t="s">
        <v>18</v>
      </c>
      <c r="B2206" s="7" t="s">
        <v>9</v>
      </c>
      <c r="C2206" s="7" t="s">
        <v>2714</v>
      </c>
      <c r="D2206" s="7">
        <v>3.3792353799999999</v>
      </c>
      <c r="E2206" s="7">
        <v>1.90818256</v>
      </c>
      <c r="F2206" s="9" t="str">
        <f t="shared" si="10"/>
        <v>Direct</v>
      </c>
      <c r="G2206" s="7" t="s">
        <v>11</v>
      </c>
    </row>
    <row r="2207" spans="1:7" x14ac:dyDescent="0.2">
      <c r="A2207" s="6" t="s">
        <v>18</v>
      </c>
      <c r="B2207" s="7" t="s">
        <v>9</v>
      </c>
      <c r="C2207" s="7" t="s">
        <v>2715</v>
      </c>
      <c r="D2207" s="7">
        <v>-2.3274773</v>
      </c>
      <c r="E2207" s="7">
        <v>-1.2112632999999999</v>
      </c>
      <c r="F2207" s="9" t="str">
        <f t="shared" si="10"/>
        <v>Direct</v>
      </c>
      <c r="G2207" s="7" t="s">
        <v>11</v>
      </c>
    </row>
    <row r="2208" spans="1:7" x14ac:dyDescent="0.2">
      <c r="A2208" s="6" t="s">
        <v>18</v>
      </c>
      <c r="B2208" s="7" t="s">
        <v>9</v>
      </c>
      <c r="C2208" s="7" t="s">
        <v>2716</v>
      </c>
      <c r="D2208" s="7">
        <v>2.3904868000000001</v>
      </c>
      <c r="E2208" s="7">
        <v>1.8457623400000001</v>
      </c>
      <c r="F2208" s="9" t="str">
        <f t="shared" si="10"/>
        <v>Direct</v>
      </c>
      <c r="G2208" s="7" t="s">
        <v>2717</v>
      </c>
    </row>
    <row r="2209" spans="1:7" x14ac:dyDescent="0.2">
      <c r="A2209" s="6" t="s">
        <v>18</v>
      </c>
      <c r="B2209" s="7" t="s">
        <v>9</v>
      </c>
      <c r="C2209" s="7" t="s">
        <v>2718</v>
      </c>
      <c r="D2209" s="7">
        <v>-3.0402684</v>
      </c>
      <c r="E2209" s="7">
        <v>-1.5197670000000001</v>
      </c>
      <c r="F2209" s="9" t="str">
        <f t="shared" si="10"/>
        <v>Direct</v>
      </c>
      <c r="G2209" s="7" t="s">
        <v>11</v>
      </c>
    </row>
    <row r="2210" spans="1:7" x14ac:dyDescent="0.2">
      <c r="A2210" s="6" t="s">
        <v>18</v>
      </c>
      <c r="B2210" s="7" t="s">
        <v>9</v>
      </c>
      <c r="C2210" s="7" t="s">
        <v>2719</v>
      </c>
      <c r="D2210" s="7">
        <v>1.2379481800000001</v>
      </c>
      <c r="E2210" s="7">
        <v>1.0154429300000001</v>
      </c>
      <c r="F2210" s="9" t="str">
        <f t="shared" si="10"/>
        <v>Direct</v>
      </c>
      <c r="G2210" s="7" t="s">
        <v>11</v>
      </c>
    </row>
    <row r="2211" spans="1:7" x14ac:dyDescent="0.2">
      <c r="A2211" s="6" t="s">
        <v>18</v>
      </c>
      <c r="B2211" s="7" t="s">
        <v>9</v>
      </c>
      <c r="C2211" s="7" t="s">
        <v>2720</v>
      </c>
      <c r="D2211" s="7">
        <v>-1.0847807</v>
      </c>
      <c r="E2211" s="7">
        <v>-1.6160334999999999</v>
      </c>
      <c r="F2211" s="9" t="str">
        <f t="shared" si="10"/>
        <v>Direct</v>
      </c>
      <c r="G2211" s="7" t="s">
        <v>11</v>
      </c>
    </row>
    <row r="2212" spans="1:7" x14ac:dyDescent="0.2">
      <c r="A2212" s="6" t="s">
        <v>18</v>
      </c>
      <c r="B2212" s="7" t="s">
        <v>9</v>
      </c>
      <c r="C2212" s="7" t="s">
        <v>2721</v>
      </c>
      <c r="D2212" s="7">
        <v>5.8842254399999998</v>
      </c>
      <c r="E2212" s="7">
        <v>1.62202756</v>
      </c>
      <c r="F2212" s="9" t="str">
        <f t="shared" si="10"/>
        <v>Direct</v>
      </c>
      <c r="G2212" s="7" t="s">
        <v>35</v>
      </c>
    </row>
    <row r="2213" spans="1:7" x14ac:dyDescent="0.2">
      <c r="A2213" s="6" t="s">
        <v>18</v>
      </c>
      <c r="B2213" s="7" t="s">
        <v>9</v>
      </c>
      <c r="C2213" s="7" t="s">
        <v>2722</v>
      </c>
      <c r="D2213" s="7">
        <v>1.4348046400000001</v>
      </c>
      <c r="E2213" s="7">
        <v>1.0731389</v>
      </c>
      <c r="F2213" s="9" t="str">
        <f t="shared" si="10"/>
        <v>Direct</v>
      </c>
      <c r="G2213" s="7" t="s">
        <v>11</v>
      </c>
    </row>
    <row r="2214" spans="1:7" x14ac:dyDescent="0.2">
      <c r="A2214" s="6" t="s">
        <v>18</v>
      </c>
      <c r="B2214" s="7" t="s">
        <v>9</v>
      </c>
      <c r="C2214" s="7" t="s">
        <v>2723</v>
      </c>
      <c r="D2214" s="7">
        <v>2.0870284899999998</v>
      </c>
      <c r="E2214" s="7">
        <v>2.07164269</v>
      </c>
      <c r="F2214" s="9" t="str">
        <f t="shared" si="10"/>
        <v>Direct</v>
      </c>
      <c r="G2214" s="7" t="s">
        <v>1560</v>
      </c>
    </row>
    <row r="2215" spans="1:7" x14ac:dyDescent="0.2">
      <c r="A2215" s="6" t="s">
        <v>18</v>
      </c>
      <c r="B2215" s="7" t="s">
        <v>9</v>
      </c>
      <c r="C2215" s="7" t="s">
        <v>2724</v>
      </c>
      <c r="D2215" s="7">
        <v>-1.6671994000000001</v>
      </c>
      <c r="E2215" s="7">
        <v>-1.1160097</v>
      </c>
      <c r="F2215" s="9" t="str">
        <f t="shared" si="10"/>
        <v>Direct</v>
      </c>
      <c r="G2215" s="7" t="s">
        <v>950</v>
      </c>
    </row>
    <row r="2216" spans="1:7" x14ac:dyDescent="0.2">
      <c r="A2216" s="6" t="s">
        <v>18</v>
      </c>
      <c r="B2216" s="7" t="s">
        <v>9</v>
      </c>
      <c r="C2216" s="7" t="s">
        <v>2725</v>
      </c>
      <c r="D2216" s="7">
        <v>1.36509668</v>
      </c>
      <c r="E2216" s="7">
        <v>1.12238587</v>
      </c>
      <c r="F2216" s="9" t="str">
        <f t="shared" si="10"/>
        <v>Direct</v>
      </c>
      <c r="G2216" s="7" t="s">
        <v>1417</v>
      </c>
    </row>
    <row r="2217" spans="1:7" x14ac:dyDescent="0.2">
      <c r="A2217" s="6" t="s">
        <v>18</v>
      </c>
      <c r="B2217" s="7" t="s">
        <v>9</v>
      </c>
      <c r="C2217" s="7" t="s">
        <v>2726</v>
      </c>
      <c r="D2217" s="7">
        <v>-2.2226905000000001</v>
      </c>
      <c r="E2217" s="7">
        <v>-1.3207507000000001</v>
      </c>
      <c r="F2217" s="9" t="str">
        <f t="shared" si="10"/>
        <v>Direct</v>
      </c>
      <c r="G2217" s="7" t="s">
        <v>11</v>
      </c>
    </row>
    <row r="2218" spans="1:7" x14ac:dyDescent="0.2">
      <c r="A2218" s="6" t="s">
        <v>18</v>
      </c>
      <c r="B2218" s="7" t="s">
        <v>9</v>
      </c>
      <c r="C2218" s="7" t="s">
        <v>2727</v>
      </c>
      <c r="D2218" s="7">
        <v>1.31113378</v>
      </c>
      <c r="E2218" s="7">
        <v>2.2372180500000001</v>
      </c>
      <c r="F2218" s="9" t="str">
        <f t="shared" si="10"/>
        <v>Direct</v>
      </c>
      <c r="G2218" s="7" t="s">
        <v>11</v>
      </c>
    </row>
    <row r="2219" spans="1:7" x14ac:dyDescent="0.2">
      <c r="A2219" s="6" t="s">
        <v>18</v>
      </c>
      <c r="B2219" s="7" t="s">
        <v>9</v>
      </c>
      <c r="C2219" s="7" t="s">
        <v>2728</v>
      </c>
      <c r="D2219" s="7">
        <v>1.0774347200000001</v>
      </c>
      <c r="E2219" s="7">
        <v>2.1493360899999998</v>
      </c>
      <c r="F2219" s="9" t="str">
        <f t="shared" si="10"/>
        <v>Direct</v>
      </c>
      <c r="G2219" s="7" t="s">
        <v>11</v>
      </c>
    </row>
    <row r="2220" spans="1:7" x14ac:dyDescent="0.2">
      <c r="A2220" s="6" t="s">
        <v>18</v>
      </c>
      <c r="B2220" s="7" t="s">
        <v>9</v>
      </c>
      <c r="C2220" s="7" t="s">
        <v>2729</v>
      </c>
      <c r="D2220" s="7">
        <v>2.7945322400000001</v>
      </c>
      <c r="E2220" s="7">
        <v>3.5428759900000002</v>
      </c>
      <c r="F2220" s="9" t="str">
        <f t="shared" si="10"/>
        <v>Direct</v>
      </c>
      <c r="G2220" s="7" t="s">
        <v>11</v>
      </c>
    </row>
    <row r="2221" spans="1:7" x14ac:dyDescent="0.2">
      <c r="A2221" s="6" t="s">
        <v>18</v>
      </c>
      <c r="B2221" s="7" t="s">
        <v>9</v>
      </c>
      <c r="C2221" s="7" t="s">
        <v>2730</v>
      </c>
      <c r="D2221" s="7">
        <v>2.8217308700000001</v>
      </c>
      <c r="E2221" s="7">
        <v>4.2160103800000002</v>
      </c>
      <c r="F2221" s="9" t="str">
        <f t="shared" si="10"/>
        <v>Direct</v>
      </c>
      <c r="G2221" s="7" t="s">
        <v>2731</v>
      </c>
    </row>
    <row r="2222" spans="1:7" x14ac:dyDescent="0.2">
      <c r="A2222" s="6" t="s">
        <v>18</v>
      </c>
      <c r="B2222" s="7" t="s">
        <v>9</v>
      </c>
      <c r="C2222" s="7" t="s">
        <v>2732</v>
      </c>
      <c r="D2222" s="7">
        <v>1.00301521</v>
      </c>
      <c r="E2222" s="7">
        <v>1.4773079499999999</v>
      </c>
      <c r="F2222" s="9" t="str">
        <f t="shared" si="10"/>
        <v>Direct</v>
      </c>
      <c r="G2222" s="7" t="s">
        <v>2733</v>
      </c>
    </row>
    <row r="2223" spans="1:7" x14ac:dyDescent="0.2">
      <c r="A2223" s="6" t="s">
        <v>18</v>
      </c>
      <c r="B2223" s="7" t="s">
        <v>9</v>
      </c>
      <c r="C2223" s="7" t="s">
        <v>2734</v>
      </c>
      <c r="D2223" s="7">
        <v>1.89964924</v>
      </c>
      <c r="E2223" s="7">
        <v>2.7324447599999999</v>
      </c>
      <c r="F2223" s="9" t="str">
        <f t="shared" si="10"/>
        <v>Direct</v>
      </c>
      <c r="G2223" s="7" t="s">
        <v>11</v>
      </c>
    </row>
    <row r="2224" spans="1:7" x14ac:dyDescent="0.2">
      <c r="A2224" s="6" t="s">
        <v>18</v>
      </c>
      <c r="B2224" s="7" t="s">
        <v>9</v>
      </c>
      <c r="C2224" s="7" t="s">
        <v>2735</v>
      </c>
      <c r="D2224" s="7">
        <v>-2.2968866999999999</v>
      </c>
      <c r="E2224" s="7">
        <v>-2.2320997</v>
      </c>
      <c r="F2224" s="9" t="str">
        <f t="shared" si="10"/>
        <v>Direct</v>
      </c>
      <c r="G2224" s="7" t="s">
        <v>11</v>
      </c>
    </row>
    <row r="2225" spans="1:7" x14ac:dyDescent="0.2">
      <c r="A2225" s="6" t="s">
        <v>18</v>
      </c>
      <c r="B2225" s="7" t="s">
        <v>9</v>
      </c>
      <c r="C2225" s="7" t="s">
        <v>2736</v>
      </c>
      <c r="D2225" s="7">
        <v>-1.4061954999999999</v>
      </c>
      <c r="E2225" s="7">
        <v>-1.3527106</v>
      </c>
      <c r="F2225" s="9" t="str">
        <f t="shared" si="10"/>
        <v>Direct</v>
      </c>
      <c r="G2225" s="7" t="s">
        <v>56</v>
      </c>
    </row>
    <row r="2226" spans="1:7" x14ac:dyDescent="0.2">
      <c r="A2226" s="6" t="s">
        <v>18</v>
      </c>
      <c r="B2226" s="7" t="s">
        <v>9</v>
      </c>
      <c r="C2226" s="7" t="s">
        <v>2737</v>
      </c>
      <c r="D2226" s="7">
        <v>-1.7971482999999999</v>
      </c>
      <c r="E2226" s="7">
        <v>-2.0834524000000001</v>
      </c>
      <c r="F2226" s="9" t="str">
        <f t="shared" si="10"/>
        <v>Direct</v>
      </c>
      <c r="G2226" s="7" t="s">
        <v>11</v>
      </c>
    </row>
    <row r="2227" spans="1:7" x14ac:dyDescent="0.2">
      <c r="A2227" s="6" t="s">
        <v>18</v>
      </c>
      <c r="B2227" s="7" t="s">
        <v>9</v>
      </c>
      <c r="C2227" s="7" t="s">
        <v>2738</v>
      </c>
      <c r="D2227" s="7">
        <v>3.5609882800000001</v>
      </c>
      <c r="E2227" s="7">
        <v>3.2421813300000002</v>
      </c>
      <c r="F2227" s="9" t="str">
        <f t="shared" si="10"/>
        <v>Direct</v>
      </c>
      <c r="G2227" s="7" t="s">
        <v>106</v>
      </c>
    </row>
    <row r="2228" spans="1:7" x14ac:dyDescent="0.2">
      <c r="A2228" s="6" t="s">
        <v>18</v>
      </c>
      <c r="B2228" s="7" t="s">
        <v>9</v>
      </c>
      <c r="C2228" s="7" t="s">
        <v>2739</v>
      </c>
      <c r="D2228" s="7">
        <v>1.1724828199999999</v>
      </c>
      <c r="E2228" s="7">
        <v>1.2584378199999999</v>
      </c>
      <c r="F2228" s="9" t="str">
        <f t="shared" si="10"/>
        <v>Direct</v>
      </c>
      <c r="G2228" s="7" t="s">
        <v>11</v>
      </c>
    </row>
    <row r="2229" spans="1:7" x14ac:dyDescent="0.2">
      <c r="A2229" s="6" t="s">
        <v>18</v>
      </c>
      <c r="B2229" s="7" t="s">
        <v>9</v>
      </c>
      <c r="C2229" s="7" t="s">
        <v>2740</v>
      </c>
      <c r="D2229" s="7">
        <v>-2.4154827000000001</v>
      </c>
      <c r="E2229" s="7">
        <v>-1.1604606</v>
      </c>
      <c r="F2229" s="9" t="str">
        <f t="shared" si="10"/>
        <v>Direct</v>
      </c>
      <c r="G2229" s="7" t="s">
        <v>2741</v>
      </c>
    </row>
    <row r="2230" spans="1:7" x14ac:dyDescent="0.2">
      <c r="A2230" s="6" t="s">
        <v>18</v>
      </c>
      <c r="B2230" s="7" t="s">
        <v>9</v>
      </c>
      <c r="C2230" s="7" t="s">
        <v>2742</v>
      </c>
      <c r="D2230" s="7">
        <v>1.2002911999999999</v>
      </c>
      <c r="E2230" s="7">
        <v>1.93439951</v>
      </c>
      <c r="F2230" s="9" t="str">
        <f t="shared" si="10"/>
        <v>Direct</v>
      </c>
      <c r="G2230" s="7" t="s">
        <v>2743</v>
      </c>
    </row>
    <row r="2231" spans="1:7" x14ac:dyDescent="0.2">
      <c r="A2231" s="6" t="s">
        <v>18</v>
      </c>
      <c r="B2231" s="7" t="s">
        <v>9</v>
      </c>
      <c r="C2231" s="7" t="s">
        <v>2744</v>
      </c>
      <c r="D2231" s="7">
        <v>-1.3453812999999999</v>
      </c>
      <c r="E2231" s="7">
        <v>-4.9022246000000003</v>
      </c>
      <c r="F2231" s="9" t="str">
        <f t="shared" si="10"/>
        <v>Direct</v>
      </c>
      <c r="G2231" s="7" t="s">
        <v>248</v>
      </c>
    </row>
    <row r="2232" spans="1:7" x14ac:dyDescent="0.2">
      <c r="A2232" s="6" t="s">
        <v>18</v>
      </c>
      <c r="B2232" s="7" t="s">
        <v>9</v>
      </c>
      <c r="C2232" s="7" t="s">
        <v>2745</v>
      </c>
      <c r="D2232" s="7">
        <v>1.1355926300000001</v>
      </c>
      <c r="E2232" s="7">
        <v>1.1812731400000001</v>
      </c>
      <c r="F2232" s="9" t="str">
        <f t="shared" si="10"/>
        <v>Direct</v>
      </c>
      <c r="G2232" s="7" t="s">
        <v>2746</v>
      </c>
    </row>
    <row r="2233" spans="1:7" x14ac:dyDescent="0.2">
      <c r="A2233" s="6" t="s">
        <v>18</v>
      </c>
      <c r="B2233" s="7" t="s">
        <v>9</v>
      </c>
      <c r="C2233" s="7" t="s">
        <v>2747</v>
      </c>
      <c r="D2233" s="7">
        <v>1.14761278</v>
      </c>
      <c r="E2233" s="7">
        <v>1.1772297300000001</v>
      </c>
      <c r="F2233" s="9" t="str">
        <f t="shared" si="10"/>
        <v>Direct</v>
      </c>
      <c r="G2233" s="7" t="s">
        <v>716</v>
      </c>
    </row>
    <row r="2234" spans="1:7" x14ac:dyDescent="0.2">
      <c r="A2234" s="6" t="s">
        <v>18</v>
      </c>
      <c r="B2234" s="7" t="s">
        <v>9</v>
      </c>
      <c r="C2234" s="7" t="s">
        <v>2748</v>
      </c>
      <c r="D2234" s="7">
        <v>-1.1455804999999999</v>
      </c>
      <c r="E2234" s="7">
        <v>-1.7659368</v>
      </c>
      <c r="F2234" s="9" t="str">
        <f t="shared" si="10"/>
        <v>Direct</v>
      </c>
      <c r="G2234" s="7" t="s">
        <v>2749</v>
      </c>
    </row>
    <row r="2235" spans="1:7" x14ac:dyDescent="0.2">
      <c r="A2235" s="6" t="s">
        <v>18</v>
      </c>
      <c r="B2235" s="7" t="s">
        <v>9</v>
      </c>
      <c r="C2235" s="7" t="s">
        <v>2750</v>
      </c>
      <c r="D2235" s="7">
        <v>-1.5024021999999999</v>
      </c>
      <c r="E2235" s="7">
        <v>-1.0772455999999999</v>
      </c>
      <c r="F2235" s="9" t="str">
        <f t="shared" si="10"/>
        <v>Direct</v>
      </c>
      <c r="G2235" s="7" t="s">
        <v>200</v>
      </c>
    </row>
    <row r="2236" spans="1:7" x14ac:dyDescent="0.2">
      <c r="A2236" s="6" t="s">
        <v>18</v>
      </c>
      <c r="B2236" s="7" t="s">
        <v>9</v>
      </c>
      <c r="C2236" s="7" t="s">
        <v>2751</v>
      </c>
      <c r="D2236" s="7">
        <v>1.2163998899999999</v>
      </c>
      <c r="E2236" s="7">
        <v>3.8912848699999998</v>
      </c>
      <c r="F2236" s="9" t="str">
        <f t="shared" si="10"/>
        <v>Direct</v>
      </c>
      <c r="G2236" s="7" t="s">
        <v>11</v>
      </c>
    </row>
    <row r="2237" spans="1:7" x14ac:dyDescent="0.2">
      <c r="A2237" s="6" t="s">
        <v>18</v>
      </c>
      <c r="B2237" s="7" t="s">
        <v>9</v>
      </c>
      <c r="C2237" s="7" t="s">
        <v>2752</v>
      </c>
      <c r="D2237" s="7">
        <v>-2.5045511</v>
      </c>
      <c r="E2237" s="7">
        <v>-1.3341771</v>
      </c>
      <c r="F2237" s="9" t="str">
        <f t="shared" si="10"/>
        <v>Direct</v>
      </c>
      <c r="G2237" s="7" t="s">
        <v>748</v>
      </c>
    </row>
    <row r="2238" spans="1:7" x14ac:dyDescent="0.2">
      <c r="A2238" s="6" t="s">
        <v>18</v>
      </c>
      <c r="B2238" s="7" t="s">
        <v>9</v>
      </c>
      <c r="C2238" s="7" t="s">
        <v>2753</v>
      </c>
      <c r="D2238" s="7">
        <v>1.0658257900000001</v>
      </c>
      <c r="E2238" s="7">
        <v>1.1147141899999999</v>
      </c>
      <c r="F2238" s="9" t="str">
        <f t="shared" si="10"/>
        <v>Direct</v>
      </c>
      <c r="G2238" s="7" t="s">
        <v>2754</v>
      </c>
    </row>
    <row r="2239" spans="1:7" x14ac:dyDescent="0.2">
      <c r="A2239" s="6" t="s">
        <v>18</v>
      </c>
      <c r="B2239" s="7" t="s">
        <v>9</v>
      </c>
      <c r="C2239" s="7" t="s">
        <v>2755</v>
      </c>
      <c r="D2239" s="7">
        <v>1.04291428</v>
      </c>
      <c r="E2239" s="7">
        <v>2.1115193400000001</v>
      </c>
      <c r="F2239" s="9" t="str">
        <f t="shared" si="10"/>
        <v>Direct</v>
      </c>
      <c r="G2239" s="7" t="s">
        <v>2756</v>
      </c>
    </row>
    <row r="2240" spans="1:7" x14ac:dyDescent="0.2">
      <c r="A2240" s="6" t="s">
        <v>18</v>
      </c>
      <c r="B2240" s="7" t="s">
        <v>9</v>
      </c>
      <c r="C2240" s="7" t="s">
        <v>2757</v>
      </c>
      <c r="D2240" s="7">
        <v>1.29496564</v>
      </c>
      <c r="E2240" s="7">
        <v>1.6135619699999999</v>
      </c>
      <c r="F2240" s="9" t="str">
        <f t="shared" si="10"/>
        <v>Direct</v>
      </c>
      <c r="G2240" s="7" t="s">
        <v>2758</v>
      </c>
    </row>
    <row r="2241" spans="1:7" x14ac:dyDescent="0.2">
      <c r="A2241" s="6" t="s">
        <v>18</v>
      </c>
      <c r="B2241" s="7" t="s">
        <v>9</v>
      </c>
      <c r="C2241" s="7" t="s">
        <v>2759</v>
      </c>
      <c r="D2241" s="7">
        <v>1.0443535500000001</v>
      </c>
      <c r="E2241" s="7">
        <v>1.32035982</v>
      </c>
      <c r="F2241" s="9" t="str">
        <f t="shared" si="10"/>
        <v>Direct</v>
      </c>
      <c r="G2241" s="7" t="s">
        <v>1404</v>
      </c>
    </row>
    <row r="2242" spans="1:7" x14ac:dyDescent="0.2">
      <c r="A2242" s="6" t="s">
        <v>18</v>
      </c>
      <c r="B2242" s="7" t="s">
        <v>9</v>
      </c>
      <c r="C2242" s="7" t="s">
        <v>2760</v>
      </c>
      <c r="D2242" s="7">
        <v>-1.6947198000000001</v>
      </c>
      <c r="E2242" s="7">
        <v>-2.6810100000000001</v>
      </c>
      <c r="F2242" s="9" t="str">
        <f t="shared" si="10"/>
        <v>Direct</v>
      </c>
      <c r="G2242" s="7" t="s">
        <v>716</v>
      </c>
    </row>
    <row r="2243" spans="1:7" x14ac:dyDescent="0.2">
      <c r="A2243" s="6" t="s">
        <v>18</v>
      </c>
      <c r="B2243" s="7" t="s">
        <v>9</v>
      </c>
      <c r="C2243" s="7" t="s">
        <v>2761</v>
      </c>
      <c r="D2243" s="7">
        <v>1.4590036</v>
      </c>
      <c r="E2243" s="7">
        <v>1.5263700899999999</v>
      </c>
      <c r="F2243" s="9" t="str">
        <f t="shared" si="10"/>
        <v>Direct</v>
      </c>
      <c r="G2243" s="7" t="s">
        <v>2754</v>
      </c>
    </row>
    <row r="2244" spans="1:7" x14ac:dyDescent="0.2">
      <c r="A2244" s="6" t="s">
        <v>18</v>
      </c>
      <c r="B2244" s="7" t="s">
        <v>9</v>
      </c>
      <c r="C2244" s="7" t="s">
        <v>2762</v>
      </c>
      <c r="D2244" s="7">
        <v>1.9493399300000001</v>
      </c>
      <c r="E2244" s="7">
        <v>1.1052181400000001</v>
      </c>
      <c r="F2244" s="9" t="str">
        <f t="shared" si="10"/>
        <v>Direct</v>
      </c>
      <c r="G2244" s="7" t="s">
        <v>2763</v>
      </c>
    </row>
    <row r="2245" spans="1:7" x14ac:dyDescent="0.2">
      <c r="A2245" s="6" t="s">
        <v>18</v>
      </c>
      <c r="B2245" s="7" t="s">
        <v>9</v>
      </c>
      <c r="C2245" s="7" t="s">
        <v>2764</v>
      </c>
      <c r="D2245" s="7">
        <v>1.2450492500000001</v>
      </c>
      <c r="E2245" s="7">
        <v>1.6902896000000001</v>
      </c>
      <c r="F2245" s="9" t="str">
        <f t="shared" si="10"/>
        <v>Direct</v>
      </c>
      <c r="G2245" s="7" t="s">
        <v>2765</v>
      </c>
    </row>
    <row r="2246" spans="1:7" x14ac:dyDescent="0.2">
      <c r="A2246" s="6" t="s">
        <v>18</v>
      </c>
      <c r="B2246" s="7" t="s">
        <v>9</v>
      </c>
      <c r="C2246" s="7" t="s">
        <v>2766</v>
      </c>
      <c r="D2246" s="7">
        <v>-1.1971147</v>
      </c>
      <c r="E2246" s="7">
        <v>-1.1511530000000001</v>
      </c>
      <c r="F2246" s="9" t="str">
        <f t="shared" si="10"/>
        <v>Direct</v>
      </c>
      <c r="G2246" s="7" t="s">
        <v>2767</v>
      </c>
    </row>
    <row r="2247" spans="1:7" x14ac:dyDescent="0.2">
      <c r="A2247" s="6" t="s">
        <v>18</v>
      </c>
      <c r="B2247" s="7" t="s">
        <v>9</v>
      </c>
      <c r="C2247" s="7" t="s">
        <v>2768</v>
      </c>
      <c r="D2247" s="7">
        <v>1.0780036500000001</v>
      </c>
      <c r="E2247" s="7">
        <v>1.2414570300000001</v>
      </c>
      <c r="F2247" s="9" t="str">
        <f t="shared" si="10"/>
        <v>Direct</v>
      </c>
      <c r="G2247" s="7" t="s">
        <v>11</v>
      </c>
    </row>
    <row r="2248" spans="1:7" x14ac:dyDescent="0.2">
      <c r="A2248" s="6" t="s">
        <v>18</v>
      </c>
      <c r="B2248" s="7" t="s">
        <v>9</v>
      </c>
      <c r="C2248" s="7" t="s">
        <v>2769</v>
      </c>
      <c r="D2248" s="7">
        <v>6.2271104399999997</v>
      </c>
      <c r="E2248" s="7">
        <v>4.3409740000000001</v>
      </c>
      <c r="F2248" s="9" t="str">
        <f t="shared" si="10"/>
        <v>Direct</v>
      </c>
      <c r="G2248" s="7" t="s">
        <v>11</v>
      </c>
    </row>
    <row r="2249" spans="1:7" x14ac:dyDescent="0.2">
      <c r="A2249" s="6" t="s">
        <v>18</v>
      </c>
      <c r="B2249" s="7" t="s">
        <v>9</v>
      </c>
      <c r="C2249" s="7" t="s">
        <v>2770</v>
      </c>
      <c r="D2249" s="7">
        <v>5.5977972400000002</v>
      </c>
      <c r="E2249" s="7">
        <v>5.3365011500000001</v>
      </c>
      <c r="F2249" s="9" t="str">
        <f t="shared" si="10"/>
        <v>Direct</v>
      </c>
      <c r="G2249" s="7" t="s">
        <v>11</v>
      </c>
    </row>
    <row r="2250" spans="1:7" x14ac:dyDescent="0.2">
      <c r="A2250" s="6" t="s">
        <v>18</v>
      </c>
      <c r="B2250" s="7" t="s">
        <v>9</v>
      </c>
      <c r="C2250" s="7" t="s">
        <v>2771</v>
      </c>
      <c r="D2250" s="7">
        <v>1.1835254900000001</v>
      </c>
      <c r="E2250" s="7">
        <v>1.8782331000000001</v>
      </c>
      <c r="F2250" s="9" t="str">
        <f t="shared" si="10"/>
        <v>Direct</v>
      </c>
      <c r="G2250" s="7" t="s">
        <v>35</v>
      </c>
    </row>
    <row r="2251" spans="1:7" x14ac:dyDescent="0.2">
      <c r="A2251" s="6" t="s">
        <v>18</v>
      </c>
      <c r="B2251" s="7" t="s">
        <v>9</v>
      </c>
      <c r="C2251" s="7" t="s">
        <v>2772</v>
      </c>
      <c r="D2251" s="7">
        <v>1.0658257900000001</v>
      </c>
      <c r="E2251" s="7">
        <v>1.21766493</v>
      </c>
      <c r="F2251" s="9" t="str">
        <f t="shared" si="10"/>
        <v>Direct</v>
      </c>
      <c r="G2251" s="7" t="s">
        <v>11</v>
      </c>
    </row>
    <row r="2252" spans="1:7" x14ac:dyDescent="0.2">
      <c r="A2252" s="6" t="s">
        <v>18</v>
      </c>
      <c r="B2252" s="7" t="s">
        <v>9</v>
      </c>
      <c r="C2252" s="7" t="s">
        <v>2773</v>
      </c>
      <c r="D2252" s="7">
        <v>1.73048694</v>
      </c>
      <c r="E2252" s="7">
        <v>3.16690425</v>
      </c>
      <c r="F2252" s="9" t="str">
        <f t="shared" si="10"/>
        <v>Direct</v>
      </c>
      <c r="G2252" s="7" t="s">
        <v>11</v>
      </c>
    </row>
    <row r="2253" spans="1:7" x14ac:dyDescent="0.2">
      <c r="A2253" s="6" t="s">
        <v>18</v>
      </c>
      <c r="B2253" s="7" t="s">
        <v>9</v>
      </c>
      <c r="C2253" s="7" t="s">
        <v>2774</v>
      </c>
      <c r="D2253" s="7">
        <v>1.4626984300000001</v>
      </c>
      <c r="E2253" s="7">
        <v>1.03769149</v>
      </c>
      <c r="F2253" s="9" t="str">
        <f t="shared" si="10"/>
        <v>Direct</v>
      </c>
      <c r="G2253" s="7" t="s">
        <v>2775</v>
      </c>
    </row>
    <row r="2254" spans="1:7" x14ac:dyDescent="0.2">
      <c r="A2254" s="6" t="s">
        <v>18</v>
      </c>
      <c r="B2254" s="7" t="s">
        <v>9</v>
      </c>
      <c r="C2254" s="7" t="s">
        <v>2776</v>
      </c>
      <c r="D2254" s="7">
        <v>1.3140341600000001</v>
      </c>
      <c r="E2254" s="7">
        <v>3.4887294099999999</v>
      </c>
      <c r="F2254" s="9" t="str">
        <f t="shared" si="10"/>
        <v>Direct</v>
      </c>
      <c r="G2254" s="7" t="s">
        <v>11</v>
      </c>
    </row>
    <row r="2255" spans="1:7" x14ac:dyDescent="0.2">
      <c r="A2255" s="6" t="s">
        <v>18</v>
      </c>
      <c r="B2255" s="7" t="s">
        <v>9</v>
      </c>
      <c r="C2255" s="7" t="s">
        <v>2777</v>
      </c>
      <c r="D2255" s="7">
        <v>1.4091466399999999</v>
      </c>
      <c r="E2255" s="7">
        <v>1.8439506800000001</v>
      </c>
      <c r="F2255" s="9" t="str">
        <f t="shared" si="10"/>
        <v>Direct</v>
      </c>
      <c r="G2255" s="7" t="s">
        <v>11</v>
      </c>
    </row>
    <row r="2256" spans="1:7" x14ac:dyDescent="0.2">
      <c r="A2256" s="6" t="s">
        <v>18</v>
      </c>
      <c r="B2256" s="7" t="s">
        <v>9</v>
      </c>
      <c r="C2256" s="7" t="s">
        <v>2778</v>
      </c>
      <c r="D2256" s="7">
        <v>1.3795088200000001</v>
      </c>
      <c r="E2256" s="7">
        <v>1.0189297900000001</v>
      </c>
      <c r="F2256" s="9" t="str">
        <f t="shared" si="10"/>
        <v>Direct</v>
      </c>
      <c r="G2256" s="7" t="s">
        <v>11</v>
      </c>
    </row>
    <row r="2257" spans="1:7" x14ac:dyDescent="0.2">
      <c r="A2257" s="6" t="s">
        <v>18</v>
      </c>
      <c r="B2257" s="7" t="s">
        <v>9</v>
      </c>
      <c r="C2257" s="7" t="s">
        <v>2779</v>
      </c>
      <c r="D2257" s="7">
        <v>1.97624311</v>
      </c>
      <c r="E2257" s="7">
        <v>1.96432589</v>
      </c>
      <c r="F2257" s="9" t="str">
        <f t="shared" si="10"/>
        <v>Direct</v>
      </c>
      <c r="G2257" s="7" t="s">
        <v>11</v>
      </c>
    </row>
    <row r="2258" spans="1:7" x14ac:dyDescent="0.2">
      <c r="A2258" s="6" t="s">
        <v>18</v>
      </c>
      <c r="B2258" s="7" t="s">
        <v>9</v>
      </c>
      <c r="C2258" s="7" t="s">
        <v>2780</v>
      </c>
      <c r="D2258" s="7">
        <v>1.7308547000000001</v>
      </c>
      <c r="E2258" s="7">
        <v>2.2241588000000001</v>
      </c>
      <c r="F2258" s="9" t="str">
        <f t="shared" si="10"/>
        <v>Direct</v>
      </c>
      <c r="G2258" s="7" t="s">
        <v>2781</v>
      </c>
    </row>
    <row r="2259" spans="1:7" x14ac:dyDescent="0.2">
      <c r="A2259" s="6" t="s">
        <v>18</v>
      </c>
      <c r="B2259" s="7" t="s">
        <v>9</v>
      </c>
      <c r="C2259" s="7" t="s">
        <v>2782</v>
      </c>
      <c r="D2259" s="7">
        <v>1.8006264400000001</v>
      </c>
      <c r="E2259" s="7">
        <v>3.5860934900000001</v>
      </c>
      <c r="F2259" s="9" t="str">
        <f t="shared" si="10"/>
        <v>Direct</v>
      </c>
      <c r="G2259" s="7" t="s">
        <v>2783</v>
      </c>
    </row>
    <row r="2260" spans="1:7" x14ac:dyDescent="0.2">
      <c r="A2260" s="6" t="s">
        <v>18</v>
      </c>
      <c r="B2260" s="7" t="s">
        <v>9</v>
      </c>
      <c r="C2260" s="7" t="s">
        <v>2784</v>
      </c>
      <c r="D2260" s="7">
        <v>1.1566222900000001</v>
      </c>
      <c r="E2260" s="7">
        <v>6.6676641300000004</v>
      </c>
      <c r="F2260" s="9" t="str">
        <f t="shared" si="10"/>
        <v>Direct</v>
      </c>
      <c r="G2260" s="7" t="s">
        <v>2544</v>
      </c>
    </row>
    <row r="2261" spans="1:7" x14ac:dyDescent="0.2">
      <c r="A2261" s="6" t="s">
        <v>18</v>
      </c>
      <c r="B2261" s="7" t="s">
        <v>9</v>
      </c>
      <c r="C2261" s="7" t="s">
        <v>2785</v>
      </c>
      <c r="D2261" s="7">
        <v>2.3795650500000001</v>
      </c>
      <c r="E2261" s="7">
        <v>2.8951857799999998</v>
      </c>
      <c r="F2261" s="9" t="str">
        <f t="shared" si="10"/>
        <v>Direct</v>
      </c>
      <c r="G2261" s="7" t="s">
        <v>2302</v>
      </c>
    </row>
    <row r="2262" spans="1:7" x14ac:dyDescent="0.2">
      <c r="A2262" s="6" t="s">
        <v>18</v>
      </c>
      <c r="B2262" s="7" t="s">
        <v>9</v>
      </c>
      <c r="C2262" s="7" t="s">
        <v>2786</v>
      </c>
      <c r="D2262" s="7">
        <v>1.10095231</v>
      </c>
      <c r="E2262" s="7">
        <v>1.1515966900000001</v>
      </c>
      <c r="F2262" s="9" t="str">
        <f t="shared" si="10"/>
        <v>Direct</v>
      </c>
      <c r="G2262" s="7" t="s">
        <v>11</v>
      </c>
    </row>
    <row r="2263" spans="1:7" x14ac:dyDescent="0.2">
      <c r="A2263" s="6" t="s">
        <v>18</v>
      </c>
      <c r="B2263" s="7" t="s">
        <v>9</v>
      </c>
      <c r="C2263" s="7" t="s">
        <v>2787</v>
      </c>
      <c r="D2263" s="7">
        <v>4.9298301200000001</v>
      </c>
      <c r="E2263" s="7">
        <v>6.2949581300000004</v>
      </c>
      <c r="F2263" s="9" t="str">
        <f t="shared" si="10"/>
        <v>Direct</v>
      </c>
      <c r="G2263" s="7" t="s">
        <v>2788</v>
      </c>
    </row>
    <row r="2264" spans="1:7" x14ac:dyDescent="0.2">
      <c r="A2264" s="6" t="s">
        <v>18</v>
      </c>
      <c r="B2264" s="7" t="s">
        <v>9</v>
      </c>
      <c r="C2264" s="7" t="s">
        <v>2789</v>
      </c>
      <c r="D2264" s="7">
        <v>-4.0200646000000004</v>
      </c>
      <c r="E2264" s="7">
        <v>-2.1202736999999998</v>
      </c>
      <c r="F2264" s="9" t="str">
        <f t="shared" si="10"/>
        <v>Direct</v>
      </c>
      <c r="G2264" s="7" t="s">
        <v>2790</v>
      </c>
    </row>
    <row r="2265" spans="1:7" x14ac:dyDescent="0.2">
      <c r="A2265" s="6" t="s">
        <v>18</v>
      </c>
      <c r="B2265" s="7" t="s">
        <v>9</v>
      </c>
      <c r="C2265" s="7" t="s">
        <v>2791</v>
      </c>
      <c r="D2265" s="7">
        <v>5.6313333600000002</v>
      </c>
      <c r="E2265" s="7">
        <v>2.7190929599999998</v>
      </c>
      <c r="F2265" s="9" t="str">
        <f t="shared" si="10"/>
        <v>Direct</v>
      </c>
      <c r="G2265" s="7" t="s">
        <v>2792</v>
      </c>
    </row>
    <row r="2266" spans="1:7" x14ac:dyDescent="0.2">
      <c r="A2266" s="6" t="s">
        <v>18</v>
      </c>
      <c r="B2266" s="7" t="s">
        <v>9</v>
      </c>
      <c r="C2266" s="7" t="s">
        <v>2793</v>
      </c>
      <c r="D2266" s="7">
        <v>-3.6972915999999998</v>
      </c>
      <c r="E2266" s="7">
        <v>-1.0743744</v>
      </c>
      <c r="F2266" s="9" t="str">
        <f t="shared" si="10"/>
        <v>Direct</v>
      </c>
      <c r="G2266" s="7" t="s">
        <v>2794</v>
      </c>
    </row>
    <row r="2267" spans="1:7" x14ac:dyDescent="0.2">
      <c r="A2267" s="6" t="s">
        <v>18</v>
      </c>
      <c r="B2267" s="7" t="s">
        <v>9</v>
      </c>
      <c r="C2267" s="7" t="s">
        <v>2795</v>
      </c>
      <c r="D2267" s="7">
        <v>2.30305917</v>
      </c>
      <c r="E2267" s="7">
        <v>1.02014245</v>
      </c>
      <c r="F2267" s="9" t="str">
        <f t="shared" si="10"/>
        <v>Direct</v>
      </c>
      <c r="G2267" s="7" t="s">
        <v>2796</v>
      </c>
    </row>
    <row r="2268" spans="1:7" x14ac:dyDescent="0.2">
      <c r="A2268" s="6" t="s">
        <v>18</v>
      </c>
      <c r="B2268" s="7" t="s">
        <v>9</v>
      </c>
      <c r="C2268" s="7" t="s">
        <v>2797</v>
      </c>
      <c r="D2268" s="7">
        <v>-1.0359590000000001</v>
      </c>
      <c r="E2268" s="7">
        <v>-1.9473621999999999</v>
      </c>
      <c r="F2268" s="9" t="str">
        <f t="shared" si="10"/>
        <v>Direct</v>
      </c>
      <c r="G2268" s="7" t="s">
        <v>1818</v>
      </c>
    </row>
    <row r="2269" spans="1:7" x14ac:dyDescent="0.2">
      <c r="A2269" s="6" t="s">
        <v>18</v>
      </c>
      <c r="B2269" s="7" t="s">
        <v>9</v>
      </c>
      <c r="C2269" s="7" t="s">
        <v>2798</v>
      </c>
      <c r="D2269" s="7">
        <v>-1.0511108</v>
      </c>
      <c r="E2269" s="7">
        <v>-1.2027368000000001</v>
      </c>
      <c r="F2269" s="9" t="str">
        <f t="shared" si="10"/>
        <v>Direct</v>
      </c>
      <c r="G2269" s="7" t="s">
        <v>11</v>
      </c>
    </row>
    <row r="2270" spans="1:7" x14ac:dyDescent="0.2">
      <c r="A2270" s="6" t="s">
        <v>18</v>
      </c>
      <c r="B2270" s="7" t="s">
        <v>9</v>
      </c>
      <c r="C2270" s="7" t="s">
        <v>2799</v>
      </c>
      <c r="D2270" s="7">
        <v>-2.0923721</v>
      </c>
      <c r="E2270" s="7">
        <v>-1.0301929999999999</v>
      </c>
      <c r="F2270" s="9" t="str">
        <f t="shared" si="10"/>
        <v>Direct</v>
      </c>
      <c r="G2270" s="7" t="s">
        <v>11</v>
      </c>
    </row>
    <row r="2271" spans="1:7" x14ac:dyDescent="0.2">
      <c r="A2271" s="6" t="s">
        <v>18</v>
      </c>
      <c r="B2271" s="7" t="s">
        <v>9</v>
      </c>
      <c r="C2271" s="7" t="s">
        <v>2800</v>
      </c>
      <c r="D2271" s="7">
        <v>1.0261464300000001</v>
      </c>
      <c r="E2271" s="7">
        <v>1.626406</v>
      </c>
      <c r="F2271" s="9" t="str">
        <f t="shared" si="10"/>
        <v>Direct</v>
      </c>
      <c r="G2271" s="7" t="s">
        <v>11</v>
      </c>
    </row>
    <row r="2272" spans="1:7" x14ac:dyDescent="0.2">
      <c r="A2272" s="6" t="s">
        <v>18</v>
      </c>
      <c r="B2272" s="7" t="s">
        <v>9</v>
      </c>
      <c r="C2272" s="7" t="s">
        <v>2801</v>
      </c>
      <c r="D2272" s="7">
        <v>-7.5969604999999998</v>
      </c>
      <c r="E2272" s="7">
        <v>-1.2677890000000001</v>
      </c>
      <c r="F2272" s="9" t="str">
        <f t="shared" si="10"/>
        <v>Direct</v>
      </c>
      <c r="G2272" s="7" t="s">
        <v>2802</v>
      </c>
    </row>
    <row r="2273" spans="1:7" x14ac:dyDescent="0.2">
      <c r="A2273" s="6" t="s">
        <v>18</v>
      </c>
      <c r="B2273" s="7" t="s">
        <v>9</v>
      </c>
      <c r="C2273" s="7" t="s">
        <v>2803</v>
      </c>
      <c r="D2273" s="7">
        <v>2.9372756299999998</v>
      </c>
      <c r="E2273" s="7">
        <v>1.7492715999999999</v>
      </c>
      <c r="F2273" s="9" t="str">
        <f t="shared" si="10"/>
        <v>Direct</v>
      </c>
      <c r="G2273" s="7" t="s">
        <v>2717</v>
      </c>
    </row>
    <row r="2274" spans="1:7" x14ac:dyDescent="0.2">
      <c r="A2274" s="6" t="s">
        <v>18</v>
      </c>
      <c r="B2274" s="7" t="s">
        <v>9</v>
      </c>
      <c r="C2274" s="7" t="s">
        <v>2804</v>
      </c>
      <c r="D2274" s="7">
        <v>1.27090156</v>
      </c>
      <c r="E2274" s="7">
        <v>1.0063248899999999</v>
      </c>
      <c r="F2274" s="9" t="str">
        <f t="shared" si="10"/>
        <v>Direct</v>
      </c>
      <c r="G2274" s="7" t="s">
        <v>2612</v>
      </c>
    </row>
    <row r="2275" spans="1:7" x14ac:dyDescent="0.2">
      <c r="A2275" s="6" t="s">
        <v>18</v>
      </c>
      <c r="B2275" s="7" t="s">
        <v>9</v>
      </c>
      <c r="C2275" s="7" t="s">
        <v>2805</v>
      </c>
      <c r="D2275" s="7">
        <v>1.2191677999999999</v>
      </c>
      <c r="E2275" s="7">
        <v>1.15006626</v>
      </c>
      <c r="F2275" s="9" t="str">
        <f t="shared" si="10"/>
        <v>Direct</v>
      </c>
      <c r="G2275" s="7" t="s">
        <v>200</v>
      </c>
    </row>
    <row r="2276" spans="1:7" x14ac:dyDescent="0.2">
      <c r="A2276" s="6" t="s">
        <v>18</v>
      </c>
      <c r="B2276" s="7" t="s">
        <v>9</v>
      </c>
      <c r="C2276" s="7" t="s">
        <v>2806</v>
      </c>
      <c r="D2276" s="7">
        <v>1.31903898</v>
      </c>
      <c r="E2276" s="7">
        <v>1.59146823</v>
      </c>
      <c r="F2276" s="9" t="str">
        <f t="shared" si="10"/>
        <v>Direct</v>
      </c>
      <c r="G2276" s="7" t="s">
        <v>2807</v>
      </c>
    </row>
    <row r="2277" spans="1:7" x14ac:dyDescent="0.2">
      <c r="A2277" s="6" t="s">
        <v>18</v>
      </c>
      <c r="B2277" s="7" t="s">
        <v>9</v>
      </c>
      <c r="C2277" s="7" t="s">
        <v>2808</v>
      </c>
      <c r="D2277" s="7">
        <v>1.2519794200000001</v>
      </c>
      <c r="E2277" s="7">
        <v>2.41496646</v>
      </c>
      <c r="F2277" s="9" t="str">
        <f t="shared" si="10"/>
        <v>Direct</v>
      </c>
      <c r="G2277" s="7" t="s">
        <v>2809</v>
      </c>
    </row>
    <row r="2278" spans="1:7" x14ac:dyDescent="0.2">
      <c r="A2278" s="6" t="s">
        <v>18</v>
      </c>
      <c r="B2278" s="7" t="s">
        <v>9</v>
      </c>
      <c r="C2278" s="7" t="s">
        <v>2810</v>
      </c>
      <c r="D2278" s="7">
        <v>-1.7547869</v>
      </c>
      <c r="E2278" s="7">
        <v>-2.0901068999999999</v>
      </c>
      <c r="F2278" s="9" t="str">
        <f t="shared" si="10"/>
        <v>Direct</v>
      </c>
      <c r="G2278" s="7" t="s">
        <v>11</v>
      </c>
    </row>
    <row r="2279" spans="1:7" x14ac:dyDescent="0.2">
      <c r="A2279" s="6" t="s">
        <v>18</v>
      </c>
      <c r="B2279" s="7" t="s">
        <v>9</v>
      </c>
      <c r="C2279" s="7" t="s">
        <v>2811</v>
      </c>
      <c r="D2279" s="7">
        <v>1.9439730399999999</v>
      </c>
      <c r="E2279" s="7">
        <v>1.6335670099999999</v>
      </c>
      <c r="F2279" s="9" t="str">
        <f t="shared" si="10"/>
        <v>Direct</v>
      </c>
      <c r="G2279" s="7" t="s">
        <v>2812</v>
      </c>
    </row>
    <row r="2280" spans="1:7" x14ac:dyDescent="0.2">
      <c r="A2280" s="6" t="s">
        <v>18</v>
      </c>
      <c r="B2280" s="7" t="s">
        <v>9</v>
      </c>
      <c r="C2280" s="7" t="s">
        <v>2813</v>
      </c>
      <c r="D2280" s="7">
        <v>-3.4611565</v>
      </c>
      <c r="E2280" s="7">
        <v>-1.7185623999999999</v>
      </c>
      <c r="F2280" s="9" t="str">
        <f t="shared" si="10"/>
        <v>Direct</v>
      </c>
      <c r="G2280" s="7" t="s">
        <v>53</v>
      </c>
    </row>
    <row r="2281" spans="1:7" x14ac:dyDescent="0.2">
      <c r="A2281" s="6" t="s">
        <v>18</v>
      </c>
      <c r="B2281" s="7" t="s">
        <v>9</v>
      </c>
      <c r="C2281" s="7" t="s">
        <v>2814</v>
      </c>
      <c r="D2281" s="7">
        <v>-1.6668029</v>
      </c>
      <c r="E2281" s="7">
        <v>-1.054109</v>
      </c>
      <c r="F2281" s="9" t="str">
        <f t="shared" si="10"/>
        <v>Direct</v>
      </c>
      <c r="G2281" s="7" t="s">
        <v>2815</v>
      </c>
    </row>
    <row r="2282" spans="1:7" x14ac:dyDescent="0.2">
      <c r="A2282" s="6" t="s">
        <v>18</v>
      </c>
      <c r="B2282" s="7" t="s">
        <v>9</v>
      </c>
      <c r="C2282" s="7" t="s">
        <v>2816</v>
      </c>
      <c r="D2282" s="7">
        <v>-1.9184505999999999</v>
      </c>
      <c r="E2282" s="7">
        <v>-2.9425815000000002</v>
      </c>
      <c r="F2282" s="9" t="str">
        <f t="shared" si="10"/>
        <v>Direct</v>
      </c>
      <c r="G2282" s="7" t="s">
        <v>200</v>
      </c>
    </row>
    <row r="2283" spans="1:7" x14ac:dyDescent="0.2">
      <c r="A2283" s="6" t="s">
        <v>18</v>
      </c>
      <c r="B2283" s="7" t="s">
        <v>9</v>
      </c>
      <c r="C2283" s="7" t="s">
        <v>2817</v>
      </c>
      <c r="D2283" s="7">
        <v>3.10762866</v>
      </c>
      <c r="E2283" s="7">
        <v>5.9655948700000003</v>
      </c>
      <c r="F2283" s="9" t="str">
        <f t="shared" si="10"/>
        <v>Direct</v>
      </c>
      <c r="G2283" s="7" t="s">
        <v>2818</v>
      </c>
    </row>
    <row r="2284" spans="1:7" x14ac:dyDescent="0.2">
      <c r="A2284" s="6" t="s">
        <v>18</v>
      </c>
      <c r="B2284" s="7" t="s">
        <v>9</v>
      </c>
      <c r="C2284" s="7" t="s">
        <v>2819</v>
      </c>
      <c r="D2284" s="7">
        <v>1.6231699500000001</v>
      </c>
      <c r="E2284" s="7">
        <v>1.7206413</v>
      </c>
      <c r="F2284" s="9" t="str">
        <f t="shared" si="10"/>
        <v>Direct</v>
      </c>
      <c r="G2284" s="7" t="s">
        <v>2820</v>
      </c>
    </row>
    <row r="2285" spans="1:7" x14ac:dyDescent="0.2">
      <c r="A2285" s="6" t="s">
        <v>18</v>
      </c>
      <c r="B2285" s="7" t="s">
        <v>9</v>
      </c>
      <c r="C2285" s="7" t="s">
        <v>2821</v>
      </c>
      <c r="D2285" s="7">
        <v>-4.2357018000000002</v>
      </c>
      <c r="E2285" s="7">
        <v>-1.1945760000000001</v>
      </c>
      <c r="F2285" s="9" t="str">
        <f t="shared" si="10"/>
        <v>Direct</v>
      </c>
      <c r="G2285" s="7" t="s">
        <v>2023</v>
      </c>
    </row>
    <row r="2286" spans="1:7" x14ac:dyDescent="0.2">
      <c r="A2286" s="6" t="s">
        <v>18</v>
      </c>
      <c r="B2286" s="7" t="s">
        <v>9</v>
      </c>
      <c r="C2286" s="7" t="s">
        <v>2822</v>
      </c>
      <c r="D2286" s="7">
        <v>2.16079643</v>
      </c>
      <c r="E2286" s="7">
        <v>2.8239665999999999</v>
      </c>
      <c r="F2286" s="9" t="str">
        <f t="shared" si="10"/>
        <v>Direct</v>
      </c>
      <c r="G2286" s="7" t="s">
        <v>11</v>
      </c>
    </row>
    <row r="2287" spans="1:7" x14ac:dyDescent="0.2">
      <c r="A2287" s="6" t="s">
        <v>18</v>
      </c>
      <c r="B2287" s="7" t="s">
        <v>9</v>
      </c>
      <c r="C2287" s="7" t="s">
        <v>2823</v>
      </c>
      <c r="D2287" s="7">
        <v>-1.2843883</v>
      </c>
      <c r="E2287" s="7">
        <v>-1.3204750999999999</v>
      </c>
      <c r="F2287" s="9" t="str">
        <f t="shared" si="10"/>
        <v>Direct</v>
      </c>
      <c r="G2287" s="7" t="s">
        <v>2824</v>
      </c>
    </row>
    <row r="2288" spans="1:7" x14ac:dyDescent="0.2">
      <c r="A2288" s="6" t="s">
        <v>18</v>
      </c>
      <c r="B2288" s="7" t="s">
        <v>9</v>
      </c>
      <c r="C2288" s="7" t="s">
        <v>2825</v>
      </c>
      <c r="D2288" s="7">
        <v>-3.8345826000000001</v>
      </c>
      <c r="E2288" s="7">
        <v>-1.8186481999999999</v>
      </c>
      <c r="F2288" s="9" t="str">
        <f t="shared" si="10"/>
        <v>Direct</v>
      </c>
      <c r="G2288" s="7" t="s">
        <v>1308</v>
      </c>
    </row>
    <row r="2289" spans="1:7" x14ac:dyDescent="0.2">
      <c r="A2289" s="6" t="s">
        <v>18</v>
      </c>
      <c r="B2289" s="7" t="s">
        <v>9</v>
      </c>
      <c r="C2289" s="7" t="s">
        <v>2826</v>
      </c>
      <c r="D2289" s="7">
        <v>-2.5339759000000002</v>
      </c>
      <c r="E2289" s="7">
        <v>-1.0000316</v>
      </c>
      <c r="F2289" s="9" t="str">
        <f t="shared" si="10"/>
        <v>Direct</v>
      </c>
      <c r="G2289" s="7" t="s">
        <v>2827</v>
      </c>
    </row>
    <row r="2290" spans="1:7" x14ac:dyDescent="0.2">
      <c r="A2290" s="6" t="s">
        <v>18</v>
      </c>
      <c r="B2290" s="7" t="s">
        <v>9</v>
      </c>
      <c r="C2290" s="7" t="s">
        <v>2828</v>
      </c>
      <c r="D2290" s="7">
        <v>-1.1489617000000001</v>
      </c>
      <c r="E2290" s="7">
        <v>-1.9879876000000001</v>
      </c>
      <c r="F2290" s="9" t="str">
        <f t="shared" si="10"/>
        <v>Direct</v>
      </c>
      <c r="G2290" s="7" t="s">
        <v>1794</v>
      </c>
    </row>
    <row r="2291" spans="1:7" x14ac:dyDescent="0.2">
      <c r="A2291" s="6" t="s">
        <v>18</v>
      </c>
      <c r="B2291" s="7" t="s">
        <v>9</v>
      </c>
      <c r="C2291" s="7" t="s">
        <v>2829</v>
      </c>
      <c r="D2291" s="7">
        <v>1.4346011700000001</v>
      </c>
      <c r="E2291" s="7">
        <v>3.4503327700000002</v>
      </c>
      <c r="F2291" s="9" t="str">
        <f t="shared" si="10"/>
        <v>Direct</v>
      </c>
      <c r="G2291" s="7" t="s">
        <v>11</v>
      </c>
    </row>
    <row r="2292" spans="1:7" x14ac:dyDescent="0.2">
      <c r="A2292" s="6" t="s">
        <v>18</v>
      </c>
      <c r="B2292" s="7" t="s">
        <v>9</v>
      </c>
      <c r="C2292" s="7" t="s">
        <v>2830</v>
      </c>
      <c r="D2292" s="7">
        <v>1.4640419200000001</v>
      </c>
      <c r="E2292" s="7">
        <v>1.76048271</v>
      </c>
      <c r="F2292" s="9" t="str">
        <f t="shared" si="10"/>
        <v>Direct</v>
      </c>
      <c r="G2292" s="7" t="s">
        <v>2831</v>
      </c>
    </row>
    <row r="2293" spans="1:7" x14ac:dyDescent="0.2">
      <c r="A2293" s="6" t="s">
        <v>18</v>
      </c>
      <c r="B2293" s="7" t="s">
        <v>9</v>
      </c>
      <c r="C2293" s="7" t="s">
        <v>2832</v>
      </c>
      <c r="D2293" s="7">
        <v>-3.8371073999999998</v>
      </c>
      <c r="E2293" s="7">
        <v>-3.6577155000000001</v>
      </c>
      <c r="F2293" s="9" t="str">
        <f t="shared" si="10"/>
        <v>Direct</v>
      </c>
      <c r="G2293" s="7" t="s">
        <v>2833</v>
      </c>
    </row>
    <row r="2294" spans="1:7" x14ac:dyDescent="0.2">
      <c r="A2294" s="6" t="s">
        <v>18</v>
      </c>
      <c r="B2294" s="7" t="s">
        <v>9</v>
      </c>
      <c r="C2294" s="7" t="s">
        <v>2834</v>
      </c>
      <c r="D2294" s="7">
        <v>1.70044024</v>
      </c>
      <c r="E2294" s="7">
        <v>3.8187616100000001</v>
      </c>
      <c r="F2294" s="9" t="str">
        <f t="shared" si="10"/>
        <v>Direct</v>
      </c>
      <c r="G2294" s="7" t="s">
        <v>11</v>
      </c>
    </row>
    <row r="2295" spans="1:7" x14ac:dyDescent="0.2">
      <c r="A2295" s="6" t="s">
        <v>18</v>
      </c>
      <c r="B2295" s="7" t="s">
        <v>9</v>
      </c>
      <c r="C2295" s="7" t="s">
        <v>2835</v>
      </c>
      <c r="D2295" s="7">
        <v>-1.3011241</v>
      </c>
      <c r="E2295" s="7">
        <v>-1.5337405</v>
      </c>
      <c r="F2295" s="9" t="str">
        <f t="shared" si="10"/>
        <v>Direct</v>
      </c>
      <c r="G2295" s="7" t="s">
        <v>11</v>
      </c>
    </row>
    <row r="2296" spans="1:7" x14ac:dyDescent="0.2">
      <c r="A2296" s="6" t="s">
        <v>18</v>
      </c>
      <c r="B2296" s="7" t="s">
        <v>9</v>
      </c>
      <c r="C2296" s="7" t="s">
        <v>2836</v>
      </c>
      <c r="D2296" s="7">
        <v>-1.0000747000000001</v>
      </c>
      <c r="E2296" s="7">
        <v>-1.7188099999999999</v>
      </c>
      <c r="F2296" s="9" t="str">
        <f t="shared" si="10"/>
        <v>Direct</v>
      </c>
      <c r="G2296" s="7" t="s">
        <v>11</v>
      </c>
    </row>
    <row r="2297" spans="1:7" x14ac:dyDescent="0.2">
      <c r="A2297" s="6" t="s">
        <v>18</v>
      </c>
      <c r="B2297" s="7" t="s">
        <v>9</v>
      </c>
      <c r="C2297" s="7" t="s">
        <v>2837</v>
      </c>
      <c r="D2297" s="7">
        <v>1.8134073900000001</v>
      </c>
      <c r="E2297" s="7">
        <v>3.2864907799999998</v>
      </c>
      <c r="F2297" s="9" t="str">
        <f t="shared" ref="F2297:F2551" si="11">IF(OR(AND(D2297&gt;0,E2297&gt;0),AND(D2297&lt;0,E2297&lt;0)),"Direct","Inverse")</f>
        <v>Direct</v>
      </c>
      <c r="G2297" s="7" t="s">
        <v>11</v>
      </c>
    </row>
    <row r="2298" spans="1:7" x14ac:dyDescent="0.2">
      <c r="A2298" s="6" t="s">
        <v>18</v>
      </c>
      <c r="B2298" s="7" t="s">
        <v>9</v>
      </c>
      <c r="C2298" s="7" t="s">
        <v>2838</v>
      </c>
      <c r="D2298" s="7">
        <v>-1.8253366</v>
      </c>
      <c r="E2298" s="7">
        <v>-2.0929741000000002</v>
      </c>
      <c r="F2298" s="9" t="str">
        <f t="shared" si="11"/>
        <v>Direct</v>
      </c>
      <c r="G2298" s="7" t="s">
        <v>712</v>
      </c>
    </row>
    <row r="2299" spans="1:7" x14ac:dyDescent="0.2">
      <c r="A2299" s="6" t="s">
        <v>18</v>
      </c>
      <c r="B2299" s="7" t="s">
        <v>9</v>
      </c>
      <c r="C2299" s="7" t="s">
        <v>2839</v>
      </c>
      <c r="D2299" s="7">
        <v>2.1520105699999998</v>
      </c>
      <c r="E2299" s="7">
        <v>1.3125988</v>
      </c>
      <c r="F2299" s="9" t="str">
        <f t="shared" si="11"/>
        <v>Direct</v>
      </c>
      <c r="G2299" s="7" t="s">
        <v>35</v>
      </c>
    </row>
    <row r="2300" spans="1:7" x14ac:dyDescent="0.2">
      <c r="A2300" s="6" t="s">
        <v>18</v>
      </c>
      <c r="B2300" s="7" t="s">
        <v>9</v>
      </c>
      <c r="C2300" s="7" t="s">
        <v>2840</v>
      </c>
      <c r="D2300" s="7">
        <v>-1.5988728999999999</v>
      </c>
      <c r="E2300" s="7">
        <v>-2.4223333999999999</v>
      </c>
      <c r="F2300" s="9" t="str">
        <f t="shared" si="11"/>
        <v>Direct</v>
      </c>
      <c r="G2300" s="7" t="s">
        <v>35</v>
      </c>
    </row>
    <row r="2301" spans="1:7" x14ac:dyDescent="0.2">
      <c r="A2301" s="6" t="s">
        <v>18</v>
      </c>
      <c r="B2301" s="7" t="s">
        <v>9</v>
      </c>
      <c r="C2301" s="7" t="s">
        <v>2841</v>
      </c>
      <c r="D2301" s="7">
        <v>3.3950683100000001</v>
      </c>
      <c r="E2301" s="7">
        <v>3.67513515</v>
      </c>
      <c r="F2301" s="9" t="str">
        <f t="shared" si="11"/>
        <v>Direct</v>
      </c>
      <c r="G2301" s="7" t="s">
        <v>11</v>
      </c>
    </row>
    <row r="2302" spans="1:7" x14ac:dyDescent="0.2">
      <c r="A2302" s="6" t="s">
        <v>18</v>
      </c>
      <c r="B2302" s="7" t="s">
        <v>9</v>
      </c>
      <c r="C2302" s="7" t="s">
        <v>2842</v>
      </c>
      <c r="D2302" s="7">
        <v>-3.4793213000000001</v>
      </c>
      <c r="E2302" s="7">
        <v>-2.1102493</v>
      </c>
      <c r="F2302" s="9" t="str">
        <f t="shared" si="11"/>
        <v>Direct</v>
      </c>
      <c r="G2302" s="7" t="s">
        <v>11</v>
      </c>
    </row>
    <row r="2303" spans="1:7" x14ac:dyDescent="0.2">
      <c r="A2303" s="6" t="s">
        <v>18</v>
      </c>
      <c r="B2303" s="7" t="s">
        <v>9</v>
      </c>
      <c r="C2303" s="7" t="s">
        <v>2843</v>
      </c>
      <c r="D2303" s="7">
        <v>2.2677851200000001</v>
      </c>
      <c r="E2303" s="7">
        <v>2.7744588000000001</v>
      </c>
      <c r="F2303" s="9" t="str">
        <f t="shared" si="11"/>
        <v>Direct</v>
      </c>
      <c r="G2303" s="7" t="s">
        <v>2844</v>
      </c>
    </row>
    <row r="2304" spans="1:7" x14ac:dyDescent="0.2">
      <c r="A2304" s="6" t="s">
        <v>18</v>
      </c>
      <c r="B2304" s="7" t="s">
        <v>9</v>
      </c>
      <c r="C2304" s="7" t="s">
        <v>2845</v>
      </c>
      <c r="D2304" s="7">
        <v>1.8390990899999999</v>
      </c>
      <c r="E2304" s="7">
        <v>1.1627217599999999</v>
      </c>
      <c r="F2304" s="9" t="str">
        <f t="shared" si="11"/>
        <v>Direct</v>
      </c>
      <c r="G2304" s="7" t="s">
        <v>682</v>
      </c>
    </row>
    <row r="2305" spans="1:7" x14ac:dyDescent="0.2">
      <c r="A2305" s="6" t="s">
        <v>18</v>
      </c>
      <c r="B2305" s="7" t="s">
        <v>9</v>
      </c>
      <c r="C2305" s="7" t="s">
        <v>2846</v>
      </c>
      <c r="D2305" s="7">
        <v>2.1736740700000001</v>
      </c>
      <c r="E2305" s="7">
        <v>1.1604605699999999</v>
      </c>
      <c r="F2305" s="9" t="str">
        <f t="shared" si="11"/>
        <v>Direct</v>
      </c>
      <c r="G2305" s="7" t="s">
        <v>510</v>
      </c>
    </row>
    <row r="2306" spans="1:7" x14ac:dyDescent="0.2">
      <c r="A2306" s="6" t="s">
        <v>18</v>
      </c>
      <c r="B2306" s="7" t="s">
        <v>9</v>
      </c>
      <c r="C2306" s="7" t="s">
        <v>2847</v>
      </c>
      <c r="D2306" s="7">
        <v>-3.5132178000000001</v>
      </c>
      <c r="E2306" s="7">
        <v>-1.6209209</v>
      </c>
      <c r="F2306" s="9" t="str">
        <f t="shared" si="11"/>
        <v>Direct</v>
      </c>
      <c r="G2306" s="7" t="s">
        <v>11</v>
      </c>
    </row>
    <row r="2307" spans="1:7" x14ac:dyDescent="0.2">
      <c r="A2307" s="6" t="s">
        <v>18</v>
      </c>
      <c r="B2307" s="7" t="s">
        <v>9</v>
      </c>
      <c r="C2307" s="7" t="s">
        <v>2848</v>
      </c>
      <c r="D2307" s="7">
        <v>3.73397589</v>
      </c>
      <c r="E2307" s="7">
        <v>4.8639526599999998</v>
      </c>
      <c r="F2307" s="9" t="str">
        <f t="shared" si="11"/>
        <v>Direct</v>
      </c>
      <c r="G2307" s="7" t="s">
        <v>2849</v>
      </c>
    </row>
    <row r="2308" spans="1:7" x14ac:dyDescent="0.2">
      <c r="A2308" s="6" t="s">
        <v>18</v>
      </c>
      <c r="B2308" s="7" t="s">
        <v>9</v>
      </c>
      <c r="C2308" s="7" t="s">
        <v>2850</v>
      </c>
      <c r="D2308" s="7">
        <v>-1.350252</v>
      </c>
      <c r="E2308" s="7">
        <v>-1.0441853000000001</v>
      </c>
      <c r="F2308" s="9" t="str">
        <f t="shared" si="11"/>
        <v>Direct</v>
      </c>
      <c r="G2308" s="7" t="s">
        <v>11</v>
      </c>
    </row>
    <row r="2309" spans="1:7" x14ac:dyDescent="0.2">
      <c r="A2309" s="6" t="s">
        <v>18</v>
      </c>
      <c r="B2309" s="7" t="s">
        <v>9</v>
      </c>
      <c r="C2309" s="7" t="s">
        <v>2851</v>
      </c>
      <c r="D2309" s="7">
        <v>3.3326430600000001</v>
      </c>
      <c r="E2309" s="7">
        <v>1.06513908</v>
      </c>
      <c r="F2309" s="9" t="str">
        <f t="shared" si="11"/>
        <v>Direct</v>
      </c>
      <c r="G2309" s="7" t="s">
        <v>2852</v>
      </c>
    </row>
    <row r="2310" spans="1:7" x14ac:dyDescent="0.2">
      <c r="A2310" s="6" t="s">
        <v>18</v>
      </c>
      <c r="B2310" s="7" t="s">
        <v>9</v>
      </c>
      <c r="C2310" s="7" t="s">
        <v>2853</v>
      </c>
      <c r="D2310" s="7">
        <v>4.9362743900000003</v>
      </c>
      <c r="E2310" s="7">
        <v>1.4823438499999999</v>
      </c>
      <c r="F2310" s="9" t="str">
        <f t="shared" si="11"/>
        <v>Direct</v>
      </c>
      <c r="G2310" s="7" t="s">
        <v>2854</v>
      </c>
    </row>
    <row r="2311" spans="1:7" x14ac:dyDescent="0.2">
      <c r="A2311" s="6" t="s">
        <v>18</v>
      </c>
      <c r="B2311" s="7" t="s">
        <v>9</v>
      </c>
      <c r="C2311" s="7" t="s">
        <v>2855</v>
      </c>
      <c r="D2311" s="7">
        <v>-2.1833814</v>
      </c>
      <c r="E2311" s="7">
        <v>-1.235549</v>
      </c>
      <c r="F2311" s="9" t="str">
        <f t="shared" si="11"/>
        <v>Direct</v>
      </c>
      <c r="G2311" s="7" t="s">
        <v>11</v>
      </c>
    </row>
    <row r="2312" spans="1:7" x14ac:dyDescent="0.2">
      <c r="A2312" s="6" t="s">
        <v>18</v>
      </c>
      <c r="B2312" s="7" t="s">
        <v>9</v>
      </c>
      <c r="C2312" s="7" t="s">
        <v>2856</v>
      </c>
      <c r="D2312" s="7">
        <v>-1.1413583</v>
      </c>
      <c r="E2312" s="7">
        <v>-1.0131275</v>
      </c>
      <c r="F2312" s="9" t="str">
        <f t="shared" si="11"/>
        <v>Direct</v>
      </c>
      <c r="G2312" s="7" t="s">
        <v>2857</v>
      </c>
    </row>
    <row r="2313" spans="1:7" x14ac:dyDescent="0.2">
      <c r="A2313" s="6" t="s">
        <v>18</v>
      </c>
      <c r="B2313" s="7" t="s">
        <v>9</v>
      </c>
      <c r="C2313" s="7" t="s">
        <v>2858</v>
      </c>
      <c r="D2313" s="7">
        <v>-1.6847752</v>
      </c>
      <c r="E2313" s="7">
        <v>-1.7578453000000001</v>
      </c>
      <c r="F2313" s="9" t="str">
        <f t="shared" si="11"/>
        <v>Direct</v>
      </c>
      <c r="G2313" s="7" t="s">
        <v>2302</v>
      </c>
    </row>
    <row r="2314" spans="1:7" x14ac:dyDescent="0.2">
      <c r="A2314" s="6" t="s">
        <v>18</v>
      </c>
      <c r="B2314" s="7" t="s">
        <v>9</v>
      </c>
      <c r="C2314" s="7" t="s">
        <v>2859</v>
      </c>
      <c r="D2314" s="7">
        <v>-1.8414371</v>
      </c>
      <c r="E2314" s="7">
        <v>-1.0661053</v>
      </c>
      <c r="F2314" s="9" t="str">
        <f t="shared" si="11"/>
        <v>Direct</v>
      </c>
      <c r="G2314" s="7" t="s">
        <v>11</v>
      </c>
    </row>
    <row r="2315" spans="1:7" x14ac:dyDescent="0.2">
      <c r="A2315" s="6" t="s">
        <v>18</v>
      </c>
      <c r="B2315" s="7" t="s">
        <v>9</v>
      </c>
      <c r="C2315" s="7" t="s">
        <v>2860</v>
      </c>
      <c r="D2315" s="7">
        <v>3.8172766500000002</v>
      </c>
      <c r="E2315" s="7">
        <v>2.3308473900000002</v>
      </c>
      <c r="F2315" s="9" t="str">
        <f t="shared" si="11"/>
        <v>Direct</v>
      </c>
      <c r="G2315" s="7" t="s">
        <v>11</v>
      </c>
    </row>
    <row r="2316" spans="1:7" x14ac:dyDescent="0.2">
      <c r="A2316" s="6" t="s">
        <v>18</v>
      </c>
      <c r="B2316" s="7" t="s">
        <v>9</v>
      </c>
      <c r="C2316" s="7" t="s">
        <v>2861</v>
      </c>
      <c r="D2316" s="7">
        <v>1.74479498</v>
      </c>
      <c r="E2316" s="7">
        <v>1.7418877500000001</v>
      </c>
      <c r="F2316" s="9" t="str">
        <f t="shared" si="11"/>
        <v>Direct</v>
      </c>
      <c r="G2316" s="7" t="s">
        <v>11</v>
      </c>
    </row>
    <row r="2317" spans="1:7" x14ac:dyDescent="0.2">
      <c r="A2317" s="6" t="s">
        <v>18</v>
      </c>
      <c r="B2317" s="7" t="s">
        <v>9</v>
      </c>
      <c r="C2317" s="7" t="s">
        <v>2862</v>
      </c>
      <c r="D2317" s="7">
        <v>-3.4804529</v>
      </c>
      <c r="E2317" s="7">
        <v>-2.5839805999999998</v>
      </c>
      <c r="F2317" s="9" t="str">
        <f t="shared" si="11"/>
        <v>Direct</v>
      </c>
      <c r="G2317" s="7" t="s">
        <v>11</v>
      </c>
    </row>
    <row r="2318" spans="1:7" x14ac:dyDescent="0.2">
      <c r="A2318" s="6" t="s">
        <v>18</v>
      </c>
      <c r="B2318" s="7" t="s">
        <v>9</v>
      </c>
      <c r="C2318" s="7" t="s">
        <v>2863</v>
      </c>
      <c r="D2318" s="7">
        <v>-2.7822741</v>
      </c>
      <c r="E2318" s="7">
        <v>-1.5859357999999999</v>
      </c>
      <c r="F2318" s="9" t="str">
        <f t="shared" si="11"/>
        <v>Direct</v>
      </c>
      <c r="G2318" s="7" t="s">
        <v>2864</v>
      </c>
    </row>
    <row r="2319" spans="1:7" x14ac:dyDescent="0.2">
      <c r="A2319" s="6" t="s">
        <v>18</v>
      </c>
      <c r="B2319" s="7" t="s">
        <v>9</v>
      </c>
      <c r="C2319" s="7" t="s">
        <v>2865</v>
      </c>
      <c r="D2319" s="7">
        <v>-1.4610505</v>
      </c>
      <c r="E2319" s="7">
        <v>-1.5186906</v>
      </c>
      <c r="F2319" s="9" t="str">
        <f t="shared" si="11"/>
        <v>Direct</v>
      </c>
      <c r="G2319" s="7" t="s">
        <v>2866</v>
      </c>
    </row>
    <row r="2320" spans="1:7" x14ac:dyDescent="0.2">
      <c r="A2320" s="6" t="s">
        <v>18</v>
      </c>
      <c r="B2320" s="7" t="s">
        <v>9</v>
      </c>
      <c r="C2320" s="7" t="s">
        <v>2867</v>
      </c>
      <c r="D2320" s="7">
        <v>-1.2761853000000001</v>
      </c>
      <c r="E2320" s="7">
        <v>-3.1687851999999999</v>
      </c>
      <c r="F2320" s="9" t="str">
        <f t="shared" si="11"/>
        <v>Direct</v>
      </c>
      <c r="G2320" s="7" t="s">
        <v>11</v>
      </c>
    </row>
    <row r="2321" spans="1:7" x14ac:dyDescent="0.2">
      <c r="A2321" s="6" t="s">
        <v>18</v>
      </c>
      <c r="B2321" s="7" t="s">
        <v>9</v>
      </c>
      <c r="C2321" s="7" t="s">
        <v>2868</v>
      </c>
      <c r="D2321" s="7">
        <v>-1.4170269</v>
      </c>
      <c r="E2321" s="7">
        <v>-1.1716390000000001</v>
      </c>
      <c r="F2321" s="9" t="str">
        <f t="shared" si="11"/>
        <v>Direct</v>
      </c>
      <c r="G2321" s="7" t="s">
        <v>2869</v>
      </c>
    </row>
    <row r="2322" spans="1:7" x14ac:dyDescent="0.2">
      <c r="A2322" s="6" t="s">
        <v>18</v>
      </c>
      <c r="B2322" s="7" t="s">
        <v>9</v>
      </c>
      <c r="C2322" s="7" t="s">
        <v>2870</v>
      </c>
      <c r="D2322" s="7">
        <v>-3.3156319000000001</v>
      </c>
      <c r="E2322" s="7">
        <v>-3.3721877</v>
      </c>
      <c r="F2322" s="9" t="str">
        <f t="shared" si="11"/>
        <v>Direct</v>
      </c>
      <c r="G2322" s="7" t="s">
        <v>2871</v>
      </c>
    </row>
    <row r="2323" spans="1:7" x14ac:dyDescent="0.2">
      <c r="A2323" s="6" t="s">
        <v>18</v>
      </c>
      <c r="B2323" s="7" t="s">
        <v>9</v>
      </c>
      <c r="C2323" s="7" t="s">
        <v>2872</v>
      </c>
      <c r="D2323" s="7">
        <v>2.0024373799999999</v>
      </c>
      <c r="E2323" s="7">
        <v>1.8854836699999999</v>
      </c>
      <c r="F2323" s="9" t="str">
        <f t="shared" si="11"/>
        <v>Direct</v>
      </c>
      <c r="G2323" s="7" t="s">
        <v>2873</v>
      </c>
    </row>
    <row r="2324" spans="1:7" x14ac:dyDescent="0.2">
      <c r="A2324" s="6" t="s">
        <v>18</v>
      </c>
      <c r="B2324" s="7" t="s">
        <v>9</v>
      </c>
      <c r="C2324" s="7" t="s">
        <v>2874</v>
      </c>
      <c r="D2324" s="7">
        <v>1.94146759</v>
      </c>
      <c r="E2324" s="7">
        <v>4.9121871199999996</v>
      </c>
      <c r="F2324" s="9" t="str">
        <f t="shared" si="11"/>
        <v>Direct</v>
      </c>
      <c r="G2324" s="7" t="s">
        <v>2875</v>
      </c>
    </row>
    <row r="2325" spans="1:7" x14ac:dyDescent="0.2">
      <c r="A2325" s="6" t="s">
        <v>18</v>
      </c>
      <c r="B2325" s="7" t="s">
        <v>9</v>
      </c>
      <c r="C2325" s="7" t="s">
        <v>2876</v>
      </c>
      <c r="D2325" s="7">
        <v>5.0106391199999996</v>
      </c>
      <c r="E2325" s="7">
        <v>2.1530323500000002</v>
      </c>
      <c r="F2325" s="9" t="str">
        <f t="shared" si="11"/>
        <v>Direct</v>
      </c>
      <c r="G2325" s="7" t="s">
        <v>11</v>
      </c>
    </row>
    <row r="2326" spans="1:7" x14ac:dyDescent="0.2">
      <c r="A2326" s="6" t="s">
        <v>18</v>
      </c>
      <c r="B2326" s="7" t="s">
        <v>9</v>
      </c>
      <c r="C2326" s="7" t="s">
        <v>2877</v>
      </c>
      <c r="D2326" s="7">
        <v>2.6420120599999999</v>
      </c>
      <c r="E2326" s="7">
        <v>2.4902170199999998</v>
      </c>
      <c r="F2326" s="9" t="str">
        <f t="shared" si="11"/>
        <v>Direct</v>
      </c>
      <c r="G2326" s="7" t="s">
        <v>11</v>
      </c>
    </row>
    <row r="2327" spans="1:7" x14ac:dyDescent="0.2">
      <c r="A2327" s="6" t="s">
        <v>18</v>
      </c>
      <c r="B2327" s="7" t="s">
        <v>9</v>
      </c>
      <c r="C2327" s="7" t="s">
        <v>2878</v>
      </c>
      <c r="D2327" s="7">
        <v>-1.9599328</v>
      </c>
      <c r="E2327" s="7">
        <v>-1.0441853000000001</v>
      </c>
      <c r="F2327" s="9" t="str">
        <f t="shared" si="11"/>
        <v>Direct</v>
      </c>
      <c r="G2327" s="7" t="s">
        <v>11</v>
      </c>
    </row>
    <row r="2328" spans="1:7" x14ac:dyDescent="0.2">
      <c r="A2328" s="6" t="s">
        <v>18</v>
      </c>
      <c r="B2328" s="7" t="s">
        <v>9</v>
      </c>
      <c r="C2328" s="7" t="s">
        <v>2879</v>
      </c>
      <c r="D2328" s="7">
        <v>1.95265098</v>
      </c>
      <c r="E2328" s="7">
        <v>1.3288244300000001</v>
      </c>
      <c r="F2328" s="9" t="str">
        <f t="shared" si="11"/>
        <v>Direct</v>
      </c>
      <c r="G2328" s="7" t="s">
        <v>2880</v>
      </c>
    </row>
    <row r="2329" spans="1:7" x14ac:dyDescent="0.2">
      <c r="A2329" s="6" t="s">
        <v>18</v>
      </c>
      <c r="B2329" s="7" t="s">
        <v>9</v>
      </c>
      <c r="C2329" s="7" t="s">
        <v>2881</v>
      </c>
      <c r="D2329" s="7">
        <v>1.5944346899999999</v>
      </c>
      <c r="E2329" s="7">
        <v>1.1780192300000001</v>
      </c>
      <c r="F2329" s="9" t="str">
        <f t="shared" si="11"/>
        <v>Direct</v>
      </c>
      <c r="G2329" s="7" t="s">
        <v>11</v>
      </c>
    </row>
    <row r="2330" spans="1:7" x14ac:dyDescent="0.2">
      <c r="A2330" s="6" t="s">
        <v>18</v>
      </c>
      <c r="B2330" s="7" t="s">
        <v>9</v>
      </c>
      <c r="C2330" s="7" t="s">
        <v>2882</v>
      </c>
      <c r="D2330" s="7">
        <v>1.4096578399999999</v>
      </c>
      <c r="E2330" s="7">
        <v>1.05052119</v>
      </c>
      <c r="F2330" s="9" t="str">
        <f t="shared" si="11"/>
        <v>Direct</v>
      </c>
      <c r="G2330" s="7" t="s">
        <v>2883</v>
      </c>
    </row>
    <row r="2331" spans="1:7" x14ac:dyDescent="0.2">
      <c r="A2331" s="6" t="s">
        <v>18</v>
      </c>
      <c r="B2331" s="7" t="s">
        <v>9</v>
      </c>
      <c r="C2331" s="7" t="s">
        <v>2884</v>
      </c>
      <c r="D2331" s="7">
        <v>-2.8757510000000002</v>
      </c>
      <c r="E2331" s="7">
        <v>-2.3511359000000001</v>
      </c>
      <c r="F2331" s="9" t="str">
        <f t="shared" si="11"/>
        <v>Direct</v>
      </c>
      <c r="G2331" s="7" t="s">
        <v>2885</v>
      </c>
    </row>
    <row r="2332" spans="1:7" x14ac:dyDescent="0.2">
      <c r="A2332" s="6" t="s">
        <v>18</v>
      </c>
      <c r="B2332" s="7" t="s">
        <v>9</v>
      </c>
      <c r="C2332" s="7" t="s">
        <v>2886</v>
      </c>
      <c r="D2332" s="7">
        <v>-2.2655063000000002</v>
      </c>
      <c r="E2332" s="7">
        <v>-1.6762229</v>
      </c>
      <c r="F2332" s="9" t="str">
        <f t="shared" si="11"/>
        <v>Direct</v>
      </c>
      <c r="G2332" s="7" t="s">
        <v>11</v>
      </c>
    </row>
    <row r="2333" spans="1:7" x14ac:dyDescent="0.2">
      <c r="A2333" s="6" t="s">
        <v>18</v>
      </c>
      <c r="B2333" s="7" t="s">
        <v>9</v>
      </c>
      <c r="C2333" s="7" t="s">
        <v>2887</v>
      </c>
      <c r="D2333" s="7">
        <v>2.1833814299999998</v>
      </c>
      <c r="E2333" s="7">
        <v>1.6274177299999999</v>
      </c>
      <c r="F2333" s="9" t="str">
        <f t="shared" si="11"/>
        <v>Direct</v>
      </c>
      <c r="G2333" s="7" t="s">
        <v>2888</v>
      </c>
    </row>
    <row r="2334" spans="1:7" x14ac:dyDescent="0.2">
      <c r="A2334" s="6" t="s">
        <v>18</v>
      </c>
      <c r="B2334" s="7" t="s">
        <v>9</v>
      </c>
      <c r="C2334" s="7" t="s">
        <v>2889</v>
      </c>
      <c r="D2334" s="7">
        <v>-4.3072932000000002</v>
      </c>
      <c r="E2334" s="7">
        <v>2.33732849</v>
      </c>
      <c r="F2334" s="9" t="str">
        <f t="shared" si="11"/>
        <v>Inverse</v>
      </c>
      <c r="G2334" s="7" t="s">
        <v>11</v>
      </c>
    </row>
    <row r="2335" spans="1:7" x14ac:dyDescent="0.2">
      <c r="A2335" s="6" t="s">
        <v>18</v>
      </c>
      <c r="B2335" s="7" t="s">
        <v>9</v>
      </c>
      <c r="C2335" s="7" t="s">
        <v>2890</v>
      </c>
      <c r="D2335" s="7">
        <v>5.4631994300000004</v>
      </c>
      <c r="E2335" s="7">
        <v>5.6432174799999997</v>
      </c>
      <c r="F2335" s="9" t="str">
        <f t="shared" si="11"/>
        <v>Direct</v>
      </c>
      <c r="G2335" s="7" t="s">
        <v>11</v>
      </c>
    </row>
    <row r="2336" spans="1:7" x14ac:dyDescent="0.2">
      <c r="A2336" s="6" t="s">
        <v>18</v>
      </c>
      <c r="B2336" s="7" t="s">
        <v>9</v>
      </c>
      <c r="C2336" s="7" t="s">
        <v>2891</v>
      </c>
      <c r="D2336" s="7">
        <v>-2.0288300000000001</v>
      </c>
      <c r="E2336" s="7">
        <v>-1.8234231999999999</v>
      </c>
      <c r="F2336" s="9" t="str">
        <f t="shared" si="11"/>
        <v>Direct</v>
      </c>
      <c r="G2336" s="7" t="s">
        <v>2177</v>
      </c>
    </row>
    <row r="2337" spans="1:7" x14ac:dyDescent="0.2">
      <c r="A2337" s="6" t="s">
        <v>18</v>
      </c>
      <c r="B2337" s="7" t="s">
        <v>9</v>
      </c>
      <c r="C2337" s="7" t="s">
        <v>2892</v>
      </c>
      <c r="D2337" s="7">
        <v>-2.0154757000000001</v>
      </c>
      <c r="E2337" s="7">
        <v>-1.6762229</v>
      </c>
      <c r="F2337" s="9" t="str">
        <f t="shared" si="11"/>
        <v>Direct</v>
      </c>
      <c r="G2337" s="7" t="s">
        <v>2893</v>
      </c>
    </row>
    <row r="2338" spans="1:7" x14ac:dyDescent="0.2">
      <c r="A2338" s="6" t="s">
        <v>18</v>
      </c>
      <c r="B2338" s="7" t="s">
        <v>9</v>
      </c>
      <c r="C2338" s="7" t="s">
        <v>2894</v>
      </c>
      <c r="D2338" s="7">
        <v>1.1318428700000001</v>
      </c>
      <c r="E2338" s="7">
        <v>1.69728671</v>
      </c>
      <c r="F2338" s="9" t="str">
        <f t="shared" si="11"/>
        <v>Direct</v>
      </c>
      <c r="G2338" s="7" t="s">
        <v>11</v>
      </c>
    </row>
    <row r="2339" spans="1:7" x14ac:dyDescent="0.2">
      <c r="A2339" s="6" t="s">
        <v>18</v>
      </c>
      <c r="B2339" s="7" t="s">
        <v>9</v>
      </c>
      <c r="C2339" s="7" t="s">
        <v>2895</v>
      </c>
      <c r="D2339" s="7">
        <v>1.0579929100000001</v>
      </c>
      <c r="E2339" s="7">
        <v>1.33305078</v>
      </c>
      <c r="F2339" s="9" t="str">
        <f t="shared" si="11"/>
        <v>Direct</v>
      </c>
      <c r="G2339" s="7" t="s">
        <v>2488</v>
      </c>
    </row>
    <row r="2340" spans="1:7" x14ac:dyDescent="0.2">
      <c r="A2340" s="6" t="s">
        <v>18</v>
      </c>
      <c r="B2340" s="7" t="s">
        <v>9</v>
      </c>
      <c r="C2340" s="7" t="s">
        <v>2896</v>
      </c>
      <c r="D2340" s="7">
        <v>1.0654190699999999</v>
      </c>
      <c r="E2340" s="7">
        <v>2.1206902099999998</v>
      </c>
      <c r="F2340" s="9" t="str">
        <f t="shared" si="11"/>
        <v>Direct</v>
      </c>
      <c r="G2340" s="7" t="s">
        <v>1256</v>
      </c>
    </row>
    <row r="2341" spans="1:7" x14ac:dyDescent="0.2">
      <c r="A2341" s="6" t="s">
        <v>18</v>
      </c>
      <c r="B2341" s="7" t="s">
        <v>9</v>
      </c>
      <c r="C2341" s="7" t="s">
        <v>2897</v>
      </c>
      <c r="D2341" s="7">
        <v>1.2580373300000001</v>
      </c>
      <c r="E2341" s="7">
        <v>1.3564305800000001</v>
      </c>
      <c r="F2341" s="9" t="str">
        <f t="shared" si="11"/>
        <v>Direct</v>
      </c>
      <c r="G2341" s="7" t="s">
        <v>11</v>
      </c>
    </row>
    <row r="2342" spans="1:7" x14ac:dyDescent="0.2">
      <c r="A2342" s="6" t="s">
        <v>18</v>
      </c>
      <c r="B2342" s="7" t="s">
        <v>9</v>
      </c>
      <c r="C2342" s="7" t="s">
        <v>2898</v>
      </c>
      <c r="D2342" s="7">
        <v>-1.9829626</v>
      </c>
      <c r="E2342" s="7">
        <v>-1.7516225999999999</v>
      </c>
      <c r="F2342" s="9" t="str">
        <f t="shared" si="11"/>
        <v>Direct</v>
      </c>
      <c r="G2342" s="7" t="s">
        <v>2899</v>
      </c>
    </row>
    <row r="2343" spans="1:7" x14ac:dyDescent="0.2">
      <c r="A2343" s="6" t="s">
        <v>18</v>
      </c>
      <c r="B2343" s="7" t="s">
        <v>9</v>
      </c>
      <c r="C2343" s="7" t="s">
        <v>2900</v>
      </c>
      <c r="D2343" s="7">
        <v>-1.2773753999999999</v>
      </c>
      <c r="E2343" s="7">
        <v>-1.3615870000000001</v>
      </c>
      <c r="F2343" s="9" t="str">
        <f t="shared" si="11"/>
        <v>Direct</v>
      </c>
      <c r="G2343" s="7" t="s">
        <v>11</v>
      </c>
    </row>
    <row r="2344" spans="1:7" x14ac:dyDescent="0.2">
      <c r="A2344" s="6" t="s">
        <v>18</v>
      </c>
      <c r="B2344" s="7" t="s">
        <v>9</v>
      </c>
      <c r="C2344" s="7" t="s">
        <v>2901</v>
      </c>
      <c r="D2344" s="7">
        <v>2.0874838699999998</v>
      </c>
      <c r="E2344" s="7">
        <v>3.7552561500000001</v>
      </c>
      <c r="F2344" s="9" t="str">
        <f t="shared" si="11"/>
        <v>Direct</v>
      </c>
      <c r="G2344" s="7" t="s">
        <v>2902</v>
      </c>
    </row>
    <row r="2345" spans="1:7" x14ac:dyDescent="0.2">
      <c r="A2345" s="6" t="s">
        <v>18</v>
      </c>
      <c r="B2345" s="7" t="s">
        <v>9</v>
      </c>
      <c r="C2345" s="7" t="s">
        <v>2903</v>
      </c>
      <c r="D2345" s="7">
        <v>-2.5225175000000002</v>
      </c>
      <c r="E2345" s="7">
        <v>-2.6132149999999998</v>
      </c>
      <c r="F2345" s="9" t="str">
        <f t="shared" si="11"/>
        <v>Direct</v>
      </c>
      <c r="G2345" s="7" t="s">
        <v>977</v>
      </c>
    </row>
    <row r="2346" spans="1:7" x14ac:dyDescent="0.2">
      <c r="A2346" s="6" t="s">
        <v>18</v>
      </c>
      <c r="B2346" s="7" t="s">
        <v>9</v>
      </c>
      <c r="C2346" s="7" t="s">
        <v>2904</v>
      </c>
      <c r="D2346" s="7">
        <v>-2.9323044</v>
      </c>
      <c r="E2346" s="7">
        <v>-1.2396822000000001</v>
      </c>
      <c r="F2346" s="9" t="str">
        <f t="shared" si="11"/>
        <v>Direct</v>
      </c>
      <c r="G2346" s="7" t="s">
        <v>977</v>
      </c>
    </row>
    <row r="2347" spans="1:7" x14ac:dyDescent="0.2">
      <c r="A2347" s="6" t="s">
        <v>18</v>
      </c>
      <c r="B2347" s="7" t="s">
        <v>9</v>
      </c>
      <c r="C2347" s="7" t="s">
        <v>2905</v>
      </c>
      <c r="D2347" s="7">
        <v>1.8134073900000001</v>
      </c>
      <c r="E2347" s="7">
        <v>1.20280769</v>
      </c>
      <c r="F2347" s="9" t="str">
        <f t="shared" si="11"/>
        <v>Direct</v>
      </c>
      <c r="G2347" s="7" t="s">
        <v>2906</v>
      </c>
    </row>
    <row r="2348" spans="1:7" x14ac:dyDescent="0.2">
      <c r="A2348" s="6" t="s">
        <v>18</v>
      </c>
      <c r="B2348" s="7" t="s">
        <v>9</v>
      </c>
      <c r="C2348" s="7" t="s">
        <v>2907</v>
      </c>
      <c r="D2348" s="7">
        <v>2.2607923699999999</v>
      </c>
      <c r="E2348" s="7">
        <v>2.91437685</v>
      </c>
      <c r="F2348" s="9" t="str">
        <f t="shared" si="11"/>
        <v>Direct</v>
      </c>
      <c r="G2348" s="7" t="s">
        <v>11</v>
      </c>
    </row>
    <row r="2349" spans="1:7" x14ac:dyDescent="0.2">
      <c r="A2349" s="6" t="s">
        <v>18</v>
      </c>
      <c r="B2349" s="7" t="s">
        <v>9</v>
      </c>
      <c r="C2349" s="7" t="s">
        <v>2908</v>
      </c>
      <c r="D2349" s="7">
        <v>1.48919175</v>
      </c>
      <c r="E2349" s="7">
        <v>1.49820676</v>
      </c>
      <c r="F2349" s="9" t="str">
        <f t="shared" si="11"/>
        <v>Direct</v>
      </c>
      <c r="G2349" s="7" t="s">
        <v>11</v>
      </c>
    </row>
    <row r="2350" spans="1:7" x14ac:dyDescent="0.2">
      <c r="A2350" s="6" t="s">
        <v>18</v>
      </c>
      <c r="B2350" s="7" t="s">
        <v>9</v>
      </c>
      <c r="C2350" s="7" t="s">
        <v>2909</v>
      </c>
      <c r="D2350" s="7">
        <v>1.67930015</v>
      </c>
      <c r="E2350" s="7">
        <v>2.43194621</v>
      </c>
      <c r="F2350" s="9" t="str">
        <f t="shared" si="11"/>
        <v>Direct</v>
      </c>
      <c r="G2350" s="7" t="s">
        <v>2910</v>
      </c>
    </row>
    <row r="2351" spans="1:7" x14ac:dyDescent="0.2">
      <c r="A2351" s="6" t="s">
        <v>18</v>
      </c>
      <c r="B2351" s="7" t="s">
        <v>9</v>
      </c>
      <c r="C2351" s="7" t="s">
        <v>2911</v>
      </c>
      <c r="D2351" s="7">
        <v>-1.0512429000000001</v>
      </c>
      <c r="E2351" s="7">
        <v>-2.1345725</v>
      </c>
      <c r="F2351" s="9" t="str">
        <f t="shared" si="11"/>
        <v>Direct</v>
      </c>
      <c r="G2351" s="7" t="s">
        <v>716</v>
      </c>
    </row>
    <row r="2352" spans="1:7" x14ac:dyDescent="0.2">
      <c r="A2352" s="6" t="s">
        <v>18</v>
      </c>
      <c r="B2352" s="7" t="s">
        <v>9</v>
      </c>
      <c r="C2352" s="7" t="s">
        <v>2912</v>
      </c>
      <c r="D2352" s="7">
        <v>1.4679799499999999</v>
      </c>
      <c r="E2352" s="7">
        <v>1.56609322</v>
      </c>
      <c r="F2352" s="9" t="str">
        <f t="shared" si="11"/>
        <v>Direct</v>
      </c>
      <c r="G2352" s="7" t="s">
        <v>11</v>
      </c>
    </row>
    <row r="2353" spans="1:7" x14ac:dyDescent="0.2">
      <c r="A2353" s="6" t="s">
        <v>18</v>
      </c>
      <c r="B2353" s="7" t="s">
        <v>9</v>
      </c>
      <c r="C2353" s="7" t="s">
        <v>2913</v>
      </c>
      <c r="D2353" s="7">
        <v>1.9311415000000001</v>
      </c>
      <c r="E2353" s="7">
        <v>3.28649521</v>
      </c>
      <c r="F2353" s="9" t="str">
        <f t="shared" si="11"/>
        <v>Direct</v>
      </c>
      <c r="G2353" s="7" t="s">
        <v>11</v>
      </c>
    </row>
    <row r="2354" spans="1:7" x14ac:dyDescent="0.2">
      <c r="A2354" s="6" t="s">
        <v>18</v>
      </c>
      <c r="B2354" s="7" t="s">
        <v>9</v>
      </c>
      <c r="C2354" s="7" t="s">
        <v>2914</v>
      </c>
      <c r="D2354" s="7">
        <v>-2.5013972999999998</v>
      </c>
      <c r="E2354" s="7">
        <v>-1.6695933999999999</v>
      </c>
      <c r="F2354" s="9" t="str">
        <f t="shared" si="11"/>
        <v>Direct</v>
      </c>
      <c r="G2354" s="7" t="s">
        <v>11</v>
      </c>
    </row>
    <row r="2355" spans="1:7" x14ac:dyDescent="0.2">
      <c r="A2355" s="6" t="s">
        <v>18</v>
      </c>
      <c r="B2355" s="7" t="s">
        <v>9</v>
      </c>
      <c r="C2355" s="7" t="s">
        <v>2915</v>
      </c>
      <c r="D2355" s="7">
        <v>3.2141910999999999</v>
      </c>
      <c r="E2355" s="7">
        <v>1.5007762899999999</v>
      </c>
      <c r="F2355" s="9" t="str">
        <f t="shared" si="11"/>
        <v>Direct</v>
      </c>
      <c r="G2355" s="7" t="s">
        <v>11</v>
      </c>
    </row>
    <row r="2356" spans="1:7" x14ac:dyDescent="0.2">
      <c r="A2356" s="6" t="s">
        <v>18</v>
      </c>
      <c r="B2356" s="7" t="s">
        <v>9</v>
      </c>
      <c r="C2356" s="7" t="s">
        <v>2916</v>
      </c>
      <c r="D2356" s="7">
        <v>-1.0764598999999999</v>
      </c>
      <c r="E2356" s="7">
        <v>-1.2222280000000001</v>
      </c>
      <c r="F2356" s="9" t="str">
        <f t="shared" si="11"/>
        <v>Direct</v>
      </c>
      <c r="G2356" s="7" t="s">
        <v>2917</v>
      </c>
    </row>
    <row r="2357" spans="1:7" x14ac:dyDescent="0.2">
      <c r="A2357" s="6" t="s">
        <v>18</v>
      </c>
      <c r="B2357" s="7" t="s">
        <v>9</v>
      </c>
      <c r="C2357" s="7" t="s">
        <v>2918</v>
      </c>
      <c r="D2357" s="7">
        <v>2.30477306</v>
      </c>
      <c r="E2357" s="7">
        <v>1.4222882800000001</v>
      </c>
      <c r="F2357" s="9" t="str">
        <f t="shared" si="11"/>
        <v>Direct</v>
      </c>
      <c r="G2357" s="7" t="s">
        <v>11</v>
      </c>
    </row>
    <row r="2358" spans="1:7" x14ac:dyDescent="0.2">
      <c r="A2358" s="6" t="s">
        <v>18</v>
      </c>
      <c r="B2358" s="7" t="s">
        <v>9</v>
      </c>
      <c r="C2358" s="7" t="s">
        <v>2919</v>
      </c>
      <c r="D2358" s="7">
        <v>-1.7910801999999999</v>
      </c>
      <c r="E2358" s="7">
        <v>-1.8563130999999999</v>
      </c>
      <c r="F2358" s="9" t="str">
        <f t="shared" si="11"/>
        <v>Direct</v>
      </c>
      <c r="G2358" s="7" t="s">
        <v>2920</v>
      </c>
    </row>
    <row r="2359" spans="1:7" x14ac:dyDescent="0.2">
      <c r="A2359" s="6" t="s">
        <v>18</v>
      </c>
      <c r="B2359" s="7" t="s">
        <v>9</v>
      </c>
      <c r="C2359" s="7" t="s">
        <v>2921</v>
      </c>
      <c r="D2359" s="7">
        <v>-2.4210455999999998</v>
      </c>
      <c r="E2359" s="7">
        <v>-1.3010271</v>
      </c>
      <c r="F2359" s="9" t="str">
        <f t="shared" si="11"/>
        <v>Direct</v>
      </c>
      <c r="G2359" s="7" t="s">
        <v>11</v>
      </c>
    </row>
    <row r="2360" spans="1:7" x14ac:dyDescent="0.2">
      <c r="A2360" s="6" t="s">
        <v>18</v>
      </c>
      <c r="B2360" s="7" t="s">
        <v>9</v>
      </c>
      <c r="C2360" s="7" t="s">
        <v>2922</v>
      </c>
      <c r="D2360" s="7">
        <v>1.53938997</v>
      </c>
      <c r="E2360" s="7">
        <v>1.2415124099999999</v>
      </c>
      <c r="F2360" s="9" t="str">
        <f t="shared" si="11"/>
        <v>Direct</v>
      </c>
      <c r="G2360" s="7" t="s">
        <v>2923</v>
      </c>
    </row>
    <row r="2361" spans="1:7" x14ac:dyDescent="0.2">
      <c r="A2361" s="6" t="s">
        <v>18</v>
      </c>
      <c r="B2361" s="7" t="s">
        <v>9</v>
      </c>
      <c r="C2361" s="7" t="s">
        <v>2924</v>
      </c>
      <c r="D2361" s="7">
        <v>-4.4020983999999999</v>
      </c>
      <c r="E2361" s="7">
        <v>-2.8469992999999998</v>
      </c>
      <c r="F2361" s="9" t="str">
        <f t="shared" si="11"/>
        <v>Direct</v>
      </c>
      <c r="G2361" s="7" t="s">
        <v>11</v>
      </c>
    </row>
    <row r="2362" spans="1:7" x14ac:dyDescent="0.2">
      <c r="A2362" s="6" t="s">
        <v>18</v>
      </c>
      <c r="B2362" s="7" t="s">
        <v>9</v>
      </c>
      <c r="C2362" s="7" t="s">
        <v>2925</v>
      </c>
      <c r="D2362" s="7">
        <v>1.70524348</v>
      </c>
      <c r="E2362" s="7">
        <v>2.0701891400000001</v>
      </c>
      <c r="F2362" s="9" t="str">
        <f t="shared" si="11"/>
        <v>Direct</v>
      </c>
      <c r="G2362" s="7" t="s">
        <v>2926</v>
      </c>
    </row>
    <row r="2363" spans="1:7" x14ac:dyDescent="0.2">
      <c r="A2363" s="6" t="s">
        <v>18</v>
      </c>
      <c r="B2363" s="7" t="s">
        <v>9</v>
      </c>
      <c r="C2363" s="7" t="s">
        <v>2927</v>
      </c>
      <c r="D2363" s="7">
        <v>5.5082546299999997</v>
      </c>
      <c r="E2363" s="7">
        <v>4.3409740000000001</v>
      </c>
      <c r="F2363" s="9" t="str">
        <f t="shared" si="11"/>
        <v>Direct</v>
      </c>
      <c r="G2363" s="7" t="s">
        <v>2928</v>
      </c>
    </row>
    <row r="2364" spans="1:7" x14ac:dyDescent="0.2">
      <c r="A2364" s="6" t="s">
        <v>18</v>
      </c>
      <c r="B2364" s="7" t="s">
        <v>9</v>
      </c>
      <c r="C2364" s="7" t="s">
        <v>2929</v>
      </c>
      <c r="D2364" s="7">
        <v>2.2366861899999999</v>
      </c>
      <c r="E2364" s="7">
        <v>3.2000999000000001</v>
      </c>
      <c r="F2364" s="9" t="str">
        <f t="shared" si="11"/>
        <v>Direct</v>
      </c>
      <c r="G2364" s="7" t="s">
        <v>2930</v>
      </c>
    </row>
    <row r="2365" spans="1:7" x14ac:dyDescent="0.2">
      <c r="A2365" s="6" t="s">
        <v>18</v>
      </c>
      <c r="B2365" s="7" t="s">
        <v>9</v>
      </c>
      <c r="C2365" s="7" t="s">
        <v>2931</v>
      </c>
      <c r="D2365" s="7">
        <v>1.0044602300000001</v>
      </c>
      <c r="E2365" s="7">
        <v>1.9885069799999999</v>
      </c>
      <c r="F2365" s="9" t="str">
        <f t="shared" si="11"/>
        <v>Direct</v>
      </c>
      <c r="G2365" s="7" t="s">
        <v>35</v>
      </c>
    </row>
    <row r="2366" spans="1:7" x14ac:dyDescent="0.2">
      <c r="A2366" s="6" t="s">
        <v>18</v>
      </c>
      <c r="B2366" s="7" t="s">
        <v>9</v>
      </c>
      <c r="C2366" s="7" t="s">
        <v>2932</v>
      </c>
      <c r="D2366" s="7">
        <v>-1.5543327</v>
      </c>
      <c r="E2366" s="7">
        <v>-2.7391665000000001</v>
      </c>
      <c r="F2366" s="9" t="str">
        <f t="shared" si="11"/>
        <v>Direct</v>
      </c>
      <c r="G2366" s="7" t="s">
        <v>977</v>
      </c>
    </row>
    <row r="2367" spans="1:7" x14ac:dyDescent="0.2">
      <c r="A2367" s="6" t="s">
        <v>18</v>
      </c>
      <c r="B2367" s="7" t="s">
        <v>9</v>
      </c>
      <c r="C2367" s="7" t="s">
        <v>2933</v>
      </c>
      <c r="D2367" s="7">
        <v>-2.3873978999999999</v>
      </c>
      <c r="E2367" s="7">
        <v>-1.6805766</v>
      </c>
      <c r="F2367" s="9" t="str">
        <f t="shared" si="11"/>
        <v>Direct</v>
      </c>
      <c r="G2367" s="7" t="s">
        <v>2934</v>
      </c>
    </row>
    <row r="2368" spans="1:7" x14ac:dyDescent="0.2">
      <c r="A2368" s="6" t="s">
        <v>18</v>
      </c>
      <c r="B2368" s="7" t="s">
        <v>9</v>
      </c>
      <c r="C2368" s="7" t="s">
        <v>2935</v>
      </c>
      <c r="D2368" s="7">
        <v>-1.1476047</v>
      </c>
      <c r="E2368" s="7">
        <v>-1.0767281</v>
      </c>
      <c r="F2368" s="9" t="str">
        <f t="shared" si="11"/>
        <v>Direct</v>
      </c>
      <c r="G2368" s="7" t="s">
        <v>11</v>
      </c>
    </row>
    <row r="2369" spans="1:7" x14ac:dyDescent="0.2">
      <c r="A2369" s="6" t="s">
        <v>18</v>
      </c>
      <c r="B2369" s="7" t="s">
        <v>9</v>
      </c>
      <c r="C2369" s="7" t="s">
        <v>2936</v>
      </c>
      <c r="D2369" s="7">
        <v>-1.6409522000000001</v>
      </c>
      <c r="E2369" s="7">
        <v>-1.6639982</v>
      </c>
      <c r="F2369" s="9" t="str">
        <f t="shared" si="11"/>
        <v>Direct</v>
      </c>
      <c r="G2369" s="7" t="s">
        <v>11</v>
      </c>
    </row>
    <row r="2370" spans="1:7" x14ac:dyDescent="0.2">
      <c r="A2370" s="6" t="s">
        <v>18</v>
      </c>
      <c r="B2370" s="7" t="s">
        <v>9</v>
      </c>
      <c r="C2370" s="7" t="s">
        <v>2937</v>
      </c>
      <c r="D2370" s="7">
        <v>-1.7025671</v>
      </c>
      <c r="E2370" s="7">
        <v>-1.0254268</v>
      </c>
      <c r="F2370" s="9" t="str">
        <f t="shared" si="11"/>
        <v>Direct</v>
      </c>
      <c r="G2370" s="7" t="s">
        <v>11</v>
      </c>
    </row>
    <row r="2371" spans="1:7" x14ac:dyDescent="0.2">
      <c r="A2371" s="6" t="s">
        <v>18</v>
      </c>
      <c r="B2371" s="7" t="s">
        <v>9</v>
      </c>
      <c r="C2371" s="7" t="s">
        <v>2938</v>
      </c>
      <c r="D2371" s="7">
        <v>-1.6918964000000001</v>
      </c>
      <c r="E2371" s="7">
        <v>-1.4435737</v>
      </c>
      <c r="F2371" s="9" t="str">
        <f t="shared" si="11"/>
        <v>Direct</v>
      </c>
      <c r="G2371" s="7" t="s">
        <v>58</v>
      </c>
    </row>
    <row r="2372" spans="1:7" x14ac:dyDescent="0.2">
      <c r="A2372" s="6" t="s">
        <v>18</v>
      </c>
      <c r="B2372" s="7" t="s">
        <v>9</v>
      </c>
      <c r="C2372" s="7" t="s">
        <v>2939</v>
      </c>
      <c r="D2372" s="7">
        <v>-1.0664168999999999</v>
      </c>
      <c r="E2372" s="7">
        <v>-1.1943973999999999</v>
      </c>
      <c r="F2372" s="9" t="str">
        <f t="shared" si="11"/>
        <v>Direct</v>
      </c>
      <c r="G2372" s="7" t="s">
        <v>432</v>
      </c>
    </row>
    <row r="2373" spans="1:7" x14ac:dyDescent="0.2">
      <c r="A2373" s="6" t="s">
        <v>18</v>
      </c>
      <c r="B2373" s="7" t="s">
        <v>9</v>
      </c>
      <c r="C2373" s="7" t="s">
        <v>2940</v>
      </c>
      <c r="D2373" s="7">
        <v>-4.5768382000000001</v>
      </c>
      <c r="E2373" s="7">
        <v>-2.4731383999999998</v>
      </c>
      <c r="F2373" s="9" t="str">
        <f t="shared" si="11"/>
        <v>Direct</v>
      </c>
      <c r="G2373" s="7" t="s">
        <v>35</v>
      </c>
    </row>
    <row r="2374" spans="1:7" x14ac:dyDescent="0.2">
      <c r="A2374" s="6" t="s">
        <v>18</v>
      </c>
      <c r="B2374" s="7" t="s">
        <v>9</v>
      </c>
      <c r="C2374" s="7" t="s">
        <v>2941</v>
      </c>
      <c r="D2374" s="7">
        <v>-2.1413918000000001</v>
      </c>
      <c r="E2374" s="7">
        <v>-1.6135619999999999</v>
      </c>
      <c r="F2374" s="9" t="str">
        <f t="shared" si="11"/>
        <v>Direct</v>
      </c>
      <c r="G2374" s="7" t="s">
        <v>11</v>
      </c>
    </row>
    <row r="2375" spans="1:7" x14ac:dyDescent="0.2">
      <c r="A2375" s="6" t="s">
        <v>18</v>
      </c>
      <c r="B2375" s="7" t="s">
        <v>9</v>
      </c>
      <c r="C2375" s="7" t="s">
        <v>2942</v>
      </c>
      <c r="D2375" s="7">
        <v>-2.3630890999999998</v>
      </c>
      <c r="E2375" s="7">
        <v>-1.2936364</v>
      </c>
      <c r="F2375" s="9" t="str">
        <f t="shared" si="11"/>
        <v>Direct</v>
      </c>
      <c r="G2375" s="7" t="s">
        <v>11</v>
      </c>
    </row>
    <row r="2376" spans="1:7" x14ac:dyDescent="0.2">
      <c r="A2376" s="6" t="s">
        <v>18</v>
      </c>
      <c r="B2376" s="7" t="s">
        <v>9</v>
      </c>
      <c r="C2376" s="7" t="s">
        <v>2943</v>
      </c>
      <c r="D2376" s="7">
        <v>3.2397337199999998</v>
      </c>
      <c r="E2376" s="7">
        <v>1.5181145700000001</v>
      </c>
      <c r="F2376" s="9" t="str">
        <f t="shared" si="11"/>
        <v>Direct</v>
      </c>
      <c r="G2376" s="7" t="s">
        <v>2944</v>
      </c>
    </row>
    <row r="2377" spans="1:7" x14ac:dyDescent="0.2">
      <c r="A2377" s="6" t="s">
        <v>18</v>
      </c>
      <c r="B2377" s="7" t="s">
        <v>9</v>
      </c>
      <c r="C2377" s="7" t="s">
        <v>2945</v>
      </c>
      <c r="D2377" s="7">
        <v>-2.7796717000000002</v>
      </c>
      <c r="E2377" s="7">
        <v>-2.2372181000000002</v>
      </c>
      <c r="F2377" s="9" t="str">
        <f t="shared" si="11"/>
        <v>Direct</v>
      </c>
      <c r="G2377" s="7" t="s">
        <v>11</v>
      </c>
    </row>
    <row r="2378" spans="1:7" x14ac:dyDescent="0.2">
      <c r="A2378" s="6" t="s">
        <v>18</v>
      </c>
      <c r="B2378" s="7" t="s">
        <v>9</v>
      </c>
      <c r="C2378" s="7" t="s">
        <v>2946</v>
      </c>
      <c r="D2378" s="7">
        <v>-1.2836196</v>
      </c>
      <c r="E2378" s="7">
        <v>-1.3581668</v>
      </c>
      <c r="F2378" s="9" t="str">
        <f t="shared" si="11"/>
        <v>Direct</v>
      </c>
      <c r="G2378" s="7" t="s">
        <v>2947</v>
      </c>
    </row>
    <row r="2379" spans="1:7" x14ac:dyDescent="0.2">
      <c r="A2379" s="6" t="s">
        <v>18</v>
      </c>
      <c r="B2379" s="7" t="s">
        <v>9</v>
      </c>
      <c r="C2379" s="7" t="s">
        <v>2948</v>
      </c>
      <c r="D2379" s="7">
        <v>2.3984975500000001</v>
      </c>
      <c r="E2379" s="7">
        <v>1.5659415000000001</v>
      </c>
      <c r="F2379" s="9" t="str">
        <f t="shared" si="11"/>
        <v>Direct</v>
      </c>
      <c r="G2379" s="7" t="s">
        <v>11</v>
      </c>
    </row>
    <row r="2380" spans="1:7" x14ac:dyDescent="0.2">
      <c r="A2380" s="6" t="s">
        <v>18</v>
      </c>
      <c r="B2380" s="7" t="s">
        <v>9</v>
      </c>
      <c r="C2380" s="7" t="s">
        <v>2949</v>
      </c>
      <c r="D2380" s="7">
        <v>1.1059830900000001</v>
      </c>
      <c r="E2380" s="7">
        <v>1.1511530299999999</v>
      </c>
      <c r="F2380" s="9" t="str">
        <f t="shared" si="11"/>
        <v>Direct</v>
      </c>
      <c r="G2380" s="7" t="s">
        <v>1732</v>
      </c>
    </row>
    <row r="2381" spans="1:7" x14ac:dyDescent="0.2">
      <c r="A2381" s="6" t="s">
        <v>18</v>
      </c>
      <c r="B2381" s="7" t="s">
        <v>9</v>
      </c>
      <c r="C2381" s="7" t="s">
        <v>2950</v>
      </c>
      <c r="D2381" s="7">
        <v>-1.0475844999999999</v>
      </c>
      <c r="E2381" s="7">
        <v>-1.0082233</v>
      </c>
      <c r="F2381" s="9" t="str">
        <f t="shared" si="11"/>
        <v>Direct</v>
      </c>
      <c r="G2381" s="7" t="s">
        <v>2951</v>
      </c>
    </row>
    <row r="2382" spans="1:7" x14ac:dyDescent="0.2">
      <c r="A2382" s="6" t="s">
        <v>18</v>
      </c>
      <c r="B2382" s="7" t="s">
        <v>9</v>
      </c>
      <c r="C2382" s="7" t="s">
        <v>2952</v>
      </c>
      <c r="D2382" s="7">
        <v>-4.6684748999999996</v>
      </c>
      <c r="E2382" s="7">
        <v>-5.0753703000000003</v>
      </c>
      <c r="F2382" s="9" t="str">
        <f t="shared" si="11"/>
        <v>Direct</v>
      </c>
      <c r="G2382" s="7" t="s">
        <v>11</v>
      </c>
    </row>
    <row r="2383" spans="1:7" x14ac:dyDescent="0.2">
      <c r="A2383" s="6" t="s">
        <v>18</v>
      </c>
      <c r="B2383" s="7" t="s">
        <v>9</v>
      </c>
      <c r="C2383" s="7" t="s">
        <v>2953</v>
      </c>
      <c r="D2383" s="7">
        <v>-3.5686387000000002</v>
      </c>
      <c r="E2383" s="7">
        <v>-1.4641341000000001</v>
      </c>
      <c r="F2383" s="9" t="str">
        <f t="shared" si="11"/>
        <v>Direct</v>
      </c>
      <c r="G2383" s="7" t="s">
        <v>11</v>
      </c>
    </row>
    <row r="2384" spans="1:7" x14ac:dyDescent="0.2">
      <c r="A2384" s="6" t="s">
        <v>18</v>
      </c>
      <c r="B2384" s="7" t="s">
        <v>9</v>
      </c>
      <c r="C2384" s="7" t="s">
        <v>2954</v>
      </c>
      <c r="D2384" s="7">
        <v>1.2191677999999999</v>
      </c>
      <c r="E2384" s="7">
        <v>4.3409740000000001</v>
      </c>
      <c r="F2384" s="9" t="str">
        <f t="shared" si="11"/>
        <v>Direct</v>
      </c>
      <c r="G2384" s="7" t="s">
        <v>11</v>
      </c>
    </row>
    <row r="2385" spans="1:7" x14ac:dyDescent="0.2">
      <c r="A2385" s="6" t="s">
        <v>18</v>
      </c>
      <c r="B2385" s="7" t="s">
        <v>9</v>
      </c>
      <c r="C2385" s="7" t="s">
        <v>2955</v>
      </c>
      <c r="D2385" s="7">
        <v>2.79715705</v>
      </c>
      <c r="E2385" s="7">
        <v>2.7572818300000002</v>
      </c>
      <c r="F2385" s="9" t="str">
        <f t="shared" si="11"/>
        <v>Direct</v>
      </c>
      <c r="G2385" s="7" t="s">
        <v>2956</v>
      </c>
    </row>
    <row r="2386" spans="1:7" x14ac:dyDescent="0.2">
      <c r="A2386" s="6" t="s">
        <v>18</v>
      </c>
      <c r="B2386" s="7" t="s">
        <v>9</v>
      </c>
      <c r="C2386" s="7" t="s">
        <v>2957</v>
      </c>
      <c r="D2386" s="7">
        <v>1.5348324499999999</v>
      </c>
      <c r="E2386" s="7">
        <v>1.77137414</v>
      </c>
      <c r="F2386" s="9" t="str">
        <f t="shared" si="11"/>
        <v>Direct</v>
      </c>
      <c r="G2386" s="7" t="s">
        <v>11</v>
      </c>
    </row>
    <row r="2387" spans="1:7" x14ac:dyDescent="0.2">
      <c r="A2387" s="6" t="s">
        <v>18</v>
      </c>
      <c r="B2387" s="7" t="s">
        <v>9</v>
      </c>
      <c r="C2387" s="7" t="s">
        <v>2958</v>
      </c>
      <c r="D2387" s="7">
        <v>3.5881460500000002</v>
      </c>
      <c r="E2387" s="7">
        <v>2.2617971799999999</v>
      </c>
      <c r="F2387" s="9" t="str">
        <f t="shared" si="11"/>
        <v>Direct</v>
      </c>
      <c r="G2387" s="7" t="s">
        <v>2959</v>
      </c>
    </row>
    <row r="2388" spans="1:7" x14ac:dyDescent="0.2">
      <c r="A2388" s="6" t="s">
        <v>18</v>
      </c>
      <c r="B2388" s="7" t="s">
        <v>9</v>
      </c>
      <c r="C2388" s="7" t="s">
        <v>2960</v>
      </c>
      <c r="D2388" s="7">
        <v>-1.7215171</v>
      </c>
      <c r="E2388" s="7">
        <v>-1.1313371000000001</v>
      </c>
      <c r="F2388" s="9" t="str">
        <f t="shared" si="11"/>
        <v>Direct</v>
      </c>
      <c r="G2388" s="7" t="s">
        <v>2304</v>
      </c>
    </row>
    <row r="2389" spans="1:7" x14ac:dyDescent="0.2">
      <c r="A2389" s="6" t="s">
        <v>18</v>
      </c>
      <c r="B2389" s="7" t="s">
        <v>9</v>
      </c>
      <c r="C2389" s="7" t="s">
        <v>2961</v>
      </c>
      <c r="D2389" s="7">
        <v>1.84066843</v>
      </c>
      <c r="E2389" s="7">
        <v>1.13731615</v>
      </c>
      <c r="F2389" s="9" t="str">
        <f t="shared" si="11"/>
        <v>Direct</v>
      </c>
      <c r="G2389" s="7" t="s">
        <v>11</v>
      </c>
    </row>
    <row r="2390" spans="1:7" x14ac:dyDescent="0.2">
      <c r="A2390" s="6" t="s">
        <v>18</v>
      </c>
      <c r="B2390" s="7" t="s">
        <v>9</v>
      </c>
      <c r="C2390" s="7" t="s">
        <v>2962</v>
      </c>
      <c r="D2390" s="7">
        <v>1.50817964</v>
      </c>
      <c r="E2390" s="7">
        <v>2.3754882400000001</v>
      </c>
      <c r="F2390" s="9" t="str">
        <f t="shared" si="11"/>
        <v>Direct</v>
      </c>
      <c r="G2390" s="7" t="s">
        <v>11</v>
      </c>
    </row>
    <row r="2391" spans="1:7" x14ac:dyDescent="0.2">
      <c r="A2391" s="6" t="s">
        <v>18</v>
      </c>
      <c r="B2391" s="7" t="s">
        <v>9</v>
      </c>
      <c r="C2391" s="7" t="s">
        <v>2963</v>
      </c>
      <c r="D2391" s="7">
        <v>1.3344011600000001</v>
      </c>
      <c r="E2391" s="7">
        <v>1.3476209299999999</v>
      </c>
      <c r="F2391" s="9" t="str">
        <f t="shared" si="11"/>
        <v>Direct</v>
      </c>
      <c r="G2391" s="7" t="s">
        <v>2964</v>
      </c>
    </row>
    <row r="2392" spans="1:7" x14ac:dyDescent="0.2">
      <c r="A2392" s="6" t="s">
        <v>18</v>
      </c>
      <c r="B2392" s="7" t="s">
        <v>9</v>
      </c>
      <c r="C2392" s="7" t="s">
        <v>2965</v>
      </c>
      <c r="D2392" s="7">
        <v>-1.1823397</v>
      </c>
      <c r="E2392" s="7">
        <v>-1.6641325</v>
      </c>
      <c r="F2392" s="9" t="str">
        <f t="shared" si="11"/>
        <v>Direct</v>
      </c>
      <c r="G2392" s="7" t="s">
        <v>11</v>
      </c>
    </row>
    <row r="2393" spans="1:7" x14ac:dyDescent="0.2">
      <c r="A2393" s="6" t="s">
        <v>18</v>
      </c>
      <c r="B2393" s="7" t="s">
        <v>9</v>
      </c>
      <c r="C2393" s="7" t="s">
        <v>2966</v>
      </c>
      <c r="D2393" s="7">
        <v>-2.1300848000000001</v>
      </c>
      <c r="E2393" s="7">
        <v>-1.0367713999999999</v>
      </c>
      <c r="F2393" s="9" t="str">
        <f t="shared" si="11"/>
        <v>Direct</v>
      </c>
      <c r="G2393" s="7" t="s">
        <v>2967</v>
      </c>
    </row>
    <row r="2394" spans="1:7" x14ac:dyDescent="0.2">
      <c r="A2394" s="6" t="s">
        <v>18</v>
      </c>
      <c r="B2394" s="7" t="s">
        <v>9</v>
      </c>
      <c r="C2394" s="7" t="s">
        <v>2968</v>
      </c>
      <c r="D2394" s="7">
        <v>-5.4598255</v>
      </c>
      <c r="E2394" s="7">
        <v>-1.9860169000000001</v>
      </c>
      <c r="F2394" s="9" t="str">
        <f t="shared" si="11"/>
        <v>Direct</v>
      </c>
      <c r="G2394" s="7" t="s">
        <v>11</v>
      </c>
    </row>
    <row r="2395" spans="1:7" x14ac:dyDescent="0.2">
      <c r="A2395" s="6" t="s">
        <v>18</v>
      </c>
      <c r="B2395" s="7" t="s">
        <v>9</v>
      </c>
      <c r="C2395" s="7" t="s">
        <v>2969</v>
      </c>
      <c r="D2395" s="7">
        <v>-5.4280666999999996</v>
      </c>
      <c r="E2395" s="7">
        <v>-1.2509536000000001</v>
      </c>
      <c r="F2395" s="9" t="str">
        <f t="shared" si="11"/>
        <v>Direct</v>
      </c>
      <c r="G2395" s="7" t="s">
        <v>11</v>
      </c>
    </row>
    <row r="2396" spans="1:7" x14ac:dyDescent="0.2">
      <c r="A2396" s="6" t="s">
        <v>18</v>
      </c>
      <c r="B2396" s="7" t="s">
        <v>9</v>
      </c>
      <c r="C2396" s="7" t="s">
        <v>2970</v>
      </c>
      <c r="D2396" s="7">
        <v>2.73813358</v>
      </c>
      <c r="E2396" s="7">
        <v>1.98601691</v>
      </c>
      <c r="F2396" s="9" t="str">
        <f t="shared" si="11"/>
        <v>Direct</v>
      </c>
      <c r="G2396" s="7" t="s">
        <v>11</v>
      </c>
    </row>
    <row r="2397" spans="1:7" x14ac:dyDescent="0.2">
      <c r="A2397" s="6" t="s">
        <v>18</v>
      </c>
      <c r="B2397" s="7" t="s">
        <v>9</v>
      </c>
      <c r="C2397" s="7" t="s">
        <v>2971</v>
      </c>
      <c r="D2397" s="7">
        <v>-1.8006264000000001</v>
      </c>
      <c r="E2397" s="7">
        <v>-1.504686</v>
      </c>
      <c r="F2397" s="9" t="str">
        <f t="shared" si="11"/>
        <v>Direct</v>
      </c>
      <c r="G2397" s="7" t="s">
        <v>11</v>
      </c>
    </row>
    <row r="2398" spans="1:7" x14ac:dyDescent="0.2">
      <c r="A2398" s="6" t="s">
        <v>18</v>
      </c>
      <c r="B2398" s="7" t="s">
        <v>9</v>
      </c>
      <c r="C2398" s="7" t="s">
        <v>2972</v>
      </c>
      <c r="D2398" s="7">
        <v>-6.0906088</v>
      </c>
      <c r="E2398" s="7">
        <v>-3.7555768999999999</v>
      </c>
      <c r="F2398" s="9" t="str">
        <f t="shared" si="11"/>
        <v>Direct</v>
      </c>
      <c r="G2398" s="7" t="s">
        <v>714</v>
      </c>
    </row>
    <row r="2399" spans="1:7" x14ac:dyDescent="0.2">
      <c r="A2399" s="6" t="s">
        <v>18</v>
      </c>
      <c r="B2399" s="7" t="s">
        <v>9</v>
      </c>
      <c r="C2399" s="7" t="s">
        <v>2973</v>
      </c>
      <c r="D2399" s="7">
        <v>-1.4867455000000001</v>
      </c>
      <c r="E2399" s="7">
        <v>-1.0337864999999999</v>
      </c>
      <c r="F2399" s="9" t="str">
        <f t="shared" si="11"/>
        <v>Direct</v>
      </c>
      <c r="G2399" s="7" t="s">
        <v>2974</v>
      </c>
    </row>
    <row r="2400" spans="1:7" x14ac:dyDescent="0.2">
      <c r="A2400" s="6" t="s">
        <v>18</v>
      </c>
      <c r="B2400" s="7" t="s">
        <v>9</v>
      </c>
      <c r="C2400" s="7" t="s">
        <v>2975</v>
      </c>
      <c r="D2400" s="7">
        <v>1.7594208099999999</v>
      </c>
      <c r="E2400" s="7">
        <v>2.1132731100000002</v>
      </c>
      <c r="F2400" s="9" t="str">
        <f t="shared" si="11"/>
        <v>Direct</v>
      </c>
      <c r="G2400" s="7" t="s">
        <v>11</v>
      </c>
    </row>
    <row r="2401" spans="1:7" x14ac:dyDescent="0.2">
      <c r="A2401" s="6" t="s">
        <v>18</v>
      </c>
      <c r="B2401" s="7" t="s">
        <v>9</v>
      </c>
      <c r="C2401" s="7" t="s">
        <v>2976</v>
      </c>
      <c r="D2401" s="7">
        <v>1.26023565</v>
      </c>
      <c r="E2401" s="7">
        <v>1.8746015599999999</v>
      </c>
      <c r="F2401" s="9" t="str">
        <f t="shared" si="11"/>
        <v>Direct</v>
      </c>
      <c r="G2401" s="7" t="s">
        <v>11</v>
      </c>
    </row>
    <row r="2402" spans="1:7" x14ac:dyDescent="0.2">
      <c r="A2402" s="6" t="s">
        <v>18</v>
      </c>
      <c r="B2402" s="7" t="s">
        <v>9</v>
      </c>
      <c r="C2402" s="7" t="s">
        <v>2977</v>
      </c>
      <c r="D2402" s="7">
        <v>-7.7492521999999999</v>
      </c>
      <c r="E2402" s="7">
        <v>-9.2024530999999996</v>
      </c>
      <c r="F2402" s="9" t="str">
        <f t="shared" si="11"/>
        <v>Direct</v>
      </c>
      <c r="G2402" s="7" t="s">
        <v>11</v>
      </c>
    </row>
    <row r="2403" spans="1:7" x14ac:dyDescent="0.2">
      <c r="A2403" s="6" t="s">
        <v>18</v>
      </c>
      <c r="B2403" s="7" t="s">
        <v>9</v>
      </c>
      <c r="C2403" s="7" t="s">
        <v>2978</v>
      </c>
      <c r="D2403" s="7">
        <v>1.03502264</v>
      </c>
      <c r="E2403" s="7">
        <v>1.00439539</v>
      </c>
      <c r="F2403" s="9" t="str">
        <f t="shared" si="11"/>
        <v>Direct</v>
      </c>
      <c r="G2403" s="7" t="s">
        <v>11</v>
      </c>
    </row>
    <row r="2404" spans="1:7" x14ac:dyDescent="0.2">
      <c r="A2404" s="6" t="s">
        <v>18</v>
      </c>
      <c r="B2404" s="7" t="s">
        <v>9</v>
      </c>
      <c r="C2404" s="7" t="s">
        <v>2979</v>
      </c>
      <c r="D2404" s="7">
        <v>1.5661411000000001</v>
      </c>
      <c r="E2404" s="7">
        <v>4.2279461200000004</v>
      </c>
      <c r="F2404" s="9" t="str">
        <f t="shared" si="11"/>
        <v>Direct</v>
      </c>
      <c r="G2404" s="7" t="s">
        <v>11</v>
      </c>
    </row>
    <row r="2405" spans="1:7" x14ac:dyDescent="0.2">
      <c r="A2405" s="6" t="s">
        <v>18</v>
      </c>
      <c r="B2405" s="7" t="s">
        <v>9</v>
      </c>
      <c r="C2405" s="7" t="s">
        <v>2980</v>
      </c>
      <c r="D2405" s="7">
        <v>1.8800526</v>
      </c>
      <c r="E2405" s="7">
        <v>2.3646147599999998</v>
      </c>
      <c r="F2405" s="9" t="str">
        <f t="shared" si="11"/>
        <v>Direct</v>
      </c>
      <c r="G2405" s="7" t="s">
        <v>2981</v>
      </c>
    </row>
    <row r="2406" spans="1:7" x14ac:dyDescent="0.2">
      <c r="A2406" s="6" t="s">
        <v>18</v>
      </c>
      <c r="B2406" s="7" t="s">
        <v>9</v>
      </c>
      <c r="C2406" s="7" t="s">
        <v>2982</v>
      </c>
      <c r="D2406" s="7">
        <v>-1.7476963999999999</v>
      </c>
      <c r="E2406" s="7">
        <v>-1.2927152</v>
      </c>
      <c r="F2406" s="9" t="str">
        <f t="shared" si="11"/>
        <v>Direct</v>
      </c>
      <c r="G2406" s="7" t="s">
        <v>11</v>
      </c>
    </row>
    <row r="2407" spans="1:7" x14ac:dyDescent="0.2">
      <c r="A2407" s="6" t="s">
        <v>18</v>
      </c>
      <c r="B2407" s="7" t="s">
        <v>9</v>
      </c>
      <c r="C2407" s="7" t="s">
        <v>2983</v>
      </c>
      <c r="D2407" s="7">
        <v>2.7305141900000001</v>
      </c>
      <c r="E2407" s="7">
        <v>5.3655179999999998</v>
      </c>
      <c r="F2407" s="9" t="str">
        <f t="shared" si="11"/>
        <v>Direct</v>
      </c>
      <c r="G2407" s="7" t="s">
        <v>2984</v>
      </c>
    </row>
    <row r="2408" spans="1:7" x14ac:dyDescent="0.2">
      <c r="A2408" s="6" t="s">
        <v>18</v>
      </c>
      <c r="B2408" s="7" t="s">
        <v>9</v>
      </c>
      <c r="C2408" s="7" t="s">
        <v>2985</v>
      </c>
      <c r="D2408" s="7">
        <v>2.2603914500000002</v>
      </c>
      <c r="E2408" s="7">
        <v>1.6717078000000001</v>
      </c>
      <c r="F2408" s="9" t="str">
        <f t="shared" si="11"/>
        <v>Direct</v>
      </c>
      <c r="G2408" s="7" t="s">
        <v>11</v>
      </c>
    </row>
    <row r="2409" spans="1:7" x14ac:dyDescent="0.2">
      <c r="A2409" s="6" t="s">
        <v>18</v>
      </c>
      <c r="B2409" s="7" t="s">
        <v>9</v>
      </c>
      <c r="C2409" s="7" t="s">
        <v>2986</v>
      </c>
      <c r="D2409" s="7">
        <v>-1.1557603000000001</v>
      </c>
      <c r="E2409" s="7">
        <v>-1.7331300999999999</v>
      </c>
      <c r="F2409" s="9" t="str">
        <f t="shared" si="11"/>
        <v>Direct</v>
      </c>
      <c r="G2409" s="7" t="s">
        <v>2987</v>
      </c>
    </row>
    <row r="2410" spans="1:7" x14ac:dyDescent="0.2">
      <c r="A2410" s="6" t="s">
        <v>18</v>
      </c>
      <c r="B2410" s="7" t="s">
        <v>9</v>
      </c>
      <c r="C2410" s="7" t="s">
        <v>2988</v>
      </c>
      <c r="D2410" s="7">
        <v>2.4767692499999998</v>
      </c>
      <c r="E2410" s="7">
        <v>1.06304844</v>
      </c>
      <c r="F2410" s="9" t="str">
        <f t="shared" si="11"/>
        <v>Direct</v>
      </c>
      <c r="G2410" s="7" t="s">
        <v>11</v>
      </c>
    </row>
    <row r="2411" spans="1:7" x14ac:dyDescent="0.2">
      <c r="A2411" s="6" t="s">
        <v>18</v>
      </c>
      <c r="B2411" s="7" t="s">
        <v>9</v>
      </c>
      <c r="C2411" s="7" t="s">
        <v>2989</v>
      </c>
      <c r="D2411" s="7">
        <v>-1.1040688999999999</v>
      </c>
      <c r="E2411" s="7">
        <v>-1.2967982</v>
      </c>
      <c r="F2411" s="9" t="str">
        <f t="shared" si="11"/>
        <v>Direct</v>
      </c>
      <c r="G2411" s="7" t="s">
        <v>2990</v>
      </c>
    </row>
    <row r="2412" spans="1:7" x14ac:dyDescent="0.2">
      <c r="A2412" s="6" t="s">
        <v>18</v>
      </c>
      <c r="B2412" s="7" t="s">
        <v>9</v>
      </c>
      <c r="C2412" s="7" t="s">
        <v>2991</v>
      </c>
      <c r="D2412" s="7">
        <v>-3.4065764000000001</v>
      </c>
      <c r="E2412" s="7">
        <v>-2.27597</v>
      </c>
      <c r="F2412" s="9" t="str">
        <f t="shared" si="11"/>
        <v>Direct</v>
      </c>
      <c r="G2412" s="7" t="s">
        <v>35</v>
      </c>
    </row>
    <row r="2413" spans="1:7" x14ac:dyDescent="0.2">
      <c r="A2413" s="6" t="s">
        <v>18</v>
      </c>
      <c r="B2413" s="7" t="s">
        <v>9</v>
      </c>
      <c r="C2413" s="7" t="s">
        <v>2992</v>
      </c>
      <c r="D2413" s="7">
        <v>-1.1161867000000001</v>
      </c>
      <c r="E2413" s="7">
        <v>-1.5846317999999999</v>
      </c>
      <c r="F2413" s="9" t="str">
        <f t="shared" si="11"/>
        <v>Direct</v>
      </c>
      <c r="G2413" s="7" t="s">
        <v>875</v>
      </c>
    </row>
    <row r="2414" spans="1:7" x14ac:dyDescent="0.2">
      <c r="A2414" s="6" t="s">
        <v>18</v>
      </c>
      <c r="B2414" s="7" t="s">
        <v>9</v>
      </c>
      <c r="C2414" s="7" t="s">
        <v>2993</v>
      </c>
      <c r="D2414" s="7">
        <v>5.0106391199999996</v>
      </c>
      <c r="E2414" s="7">
        <v>1.7206413</v>
      </c>
      <c r="F2414" s="9" t="str">
        <f t="shared" si="11"/>
        <v>Direct</v>
      </c>
      <c r="G2414" s="7" t="s">
        <v>309</v>
      </c>
    </row>
    <row r="2415" spans="1:7" x14ac:dyDescent="0.2">
      <c r="A2415" s="6" t="s">
        <v>18</v>
      </c>
      <c r="B2415" s="7" t="s">
        <v>9</v>
      </c>
      <c r="C2415" s="7" t="s">
        <v>2994</v>
      </c>
      <c r="D2415" s="7">
        <v>3.6094829499999999</v>
      </c>
      <c r="E2415" s="7">
        <v>-1.1746049000000001</v>
      </c>
      <c r="F2415" s="9" t="str">
        <f t="shared" si="11"/>
        <v>Inverse</v>
      </c>
      <c r="G2415" s="7" t="s">
        <v>693</v>
      </c>
    </row>
    <row r="2416" spans="1:7" x14ac:dyDescent="0.2">
      <c r="A2416" s="6" t="s">
        <v>18</v>
      </c>
      <c r="B2416" s="7" t="s">
        <v>9</v>
      </c>
      <c r="C2416" s="7" t="s">
        <v>2995</v>
      </c>
      <c r="D2416" s="7">
        <v>2.1083897</v>
      </c>
      <c r="E2416" s="7">
        <v>1.0580409500000001</v>
      </c>
      <c r="F2416" s="9" t="str">
        <f t="shared" si="11"/>
        <v>Direct</v>
      </c>
      <c r="G2416" s="7" t="s">
        <v>11</v>
      </c>
    </row>
    <row r="2417" spans="1:7" x14ac:dyDescent="0.2">
      <c r="A2417" s="6" t="s">
        <v>18</v>
      </c>
      <c r="B2417" s="7" t="s">
        <v>9</v>
      </c>
      <c r="C2417" s="7" t="s">
        <v>2996</v>
      </c>
      <c r="D2417" s="7">
        <v>3.12965129</v>
      </c>
      <c r="E2417" s="7">
        <v>1.46396842</v>
      </c>
      <c r="F2417" s="9" t="str">
        <f t="shared" si="11"/>
        <v>Direct</v>
      </c>
      <c r="G2417" s="7" t="s">
        <v>11</v>
      </c>
    </row>
    <row r="2418" spans="1:7" x14ac:dyDescent="0.2">
      <c r="A2418" s="6" t="s">
        <v>18</v>
      </c>
      <c r="B2418" s="7" t="s">
        <v>9</v>
      </c>
      <c r="C2418" s="7" t="s">
        <v>2997</v>
      </c>
      <c r="D2418" s="7">
        <v>-1.3111337999999999</v>
      </c>
      <c r="E2418" s="7">
        <v>-1.8195425000000001</v>
      </c>
      <c r="F2418" s="9" t="str">
        <f t="shared" si="11"/>
        <v>Direct</v>
      </c>
      <c r="G2418" s="7" t="s">
        <v>2998</v>
      </c>
    </row>
    <row r="2419" spans="1:7" x14ac:dyDescent="0.2">
      <c r="A2419" s="6" t="s">
        <v>18</v>
      </c>
      <c r="B2419" s="7" t="s">
        <v>9</v>
      </c>
      <c r="C2419" s="7" t="s">
        <v>2999</v>
      </c>
      <c r="D2419" s="7">
        <v>2.52284606</v>
      </c>
      <c r="E2419" s="7">
        <v>3.16878517</v>
      </c>
      <c r="F2419" s="9" t="str">
        <f t="shared" si="11"/>
        <v>Direct</v>
      </c>
      <c r="G2419" s="7" t="s">
        <v>3000</v>
      </c>
    </row>
    <row r="2420" spans="1:7" x14ac:dyDescent="0.2">
      <c r="A2420" s="6" t="s">
        <v>18</v>
      </c>
      <c r="B2420" s="7" t="s">
        <v>9</v>
      </c>
      <c r="C2420" s="7" t="s">
        <v>3001</v>
      </c>
      <c r="D2420" s="7">
        <v>1.17940885</v>
      </c>
      <c r="E2420" s="7">
        <v>1.6135619699999999</v>
      </c>
      <c r="F2420" s="9" t="str">
        <f t="shared" si="11"/>
        <v>Direct</v>
      </c>
      <c r="G2420" s="7" t="s">
        <v>3002</v>
      </c>
    </row>
    <row r="2421" spans="1:7" x14ac:dyDescent="0.2">
      <c r="A2421" s="6" t="s">
        <v>18</v>
      </c>
      <c r="B2421" s="7" t="s">
        <v>9</v>
      </c>
      <c r="C2421" s="7" t="s">
        <v>3003</v>
      </c>
      <c r="D2421" s="7">
        <v>1.50174473</v>
      </c>
      <c r="E2421" s="7">
        <v>3.1973905600000001</v>
      </c>
      <c r="F2421" s="9" t="str">
        <f t="shared" si="11"/>
        <v>Direct</v>
      </c>
      <c r="G2421" s="7" t="s">
        <v>11</v>
      </c>
    </row>
    <row r="2422" spans="1:7" x14ac:dyDescent="0.2">
      <c r="A2422" s="6" t="s">
        <v>18</v>
      </c>
      <c r="B2422" s="7" t="s">
        <v>9</v>
      </c>
      <c r="C2422" s="7" t="s">
        <v>3004</v>
      </c>
      <c r="D2422" s="7">
        <v>-1.6618833</v>
      </c>
      <c r="E2422" s="7">
        <v>-1.0037723999999999</v>
      </c>
      <c r="F2422" s="9" t="str">
        <f t="shared" si="11"/>
        <v>Direct</v>
      </c>
      <c r="G2422" s="7" t="s">
        <v>3005</v>
      </c>
    </row>
    <row r="2423" spans="1:7" x14ac:dyDescent="0.2">
      <c r="A2423" s="6" t="s">
        <v>18</v>
      </c>
      <c r="B2423" s="7" t="s">
        <v>9</v>
      </c>
      <c r="C2423" s="7" t="s">
        <v>3006</v>
      </c>
      <c r="D2423" s="7">
        <v>-2.7358704999999999</v>
      </c>
      <c r="E2423" s="7">
        <v>-5.5081879000000002</v>
      </c>
      <c r="F2423" s="9" t="str">
        <f t="shared" si="11"/>
        <v>Direct</v>
      </c>
      <c r="G2423" s="7" t="s">
        <v>3007</v>
      </c>
    </row>
    <row r="2424" spans="1:7" x14ac:dyDescent="0.2">
      <c r="A2424" s="6" t="s">
        <v>18</v>
      </c>
      <c r="B2424" s="7" t="s">
        <v>9</v>
      </c>
      <c r="C2424" s="7" t="s">
        <v>3008</v>
      </c>
      <c r="D2424" s="7">
        <v>-1.0090281000000001</v>
      </c>
      <c r="E2424" s="7">
        <v>-1.8261978000000001</v>
      </c>
      <c r="F2424" s="9" t="str">
        <f t="shared" si="11"/>
        <v>Direct</v>
      </c>
      <c r="G2424" s="7" t="s">
        <v>11</v>
      </c>
    </row>
    <row r="2425" spans="1:7" x14ac:dyDescent="0.2">
      <c r="A2425" s="6" t="s">
        <v>18</v>
      </c>
      <c r="B2425" s="7" t="s">
        <v>9</v>
      </c>
      <c r="C2425" s="7" t="s">
        <v>3009</v>
      </c>
      <c r="D2425" s="7">
        <v>2.2170129799999998</v>
      </c>
      <c r="E2425" s="7">
        <v>1.35271063</v>
      </c>
      <c r="F2425" s="9" t="str">
        <f t="shared" si="11"/>
        <v>Direct</v>
      </c>
      <c r="G2425" s="7" t="s">
        <v>1807</v>
      </c>
    </row>
    <row r="2426" spans="1:7" x14ac:dyDescent="0.2">
      <c r="A2426" s="6" t="s">
        <v>18</v>
      </c>
      <c r="B2426" s="7" t="s">
        <v>9</v>
      </c>
      <c r="C2426" s="7" t="s">
        <v>3010</v>
      </c>
      <c r="D2426" s="7">
        <v>-2.3122593999999999</v>
      </c>
      <c r="E2426" s="7">
        <v>-1.3490518</v>
      </c>
      <c r="F2426" s="9" t="str">
        <f t="shared" si="11"/>
        <v>Direct</v>
      </c>
      <c r="G2426" s="7" t="s">
        <v>11</v>
      </c>
    </row>
    <row r="2427" spans="1:7" x14ac:dyDescent="0.2">
      <c r="A2427" s="6" t="s">
        <v>18</v>
      </c>
      <c r="B2427" s="7" t="s">
        <v>9</v>
      </c>
      <c r="C2427" s="7" t="s">
        <v>3011</v>
      </c>
      <c r="D2427" s="7">
        <v>1.16163196</v>
      </c>
      <c r="E2427" s="7">
        <v>3.0299701200000002</v>
      </c>
      <c r="F2427" s="9" t="str">
        <f t="shared" si="11"/>
        <v>Direct</v>
      </c>
      <c r="G2427" s="7" t="s">
        <v>2177</v>
      </c>
    </row>
    <row r="2428" spans="1:7" x14ac:dyDescent="0.2">
      <c r="A2428" s="6" t="s">
        <v>18</v>
      </c>
      <c r="B2428" s="7" t="s">
        <v>9</v>
      </c>
      <c r="C2428" s="7" t="s">
        <v>3012</v>
      </c>
      <c r="D2428" s="7">
        <v>2.2309885999999999</v>
      </c>
      <c r="E2428" s="7">
        <v>3.4347977200000002</v>
      </c>
      <c r="F2428" s="9" t="str">
        <f t="shared" si="11"/>
        <v>Direct</v>
      </c>
      <c r="G2428" s="7" t="s">
        <v>2177</v>
      </c>
    </row>
    <row r="2429" spans="1:7" x14ac:dyDescent="0.2">
      <c r="A2429" s="6" t="s">
        <v>18</v>
      </c>
      <c r="B2429" s="7" t="s">
        <v>9</v>
      </c>
      <c r="C2429" s="7" t="s">
        <v>3013</v>
      </c>
      <c r="D2429" s="7">
        <v>-1.6997515999999999</v>
      </c>
      <c r="E2429" s="7">
        <v>-1.2022225</v>
      </c>
      <c r="F2429" s="9" t="str">
        <f t="shared" si="11"/>
        <v>Direct</v>
      </c>
      <c r="G2429" s="7" t="s">
        <v>11</v>
      </c>
    </row>
    <row r="2430" spans="1:7" x14ac:dyDescent="0.2">
      <c r="A2430" s="6" t="s">
        <v>18</v>
      </c>
      <c r="B2430" s="7" t="s">
        <v>9</v>
      </c>
      <c r="C2430" s="7" t="s">
        <v>3014</v>
      </c>
      <c r="D2430" s="7">
        <v>-4.8054328999999996</v>
      </c>
      <c r="E2430" s="7">
        <v>-1.8042267000000001</v>
      </c>
      <c r="F2430" s="9" t="str">
        <f t="shared" si="11"/>
        <v>Direct</v>
      </c>
      <c r="G2430" s="7" t="s">
        <v>11</v>
      </c>
    </row>
    <row r="2431" spans="1:7" x14ac:dyDescent="0.2">
      <c r="A2431" s="6" t="s">
        <v>18</v>
      </c>
      <c r="B2431" s="7" t="s">
        <v>9</v>
      </c>
      <c r="C2431" s="7" t="s">
        <v>3015</v>
      </c>
      <c r="D2431" s="7">
        <v>2.2502137000000002</v>
      </c>
      <c r="E2431" s="7">
        <v>6.6994680300000002</v>
      </c>
      <c r="F2431" s="9" t="str">
        <f t="shared" si="11"/>
        <v>Direct</v>
      </c>
      <c r="G2431" s="7" t="s">
        <v>3016</v>
      </c>
    </row>
    <row r="2432" spans="1:7" x14ac:dyDescent="0.2">
      <c r="A2432" s="6" t="s">
        <v>18</v>
      </c>
      <c r="B2432" s="7" t="s">
        <v>9</v>
      </c>
      <c r="C2432" s="7" t="s">
        <v>3017</v>
      </c>
      <c r="D2432" s="7">
        <v>4.1326749500000002</v>
      </c>
      <c r="E2432" s="7">
        <v>3.4203932300000002</v>
      </c>
      <c r="F2432" s="9" t="str">
        <f t="shared" si="11"/>
        <v>Direct</v>
      </c>
      <c r="G2432" s="7" t="s">
        <v>11</v>
      </c>
    </row>
    <row r="2433" spans="1:7" x14ac:dyDescent="0.2">
      <c r="A2433" s="6" t="s">
        <v>18</v>
      </c>
      <c r="B2433" s="7" t="s">
        <v>9</v>
      </c>
      <c r="C2433" s="7" t="s">
        <v>3018</v>
      </c>
      <c r="D2433" s="7">
        <v>3.1116091699999999</v>
      </c>
      <c r="E2433" s="7">
        <v>1.18710406</v>
      </c>
      <c r="F2433" s="9" t="str">
        <f t="shared" si="11"/>
        <v>Direct</v>
      </c>
      <c r="G2433" s="7" t="s">
        <v>11</v>
      </c>
    </row>
    <row r="2434" spans="1:7" x14ac:dyDescent="0.2">
      <c r="A2434" s="6" t="s">
        <v>18</v>
      </c>
      <c r="B2434" s="7" t="s">
        <v>9</v>
      </c>
      <c r="C2434" s="7" t="s">
        <v>3019</v>
      </c>
      <c r="D2434" s="7">
        <v>1.4906737800000001</v>
      </c>
      <c r="E2434" s="7">
        <v>1.6408554</v>
      </c>
      <c r="F2434" s="9" t="str">
        <f t="shared" si="11"/>
        <v>Direct</v>
      </c>
      <c r="G2434" s="7" t="s">
        <v>2177</v>
      </c>
    </row>
    <row r="2435" spans="1:7" x14ac:dyDescent="0.2">
      <c r="A2435" s="6" t="s">
        <v>18</v>
      </c>
      <c r="B2435" s="7" t="s">
        <v>9</v>
      </c>
      <c r="C2435" s="7" t="s">
        <v>3020</v>
      </c>
      <c r="D2435" s="7">
        <v>-1.7346017</v>
      </c>
      <c r="E2435" s="7">
        <v>-1.2027368000000001</v>
      </c>
      <c r="F2435" s="9" t="str">
        <f t="shared" si="11"/>
        <v>Direct</v>
      </c>
      <c r="G2435" s="7" t="s">
        <v>83</v>
      </c>
    </row>
    <row r="2436" spans="1:7" x14ac:dyDescent="0.2">
      <c r="A2436" s="6" t="s">
        <v>18</v>
      </c>
      <c r="B2436" s="7" t="s">
        <v>9</v>
      </c>
      <c r="C2436" s="7" t="s">
        <v>3021</v>
      </c>
      <c r="D2436" s="7">
        <v>1.5380537400000001</v>
      </c>
      <c r="E2436" s="7">
        <v>1.5982886599999999</v>
      </c>
      <c r="F2436" s="9" t="str">
        <f t="shared" si="11"/>
        <v>Direct</v>
      </c>
      <c r="G2436" s="7" t="s">
        <v>106</v>
      </c>
    </row>
    <row r="2437" spans="1:7" x14ac:dyDescent="0.2">
      <c r="A2437" s="6" t="s">
        <v>18</v>
      </c>
      <c r="B2437" s="7" t="s">
        <v>9</v>
      </c>
      <c r="C2437" s="7" t="s">
        <v>3022</v>
      </c>
      <c r="D2437" s="7">
        <v>-2.0148564000000002</v>
      </c>
      <c r="E2437" s="7">
        <v>-1.3441725</v>
      </c>
      <c r="F2437" s="9" t="str">
        <f t="shared" si="11"/>
        <v>Direct</v>
      </c>
      <c r="G2437" s="7" t="s">
        <v>11</v>
      </c>
    </row>
    <row r="2438" spans="1:7" x14ac:dyDescent="0.2">
      <c r="A2438" s="6" t="s">
        <v>18</v>
      </c>
      <c r="B2438" s="7" t="s">
        <v>9</v>
      </c>
      <c r="C2438" s="7" t="s">
        <v>3023</v>
      </c>
      <c r="D2438" s="7">
        <v>1.4155347300000001</v>
      </c>
      <c r="E2438" s="7">
        <v>1.8795022299999999</v>
      </c>
      <c r="F2438" s="9" t="str">
        <f t="shared" si="11"/>
        <v>Direct</v>
      </c>
      <c r="G2438" s="7" t="s">
        <v>3024</v>
      </c>
    </row>
    <row r="2439" spans="1:7" x14ac:dyDescent="0.2">
      <c r="A2439" s="6" t="s">
        <v>18</v>
      </c>
      <c r="B2439" s="7" t="s">
        <v>9</v>
      </c>
      <c r="C2439" s="7" t="s">
        <v>3025</v>
      </c>
      <c r="D2439" s="7">
        <v>-3.5562311000000002</v>
      </c>
      <c r="E2439" s="7">
        <v>-1.1231062000000001</v>
      </c>
      <c r="F2439" s="9" t="str">
        <f t="shared" si="11"/>
        <v>Direct</v>
      </c>
      <c r="G2439" s="7" t="s">
        <v>11</v>
      </c>
    </row>
    <row r="2440" spans="1:7" x14ac:dyDescent="0.2">
      <c r="A2440" s="6" t="s">
        <v>18</v>
      </c>
      <c r="B2440" s="7" t="s">
        <v>9</v>
      </c>
      <c r="C2440" s="7" t="s">
        <v>3026</v>
      </c>
      <c r="D2440" s="7">
        <v>-1.3332006999999999</v>
      </c>
      <c r="E2440" s="7">
        <v>-4.3421358999999997</v>
      </c>
      <c r="F2440" s="9" t="str">
        <f t="shared" si="11"/>
        <v>Direct</v>
      </c>
      <c r="G2440" s="7" t="s">
        <v>11</v>
      </c>
    </row>
    <row r="2441" spans="1:7" x14ac:dyDescent="0.2">
      <c r="A2441" s="6" t="s">
        <v>18</v>
      </c>
      <c r="B2441" s="7" t="s">
        <v>9</v>
      </c>
      <c r="C2441" s="7" t="s">
        <v>3027</v>
      </c>
      <c r="D2441" s="7">
        <v>-6.1094160000000004</v>
      </c>
      <c r="E2441" s="7">
        <v>-2.6957021999999999</v>
      </c>
      <c r="F2441" s="9" t="str">
        <f t="shared" si="11"/>
        <v>Direct</v>
      </c>
      <c r="G2441" s="7" t="s">
        <v>814</v>
      </c>
    </row>
    <row r="2442" spans="1:7" x14ac:dyDescent="0.2">
      <c r="A2442" s="6" t="s">
        <v>18</v>
      </c>
      <c r="B2442" s="7" t="s">
        <v>9</v>
      </c>
      <c r="C2442" s="7" t="s">
        <v>3028</v>
      </c>
      <c r="D2442" s="7">
        <v>-3.2228854999999998</v>
      </c>
      <c r="E2442" s="7">
        <v>-6.2516606000000001</v>
      </c>
      <c r="F2442" s="9" t="str">
        <f t="shared" si="11"/>
        <v>Direct</v>
      </c>
      <c r="G2442" s="7" t="s">
        <v>2264</v>
      </c>
    </row>
    <row r="2443" spans="1:7" x14ac:dyDescent="0.2">
      <c r="A2443" s="6" t="s">
        <v>18</v>
      </c>
      <c r="B2443" s="7" t="s">
        <v>9</v>
      </c>
      <c r="C2443" s="7" t="s">
        <v>3029</v>
      </c>
      <c r="D2443" s="7">
        <v>-1.1373534000000001</v>
      </c>
      <c r="E2443" s="7">
        <v>-4.8885493999999996</v>
      </c>
      <c r="F2443" s="9" t="str">
        <f t="shared" si="11"/>
        <v>Direct</v>
      </c>
      <c r="G2443" s="7" t="s">
        <v>11</v>
      </c>
    </row>
    <row r="2444" spans="1:7" x14ac:dyDescent="0.2">
      <c r="A2444" s="6" t="s">
        <v>18</v>
      </c>
      <c r="B2444" s="7" t="s">
        <v>9</v>
      </c>
      <c r="C2444" s="7" t="s">
        <v>3030</v>
      </c>
      <c r="D2444" s="7">
        <v>2.76637544</v>
      </c>
      <c r="E2444" s="7">
        <v>5.5081878800000004</v>
      </c>
      <c r="F2444" s="9" t="str">
        <f t="shared" si="11"/>
        <v>Direct</v>
      </c>
      <c r="G2444" s="7" t="s">
        <v>3031</v>
      </c>
    </row>
    <row r="2445" spans="1:7" x14ac:dyDescent="0.2">
      <c r="A2445" s="6" t="s">
        <v>18</v>
      </c>
      <c r="B2445" s="7" t="s">
        <v>9</v>
      </c>
      <c r="C2445" s="7" t="s">
        <v>3032</v>
      </c>
      <c r="D2445" s="7">
        <v>2.4499884399999998</v>
      </c>
      <c r="E2445" s="7">
        <v>1.1849162900000001</v>
      </c>
      <c r="F2445" s="9" t="str">
        <f t="shared" si="11"/>
        <v>Direct</v>
      </c>
      <c r="G2445" s="7" t="s">
        <v>1362</v>
      </c>
    </row>
    <row r="2446" spans="1:7" x14ac:dyDescent="0.2">
      <c r="A2446" s="6" t="s">
        <v>18</v>
      </c>
      <c r="B2446" s="7" t="s">
        <v>9</v>
      </c>
      <c r="C2446" s="7" t="s">
        <v>3033</v>
      </c>
      <c r="D2446" s="7">
        <v>2.08534138</v>
      </c>
      <c r="E2446" s="7">
        <v>2.7699734899999999</v>
      </c>
      <c r="F2446" s="9" t="str">
        <f t="shared" si="11"/>
        <v>Direct</v>
      </c>
      <c r="G2446" s="7" t="s">
        <v>11</v>
      </c>
    </row>
    <row r="2447" spans="1:7" x14ac:dyDescent="0.2">
      <c r="A2447" s="6" t="s">
        <v>18</v>
      </c>
      <c r="B2447" s="7" t="s">
        <v>9</v>
      </c>
      <c r="C2447" s="7" t="s">
        <v>3034</v>
      </c>
      <c r="D2447" s="7">
        <v>4.7507666100000003</v>
      </c>
      <c r="E2447" s="7">
        <v>1.6164246499999999</v>
      </c>
      <c r="F2447" s="9" t="str">
        <f t="shared" si="11"/>
        <v>Direct</v>
      </c>
      <c r="G2447" s="7" t="s">
        <v>3035</v>
      </c>
    </row>
    <row r="2448" spans="1:7" x14ac:dyDescent="0.2">
      <c r="A2448" s="6" t="s">
        <v>18</v>
      </c>
      <c r="B2448" s="7" t="s">
        <v>9</v>
      </c>
      <c r="C2448" s="7" t="s">
        <v>3036</v>
      </c>
      <c r="D2448" s="7">
        <v>-1.7091206000000001</v>
      </c>
      <c r="E2448" s="7">
        <v>-1.5214704999999999</v>
      </c>
      <c r="F2448" s="9" t="str">
        <f t="shared" si="11"/>
        <v>Direct</v>
      </c>
      <c r="G2448" s="7" t="s">
        <v>886</v>
      </c>
    </row>
    <row r="2449" spans="1:7" x14ac:dyDescent="0.2">
      <c r="A2449" s="6" t="s">
        <v>18</v>
      </c>
      <c r="B2449" s="7" t="s">
        <v>9</v>
      </c>
      <c r="C2449" s="7" t="s">
        <v>3037</v>
      </c>
      <c r="D2449" s="7">
        <v>1.3920474300000001</v>
      </c>
      <c r="E2449" s="7">
        <v>2.7672605300000002</v>
      </c>
      <c r="F2449" s="9" t="str">
        <f t="shared" si="11"/>
        <v>Direct</v>
      </c>
      <c r="G2449" s="7" t="s">
        <v>11</v>
      </c>
    </row>
    <row r="2450" spans="1:7" x14ac:dyDescent="0.2">
      <c r="A2450" s="6" t="s">
        <v>18</v>
      </c>
      <c r="B2450" s="7" t="s">
        <v>9</v>
      </c>
      <c r="C2450" s="7" t="s">
        <v>3038</v>
      </c>
      <c r="D2450" s="7">
        <v>-1.1596580000000001</v>
      </c>
      <c r="E2450" s="7">
        <v>-1.1266872000000001</v>
      </c>
      <c r="F2450" s="9" t="str">
        <f t="shared" si="11"/>
        <v>Direct</v>
      </c>
      <c r="G2450" s="7" t="s">
        <v>3039</v>
      </c>
    </row>
    <row r="2451" spans="1:7" x14ac:dyDescent="0.2">
      <c r="A2451" s="6" t="s">
        <v>18</v>
      </c>
      <c r="B2451" s="7" t="s">
        <v>9</v>
      </c>
      <c r="C2451" s="7" t="s">
        <v>3040</v>
      </c>
      <c r="D2451" s="7">
        <v>-1.4591618</v>
      </c>
      <c r="E2451" s="7">
        <v>-1.371696</v>
      </c>
      <c r="F2451" s="9" t="str">
        <f t="shared" si="11"/>
        <v>Direct</v>
      </c>
      <c r="G2451" s="7" t="s">
        <v>3041</v>
      </c>
    </row>
    <row r="2452" spans="1:7" x14ac:dyDescent="0.2">
      <c r="A2452" s="6" t="s">
        <v>18</v>
      </c>
      <c r="B2452" s="7" t="s">
        <v>9</v>
      </c>
      <c r="C2452" s="7" t="s">
        <v>3042</v>
      </c>
      <c r="D2452" s="7">
        <v>1.12577529</v>
      </c>
      <c r="E2452" s="7">
        <v>3.1496810399999999</v>
      </c>
      <c r="F2452" s="9" t="str">
        <f t="shared" si="11"/>
        <v>Direct</v>
      </c>
      <c r="G2452" s="7" t="s">
        <v>1742</v>
      </c>
    </row>
    <row r="2453" spans="1:7" x14ac:dyDescent="0.2">
      <c r="A2453" s="6" t="s">
        <v>18</v>
      </c>
      <c r="B2453" s="7" t="s">
        <v>9</v>
      </c>
      <c r="C2453" s="7" t="s">
        <v>3043</v>
      </c>
      <c r="D2453" s="7">
        <v>-1.50353</v>
      </c>
      <c r="E2453" s="7">
        <v>-1.6058745999999999</v>
      </c>
      <c r="F2453" s="9" t="str">
        <f t="shared" si="11"/>
        <v>Direct</v>
      </c>
      <c r="G2453" s="7" t="s">
        <v>11</v>
      </c>
    </row>
    <row r="2454" spans="1:7" x14ac:dyDescent="0.2">
      <c r="A2454" s="6" t="s">
        <v>18</v>
      </c>
      <c r="B2454" s="7" t="s">
        <v>9</v>
      </c>
      <c r="C2454" s="7" t="s">
        <v>3044</v>
      </c>
      <c r="D2454" s="7">
        <v>-1.790483</v>
      </c>
      <c r="E2454" s="7">
        <v>-1.3357307</v>
      </c>
      <c r="F2454" s="9" t="str">
        <f t="shared" si="11"/>
        <v>Direct</v>
      </c>
      <c r="G2454" s="7" t="s">
        <v>11</v>
      </c>
    </row>
    <row r="2455" spans="1:7" x14ac:dyDescent="0.2">
      <c r="A2455" s="6" t="s">
        <v>18</v>
      </c>
      <c r="B2455" s="7" t="s">
        <v>9</v>
      </c>
      <c r="C2455" s="7" t="s">
        <v>3045</v>
      </c>
      <c r="D2455" s="7">
        <v>-1.7275152</v>
      </c>
      <c r="E2455" s="7">
        <v>-1.3623114000000001</v>
      </c>
      <c r="F2455" s="9" t="str">
        <f t="shared" si="11"/>
        <v>Direct</v>
      </c>
      <c r="G2455" s="7" t="s">
        <v>11</v>
      </c>
    </row>
    <row r="2456" spans="1:7" x14ac:dyDescent="0.2">
      <c r="A2456" s="6" t="s">
        <v>18</v>
      </c>
      <c r="B2456" s="7" t="s">
        <v>9</v>
      </c>
      <c r="C2456" s="7" t="s">
        <v>3046</v>
      </c>
      <c r="D2456" s="7">
        <v>1.1971147</v>
      </c>
      <c r="E2456" s="7">
        <v>3.7552561500000001</v>
      </c>
      <c r="F2456" s="9" t="str">
        <f t="shared" si="11"/>
        <v>Direct</v>
      </c>
      <c r="G2456" s="7" t="s">
        <v>3047</v>
      </c>
    </row>
    <row r="2457" spans="1:7" x14ac:dyDescent="0.2">
      <c r="A2457" s="6" t="s">
        <v>18</v>
      </c>
      <c r="B2457" s="7" t="s">
        <v>9</v>
      </c>
      <c r="C2457" s="7" t="s">
        <v>3048</v>
      </c>
      <c r="D2457" s="7">
        <v>-3.1959407999999998</v>
      </c>
      <c r="E2457" s="7">
        <v>-1.2145021</v>
      </c>
      <c r="F2457" s="9" t="str">
        <f t="shared" si="11"/>
        <v>Direct</v>
      </c>
      <c r="G2457" s="7" t="s">
        <v>1057</v>
      </c>
    </row>
    <row r="2458" spans="1:7" x14ac:dyDescent="0.2">
      <c r="A2458" s="6" t="s">
        <v>18</v>
      </c>
      <c r="B2458" s="7" t="s">
        <v>9</v>
      </c>
      <c r="C2458" s="7" t="s">
        <v>3049</v>
      </c>
      <c r="D2458" s="7">
        <v>3.4071245100000001</v>
      </c>
      <c r="E2458" s="7">
        <v>2.83572041</v>
      </c>
      <c r="F2458" s="9" t="str">
        <f t="shared" si="11"/>
        <v>Direct</v>
      </c>
      <c r="G2458" s="7" t="s">
        <v>11</v>
      </c>
    </row>
    <row r="2459" spans="1:7" x14ac:dyDescent="0.2">
      <c r="A2459" s="6" t="s">
        <v>18</v>
      </c>
      <c r="B2459" s="7" t="s">
        <v>9</v>
      </c>
      <c r="C2459" s="7" t="s">
        <v>3050</v>
      </c>
      <c r="D2459" s="7">
        <v>1.5566915299999999</v>
      </c>
      <c r="E2459" s="7">
        <v>1.26292537</v>
      </c>
      <c r="F2459" s="9" t="str">
        <f t="shared" si="11"/>
        <v>Direct</v>
      </c>
      <c r="G2459" s="7" t="s">
        <v>3051</v>
      </c>
    </row>
    <row r="2460" spans="1:7" x14ac:dyDescent="0.2">
      <c r="A2460" s="6" t="s">
        <v>18</v>
      </c>
      <c r="B2460" s="7" t="s">
        <v>9</v>
      </c>
      <c r="C2460" s="7" t="s">
        <v>3052</v>
      </c>
      <c r="D2460" s="7">
        <v>2.8230250799999999</v>
      </c>
      <c r="E2460" s="7">
        <v>1.8995943900000001</v>
      </c>
      <c r="F2460" s="9" t="str">
        <f t="shared" si="11"/>
        <v>Direct</v>
      </c>
      <c r="G2460" s="7" t="s">
        <v>3053</v>
      </c>
    </row>
    <row r="2461" spans="1:7" x14ac:dyDescent="0.2">
      <c r="A2461" s="6" t="s">
        <v>18</v>
      </c>
      <c r="B2461" s="7" t="s">
        <v>9</v>
      </c>
      <c r="C2461" s="7" t="s">
        <v>3054</v>
      </c>
      <c r="D2461" s="7">
        <v>1.30654041</v>
      </c>
      <c r="E2461" s="7">
        <v>1.39620129</v>
      </c>
      <c r="F2461" s="9" t="str">
        <f t="shared" si="11"/>
        <v>Direct</v>
      </c>
      <c r="G2461" s="7" t="s">
        <v>3055</v>
      </c>
    </row>
    <row r="2462" spans="1:7" x14ac:dyDescent="0.2">
      <c r="A2462" s="6" t="s">
        <v>18</v>
      </c>
      <c r="B2462" s="7" t="s">
        <v>9</v>
      </c>
      <c r="C2462" s="7" t="s">
        <v>3056</v>
      </c>
      <c r="D2462" s="7">
        <v>4.5129414700000003</v>
      </c>
      <c r="E2462" s="7">
        <v>2.9054330099999999</v>
      </c>
      <c r="F2462" s="9" t="str">
        <f t="shared" si="11"/>
        <v>Direct</v>
      </c>
      <c r="G2462" s="7" t="s">
        <v>11</v>
      </c>
    </row>
    <row r="2463" spans="1:7" x14ac:dyDescent="0.2">
      <c r="A2463" s="6" t="s">
        <v>18</v>
      </c>
      <c r="B2463" s="7" t="s">
        <v>9</v>
      </c>
      <c r="C2463" s="7" t="s">
        <v>3057</v>
      </c>
      <c r="D2463" s="7">
        <v>3.2397337199999998</v>
      </c>
      <c r="E2463" s="7">
        <v>1.11760689</v>
      </c>
      <c r="F2463" s="9" t="str">
        <f t="shared" si="11"/>
        <v>Direct</v>
      </c>
      <c r="G2463" s="7" t="s">
        <v>3058</v>
      </c>
    </row>
    <row r="2464" spans="1:7" x14ac:dyDescent="0.2">
      <c r="A2464" s="6" t="s">
        <v>18</v>
      </c>
      <c r="B2464" s="7" t="s">
        <v>9</v>
      </c>
      <c r="C2464" s="7" t="s">
        <v>3059</v>
      </c>
      <c r="D2464" s="7">
        <v>-1.9807060000000001</v>
      </c>
      <c r="E2464" s="7">
        <v>-1.5236018</v>
      </c>
      <c r="F2464" s="9" t="str">
        <f t="shared" si="11"/>
        <v>Direct</v>
      </c>
      <c r="G2464" s="7" t="s">
        <v>3060</v>
      </c>
    </row>
    <row r="2465" spans="1:7" x14ac:dyDescent="0.2">
      <c r="A2465" s="6" t="s">
        <v>18</v>
      </c>
      <c r="B2465" s="7" t="s">
        <v>9</v>
      </c>
      <c r="C2465" s="7" t="s">
        <v>3061</v>
      </c>
      <c r="D2465" s="7">
        <v>3.1779903200000001</v>
      </c>
      <c r="E2465" s="7">
        <v>2.1880946300000002</v>
      </c>
      <c r="F2465" s="9" t="str">
        <f t="shared" si="11"/>
        <v>Direct</v>
      </c>
      <c r="G2465" s="7" t="s">
        <v>1341</v>
      </c>
    </row>
    <row r="2466" spans="1:7" x14ac:dyDescent="0.2">
      <c r="A2466" s="6" t="s">
        <v>18</v>
      </c>
      <c r="B2466" s="7" t="s">
        <v>9</v>
      </c>
      <c r="C2466" s="7" t="s">
        <v>3062</v>
      </c>
      <c r="D2466" s="7">
        <v>2.5045511399999998</v>
      </c>
      <c r="E2466" s="7">
        <v>2.6309832000000002</v>
      </c>
      <c r="F2466" s="9" t="str">
        <f t="shared" si="11"/>
        <v>Direct</v>
      </c>
      <c r="G2466" s="7" t="s">
        <v>3063</v>
      </c>
    </row>
    <row r="2467" spans="1:7" x14ac:dyDescent="0.2">
      <c r="A2467" s="6" t="s">
        <v>18</v>
      </c>
      <c r="B2467" s="7" t="s">
        <v>9</v>
      </c>
      <c r="C2467" s="7" t="s">
        <v>3064</v>
      </c>
      <c r="D2467" s="7">
        <v>1.8293224400000001</v>
      </c>
      <c r="E2467" s="7">
        <v>1.0487661699999999</v>
      </c>
      <c r="F2467" s="9" t="str">
        <f t="shared" si="11"/>
        <v>Direct</v>
      </c>
      <c r="G2467" s="7" t="s">
        <v>11</v>
      </c>
    </row>
    <row r="2468" spans="1:7" x14ac:dyDescent="0.2">
      <c r="A2468" s="6" t="s">
        <v>18</v>
      </c>
      <c r="B2468" s="7" t="s">
        <v>9</v>
      </c>
      <c r="C2468" s="7" t="s">
        <v>3065</v>
      </c>
      <c r="D2468" s="7">
        <v>1.5437432099999999</v>
      </c>
      <c r="E2468" s="7">
        <v>1.40557895</v>
      </c>
      <c r="F2468" s="9" t="str">
        <f t="shared" si="11"/>
        <v>Direct</v>
      </c>
      <c r="G2468" s="7" t="s">
        <v>11</v>
      </c>
    </row>
    <row r="2469" spans="1:7" x14ac:dyDescent="0.2">
      <c r="A2469" s="6" t="s">
        <v>18</v>
      </c>
      <c r="B2469" s="7" t="s">
        <v>9</v>
      </c>
      <c r="C2469" s="7" t="s">
        <v>3066</v>
      </c>
      <c r="D2469" s="7">
        <v>1.2624837499999999</v>
      </c>
      <c r="E2469" s="7">
        <v>1.7148201300000001</v>
      </c>
      <c r="F2469" s="9" t="str">
        <f t="shared" si="11"/>
        <v>Direct</v>
      </c>
      <c r="G2469" s="7" t="s">
        <v>11</v>
      </c>
    </row>
    <row r="2470" spans="1:7" x14ac:dyDescent="0.2">
      <c r="A2470" s="6" t="s">
        <v>18</v>
      </c>
      <c r="B2470" s="7" t="s">
        <v>9</v>
      </c>
      <c r="C2470" s="7" t="s">
        <v>3067</v>
      </c>
      <c r="D2470" s="7">
        <v>1.2469066099999999</v>
      </c>
      <c r="E2470" s="7">
        <v>1.5345696799999999</v>
      </c>
      <c r="F2470" s="9" t="str">
        <f t="shared" si="11"/>
        <v>Direct</v>
      </c>
      <c r="G2470" s="7" t="s">
        <v>3068</v>
      </c>
    </row>
    <row r="2471" spans="1:7" x14ac:dyDescent="0.2">
      <c r="A2471" s="6" t="s">
        <v>18</v>
      </c>
      <c r="B2471" s="7" t="s">
        <v>9</v>
      </c>
      <c r="C2471" s="7" t="s">
        <v>3069</v>
      </c>
      <c r="D2471" s="7">
        <v>-1.2847029000000001</v>
      </c>
      <c r="E2471" s="7">
        <v>-1.8963444</v>
      </c>
      <c r="F2471" s="9" t="str">
        <f t="shared" si="11"/>
        <v>Direct</v>
      </c>
      <c r="G2471" s="7" t="s">
        <v>11</v>
      </c>
    </row>
    <row r="2472" spans="1:7" x14ac:dyDescent="0.2">
      <c r="A2472" s="6" t="s">
        <v>18</v>
      </c>
      <c r="B2472" s="7" t="s">
        <v>9</v>
      </c>
      <c r="C2472" s="7" t="s">
        <v>3070</v>
      </c>
      <c r="D2472" s="7">
        <v>-6.3830106000000004</v>
      </c>
      <c r="E2472" s="7">
        <v>-6.9138459000000001</v>
      </c>
      <c r="F2472" s="9" t="str">
        <f t="shared" si="11"/>
        <v>Direct</v>
      </c>
      <c r="G2472" s="7" t="s">
        <v>3071</v>
      </c>
    </row>
    <row r="2473" spans="1:7" x14ac:dyDescent="0.2">
      <c r="A2473" s="6" t="s">
        <v>18</v>
      </c>
      <c r="B2473" s="7" t="s">
        <v>9</v>
      </c>
      <c r="C2473" s="7" t="s">
        <v>3072</v>
      </c>
      <c r="D2473" s="7">
        <v>1.56986377</v>
      </c>
      <c r="E2473" s="7">
        <v>1.38031817</v>
      </c>
      <c r="F2473" s="9" t="str">
        <f t="shared" si="11"/>
        <v>Direct</v>
      </c>
      <c r="G2473" s="7" t="s">
        <v>11</v>
      </c>
    </row>
    <row r="2474" spans="1:7" x14ac:dyDescent="0.2">
      <c r="A2474" s="6" t="s">
        <v>18</v>
      </c>
      <c r="B2474" s="7" t="s">
        <v>9</v>
      </c>
      <c r="C2474" s="7" t="s">
        <v>3073</v>
      </c>
      <c r="D2474" s="7">
        <v>-1.6189146999999999</v>
      </c>
      <c r="E2474" s="7">
        <v>-1.914782</v>
      </c>
      <c r="F2474" s="9" t="str">
        <f t="shared" si="11"/>
        <v>Direct</v>
      </c>
      <c r="G2474" s="7" t="s">
        <v>3074</v>
      </c>
    </row>
    <row r="2475" spans="1:7" x14ac:dyDescent="0.2">
      <c r="A2475" s="6" t="s">
        <v>18</v>
      </c>
      <c r="B2475" s="7" t="s">
        <v>9</v>
      </c>
      <c r="C2475" s="7" t="s">
        <v>3075</v>
      </c>
      <c r="D2475" s="7">
        <v>2.30305917</v>
      </c>
      <c r="E2475" s="7">
        <v>3.55604984</v>
      </c>
      <c r="F2475" s="9" t="str">
        <f t="shared" si="11"/>
        <v>Direct</v>
      </c>
      <c r="G2475" s="7" t="s">
        <v>11</v>
      </c>
    </row>
    <row r="2476" spans="1:7" x14ac:dyDescent="0.2">
      <c r="A2476" s="6" t="s">
        <v>18</v>
      </c>
      <c r="B2476" s="7" t="s">
        <v>9</v>
      </c>
      <c r="C2476" s="7" t="s">
        <v>3076</v>
      </c>
      <c r="D2476" s="7">
        <v>1.3332006599999999</v>
      </c>
      <c r="E2476" s="7">
        <v>1.1275269999999999</v>
      </c>
      <c r="F2476" s="9" t="str">
        <f t="shared" si="11"/>
        <v>Direct</v>
      </c>
      <c r="G2476" s="7" t="s">
        <v>11</v>
      </c>
    </row>
    <row r="2477" spans="1:7" x14ac:dyDescent="0.2">
      <c r="A2477" s="6" t="s">
        <v>18</v>
      </c>
      <c r="B2477" s="7" t="s">
        <v>9</v>
      </c>
      <c r="C2477" s="7" t="s">
        <v>3077</v>
      </c>
      <c r="D2477" s="7">
        <v>-1.1157629</v>
      </c>
      <c r="E2477" s="7">
        <v>-1.0630484</v>
      </c>
      <c r="F2477" s="9" t="str">
        <f t="shared" si="11"/>
        <v>Direct</v>
      </c>
      <c r="G2477" s="7" t="s">
        <v>11</v>
      </c>
    </row>
    <row r="2478" spans="1:7" x14ac:dyDescent="0.2">
      <c r="A2478" s="6" t="s">
        <v>18</v>
      </c>
      <c r="B2478" s="7" t="s">
        <v>9</v>
      </c>
      <c r="C2478" s="7" t="s">
        <v>3078</v>
      </c>
      <c r="D2478" s="7">
        <v>-1.0165999999999999</v>
      </c>
      <c r="E2478" s="7">
        <v>-1.9735868000000001</v>
      </c>
      <c r="F2478" s="9" t="str">
        <f t="shared" si="11"/>
        <v>Direct</v>
      </c>
      <c r="G2478" s="7" t="s">
        <v>11</v>
      </c>
    </row>
    <row r="2479" spans="1:7" x14ac:dyDescent="0.2">
      <c r="A2479" s="6" t="s">
        <v>18</v>
      </c>
      <c r="B2479" s="7" t="s">
        <v>9</v>
      </c>
      <c r="C2479" s="7" t="s">
        <v>3079</v>
      </c>
      <c r="D2479" s="7">
        <v>-1.1355926000000001</v>
      </c>
      <c r="E2479" s="7">
        <v>1.4060155000000001</v>
      </c>
      <c r="F2479" s="9" t="str">
        <f t="shared" si="11"/>
        <v>Inverse</v>
      </c>
      <c r="G2479" s="7" t="s">
        <v>11</v>
      </c>
    </row>
    <row r="2480" spans="1:7" x14ac:dyDescent="0.2">
      <c r="A2480" s="6" t="s">
        <v>18</v>
      </c>
      <c r="B2480" s="7" t="s">
        <v>9</v>
      </c>
      <c r="C2480" s="7" t="s">
        <v>3080</v>
      </c>
      <c r="D2480" s="7">
        <v>-6.1017742000000004</v>
      </c>
      <c r="E2480" s="7">
        <v>-3.075186</v>
      </c>
      <c r="F2480" s="9" t="str">
        <f t="shared" si="11"/>
        <v>Direct</v>
      </c>
      <c r="G2480" s="7" t="s">
        <v>1264</v>
      </c>
    </row>
    <row r="2481" spans="1:7" x14ac:dyDescent="0.2">
      <c r="A2481" s="6" t="s">
        <v>18</v>
      </c>
      <c r="B2481" s="7" t="s">
        <v>9</v>
      </c>
      <c r="C2481" s="7" t="s">
        <v>3081</v>
      </c>
      <c r="D2481" s="7">
        <v>-1.8830553000000001</v>
      </c>
      <c r="E2481" s="7">
        <v>-1.6991902000000001</v>
      </c>
      <c r="F2481" s="9" t="str">
        <f t="shared" si="11"/>
        <v>Direct</v>
      </c>
      <c r="G2481" s="7" t="s">
        <v>11</v>
      </c>
    </row>
    <row r="2482" spans="1:7" x14ac:dyDescent="0.2">
      <c r="A2482" s="6" t="s">
        <v>18</v>
      </c>
      <c r="B2482" s="7" t="s">
        <v>9</v>
      </c>
      <c r="C2482" s="7" t="s">
        <v>3082</v>
      </c>
      <c r="D2482" s="7">
        <v>-1.3390352999999999</v>
      </c>
      <c r="E2482" s="7">
        <v>-1.0691261000000001</v>
      </c>
      <c r="F2482" s="9" t="str">
        <f t="shared" si="11"/>
        <v>Direct</v>
      </c>
      <c r="G2482" s="7" t="s">
        <v>11</v>
      </c>
    </row>
    <row r="2483" spans="1:7" x14ac:dyDescent="0.2">
      <c r="A2483" s="6" t="s">
        <v>18</v>
      </c>
      <c r="B2483" s="7" t="s">
        <v>9</v>
      </c>
      <c r="C2483" s="7" t="s">
        <v>3083</v>
      </c>
      <c r="D2483" s="7">
        <v>-1.3149238999999999</v>
      </c>
      <c r="E2483" s="7">
        <v>-1.4884976999999999</v>
      </c>
      <c r="F2483" s="9" t="str">
        <f t="shared" si="11"/>
        <v>Direct</v>
      </c>
      <c r="G2483" s="7" t="s">
        <v>977</v>
      </c>
    </row>
    <row r="2484" spans="1:7" x14ac:dyDescent="0.2">
      <c r="A2484" s="6" t="s">
        <v>18</v>
      </c>
      <c r="B2484" s="7" t="s">
        <v>9</v>
      </c>
      <c r="C2484" s="7" t="s">
        <v>3084</v>
      </c>
      <c r="D2484" s="7">
        <v>-1.9762431</v>
      </c>
      <c r="E2484" s="7">
        <v>-1.0393806000000001</v>
      </c>
      <c r="F2484" s="9" t="str">
        <f t="shared" si="11"/>
        <v>Direct</v>
      </c>
      <c r="G2484" s="7" t="s">
        <v>3085</v>
      </c>
    </row>
    <row r="2485" spans="1:7" x14ac:dyDescent="0.2">
      <c r="A2485" s="6" t="s">
        <v>18</v>
      </c>
      <c r="B2485" s="7" t="s">
        <v>9</v>
      </c>
      <c r="C2485" s="7" t="s">
        <v>3086</v>
      </c>
      <c r="D2485" s="7">
        <v>-1.3105545999999999</v>
      </c>
      <c r="E2485" s="7">
        <v>-2.7391665000000001</v>
      </c>
      <c r="F2485" s="9" t="str">
        <f t="shared" si="11"/>
        <v>Direct</v>
      </c>
      <c r="G2485" s="7" t="s">
        <v>11</v>
      </c>
    </row>
    <row r="2486" spans="1:7" x14ac:dyDescent="0.2">
      <c r="A2486" s="6" t="s">
        <v>18</v>
      </c>
      <c r="B2486" s="7" t="s">
        <v>9</v>
      </c>
      <c r="C2486" s="7" t="s">
        <v>3087</v>
      </c>
      <c r="D2486" s="7">
        <v>1.3776204299999999</v>
      </c>
      <c r="E2486" s="7">
        <v>3.3079106899999999</v>
      </c>
      <c r="F2486" s="9" t="str">
        <f t="shared" si="11"/>
        <v>Direct</v>
      </c>
      <c r="G2486" s="7" t="s">
        <v>11</v>
      </c>
    </row>
    <row r="2487" spans="1:7" x14ac:dyDescent="0.2">
      <c r="A2487" s="6" t="s">
        <v>18</v>
      </c>
      <c r="B2487" s="7" t="s">
        <v>9</v>
      </c>
      <c r="C2487" s="7" t="s">
        <v>3088</v>
      </c>
      <c r="D2487" s="7">
        <v>1.0636015999999999</v>
      </c>
      <c r="E2487" s="7">
        <v>1.0055587399999999</v>
      </c>
      <c r="F2487" s="9" t="str">
        <f t="shared" si="11"/>
        <v>Direct</v>
      </c>
      <c r="G2487" s="7" t="s">
        <v>200</v>
      </c>
    </row>
    <row r="2488" spans="1:7" x14ac:dyDescent="0.2">
      <c r="A2488" s="6" t="s">
        <v>18</v>
      </c>
      <c r="B2488" s="7" t="s">
        <v>9</v>
      </c>
      <c r="C2488" s="7" t="s">
        <v>3089</v>
      </c>
      <c r="D2488" s="7">
        <v>-1.9696066999999999</v>
      </c>
      <c r="E2488" s="7">
        <v>-1.3496115</v>
      </c>
      <c r="F2488" s="9" t="str">
        <f t="shared" si="11"/>
        <v>Direct</v>
      </c>
      <c r="G2488" s="7" t="s">
        <v>11</v>
      </c>
    </row>
    <row r="2489" spans="1:7" x14ac:dyDescent="0.2">
      <c r="A2489" s="6" t="s">
        <v>18</v>
      </c>
      <c r="B2489" s="7" t="s">
        <v>9</v>
      </c>
      <c r="C2489" s="7" t="s">
        <v>3090</v>
      </c>
      <c r="D2489" s="7">
        <v>1.4499083100000001</v>
      </c>
      <c r="E2489" s="7">
        <v>2.7858306599999998</v>
      </c>
      <c r="F2489" s="9" t="str">
        <f t="shared" si="11"/>
        <v>Direct</v>
      </c>
      <c r="G2489" s="7" t="s">
        <v>3091</v>
      </c>
    </row>
    <row r="2490" spans="1:7" x14ac:dyDescent="0.2">
      <c r="A2490" s="6" t="s">
        <v>18</v>
      </c>
      <c r="B2490" s="7" t="s">
        <v>9</v>
      </c>
      <c r="C2490" s="7" t="s">
        <v>3092</v>
      </c>
      <c r="D2490" s="7">
        <v>-1.3807073999999999</v>
      </c>
      <c r="E2490" s="7">
        <v>-1.6787608999999999</v>
      </c>
      <c r="F2490" s="9" t="str">
        <f t="shared" si="11"/>
        <v>Direct</v>
      </c>
      <c r="G2490" s="7" t="s">
        <v>11</v>
      </c>
    </row>
    <row r="2491" spans="1:7" x14ac:dyDescent="0.2">
      <c r="A2491" s="6" t="s">
        <v>18</v>
      </c>
      <c r="B2491" s="7" t="s">
        <v>9</v>
      </c>
      <c r="C2491" s="7" t="s">
        <v>3093</v>
      </c>
      <c r="D2491" s="7">
        <v>1.11864108</v>
      </c>
      <c r="E2491" s="7">
        <v>1.29182109</v>
      </c>
      <c r="F2491" s="9" t="str">
        <f t="shared" si="11"/>
        <v>Direct</v>
      </c>
      <c r="G2491" s="7" t="s">
        <v>11</v>
      </c>
    </row>
    <row r="2492" spans="1:7" x14ac:dyDescent="0.2">
      <c r="A2492" s="6" t="s">
        <v>18</v>
      </c>
      <c r="B2492" s="7" t="s">
        <v>9</v>
      </c>
      <c r="C2492" s="7" t="s">
        <v>3094</v>
      </c>
      <c r="D2492" s="7">
        <v>2.5652721500000002</v>
      </c>
      <c r="E2492" s="7">
        <v>5.2109255900000004</v>
      </c>
      <c r="F2492" s="9" t="str">
        <f t="shared" si="11"/>
        <v>Direct</v>
      </c>
      <c r="G2492" s="7" t="s">
        <v>11</v>
      </c>
    </row>
    <row r="2493" spans="1:7" x14ac:dyDescent="0.2">
      <c r="A2493" s="6" t="s">
        <v>18</v>
      </c>
      <c r="B2493" s="7" t="s">
        <v>9</v>
      </c>
      <c r="C2493" s="7" t="s">
        <v>3095</v>
      </c>
      <c r="D2493" s="7">
        <v>1.8800526</v>
      </c>
      <c r="E2493" s="7">
        <v>1.56227524</v>
      </c>
      <c r="F2493" s="9" t="str">
        <f t="shared" si="11"/>
        <v>Direct</v>
      </c>
      <c r="G2493" s="7" t="s">
        <v>3096</v>
      </c>
    </row>
    <row r="2494" spans="1:7" x14ac:dyDescent="0.2">
      <c r="A2494" s="6" t="s">
        <v>18</v>
      </c>
      <c r="B2494" s="7" t="s">
        <v>9</v>
      </c>
      <c r="C2494" s="7" t="s">
        <v>3097</v>
      </c>
      <c r="D2494" s="7">
        <v>-1.6523277999999999</v>
      </c>
      <c r="E2494" s="7">
        <v>-2.1858124999999999</v>
      </c>
      <c r="F2494" s="9" t="str">
        <f t="shared" si="11"/>
        <v>Direct</v>
      </c>
      <c r="G2494" s="7" t="s">
        <v>35</v>
      </c>
    </row>
    <row r="2495" spans="1:7" x14ac:dyDescent="0.2">
      <c r="A2495" s="6" t="s">
        <v>18</v>
      </c>
      <c r="B2495" s="7" t="s">
        <v>9</v>
      </c>
      <c r="C2495" s="7" t="s">
        <v>3098</v>
      </c>
      <c r="D2495" s="7">
        <v>1.35025204</v>
      </c>
      <c r="E2495" s="7">
        <v>3.3404641800000001</v>
      </c>
      <c r="F2495" s="9" t="str">
        <f t="shared" si="11"/>
        <v>Direct</v>
      </c>
      <c r="G2495" s="7" t="s">
        <v>11</v>
      </c>
    </row>
    <row r="2496" spans="1:7" x14ac:dyDescent="0.2">
      <c r="A2496" s="6" t="s">
        <v>18</v>
      </c>
      <c r="B2496" s="7" t="s">
        <v>9</v>
      </c>
      <c r="C2496" s="7" t="s">
        <v>3099</v>
      </c>
      <c r="D2496" s="7">
        <v>3.7613887300000002</v>
      </c>
      <c r="E2496" s="7">
        <v>1.31044502</v>
      </c>
      <c r="F2496" s="9" t="str">
        <f t="shared" si="11"/>
        <v>Direct</v>
      </c>
      <c r="G2496" s="7" t="s">
        <v>200</v>
      </c>
    </row>
    <row r="2497" spans="1:7" x14ac:dyDescent="0.2">
      <c r="A2497" s="6" t="s">
        <v>18</v>
      </c>
      <c r="B2497" s="7" t="s">
        <v>9</v>
      </c>
      <c r="C2497" s="7" t="s">
        <v>3100</v>
      </c>
      <c r="D2497" s="7">
        <v>-2.2226905000000001</v>
      </c>
      <c r="E2497" s="7">
        <v>-1.1800041999999999</v>
      </c>
      <c r="F2497" s="9" t="str">
        <f t="shared" si="11"/>
        <v>Direct</v>
      </c>
      <c r="G2497" s="7" t="s">
        <v>3101</v>
      </c>
    </row>
    <row r="2498" spans="1:7" x14ac:dyDescent="0.2">
      <c r="A2498" s="6" t="s">
        <v>18</v>
      </c>
      <c r="B2498" s="7" t="s">
        <v>9</v>
      </c>
      <c r="C2498" s="7" t="s">
        <v>3102</v>
      </c>
      <c r="D2498" s="7">
        <v>2.3333063200000002</v>
      </c>
      <c r="E2498" s="7">
        <v>3.2489336999999998</v>
      </c>
      <c r="F2498" s="9" t="str">
        <f t="shared" si="11"/>
        <v>Direct</v>
      </c>
      <c r="G2498" s="7" t="s">
        <v>11</v>
      </c>
    </row>
    <row r="2499" spans="1:7" x14ac:dyDescent="0.2">
      <c r="A2499" s="6" t="s">
        <v>18</v>
      </c>
      <c r="B2499" s="7" t="s">
        <v>9</v>
      </c>
      <c r="C2499" s="7" t="s">
        <v>3103</v>
      </c>
      <c r="D2499" s="7">
        <v>1.57968398</v>
      </c>
      <c r="E2499" s="7">
        <v>1.7678719599999999</v>
      </c>
      <c r="F2499" s="9" t="str">
        <f t="shared" si="11"/>
        <v>Direct</v>
      </c>
      <c r="G2499" s="7" t="s">
        <v>11</v>
      </c>
    </row>
    <row r="2500" spans="1:7" x14ac:dyDescent="0.2">
      <c r="A2500" s="6" t="s">
        <v>18</v>
      </c>
      <c r="B2500" s="7" t="s">
        <v>9</v>
      </c>
      <c r="C2500" s="7" t="s">
        <v>3104</v>
      </c>
      <c r="D2500" s="7">
        <v>2.2226905000000001</v>
      </c>
      <c r="E2500" s="7">
        <v>1.8338038400000001</v>
      </c>
      <c r="F2500" s="9" t="str">
        <f t="shared" si="11"/>
        <v>Direct</v>
      </c>
      <c r="G2500" s="7" t="s">
        <v>11</v>
      </c>
    </row>
    <row r="2501" spans="1:7" x14ac:dyDescent="0.2">
      <c r="A2501" s="6" t="s">
        <v>18</v>
      </c>
      <c r="B2501" s="7" t="s">
        <v>9</v>
      </c>
      <c r="C2501" s="7" t="s">
        <v>3105</v>
      </c>
      <c r="D2501" s="7">
        <v>-1.1442881</v>
      </c>
      <c r="E2501" s="7">
        <v>-1.1310857000000001</v>
      </c>
      <c r="F2501" s="9" t="str">
        <f t="shared" si="11"/>
        <v>Direct</v>
      </c>
      <c r="G2501" s="7" t="s">
        <v>909</v>
      </c>
    </row>
    <row r="2502" spans="1:7" x14ac:dyDescent="0.2">
      <c r="A2502" s="6" t="s">
        <v>18</v>
      </c>
      <c r="B2502" s="7" t="s">
        <v>9</v>
      </c>
      <c r="C2502" s="7" t="s">
        <v>3106</v>
      </c>
      <c r="D2502" s="7">
        <v>-1.3140342</v>
      </c>
      <c r="E2502" s="7">
        <v>-1.0393806000000001</v>
      </c>
      <c r="F2502" s="9" t="str">
        <f t="shared" si="11"/>
        <v>Direct</v>
      </c>
      <c r="G2502" s="7" t="s">
        <v>11</v>
      </c>
    </row>
    <row r="2503" spans="1:7" x14ac:dyDescent="0.2">
      <c r="A2503" s="6" t="s">
        <v>18</v>
      </c>
      <c r="B2503" s="7" t="s">
        <v>9</v>
      </c>
      <c r="C2503" s="7" t="s">
        <v>3107</v>
      </c>
      <c r="D2503" s="7">
        <v>-2.4717666</v>
      </c>
      <c r="E2503" s="7">
        <v>-2.1835594999999999</v>
      </c>
      <c r="F2503" s="9" t="str">
        <f t="shared" si="11"/>
        <v>Direct</v>
      </c>
      <c r="G2503" s="7" t="s">
        <v>11</v>
      </c>
    </row>
    <row r="2504" spans="1:7" x14ac:dyDescent="0.2">
      <c r="A2504" s="6" t="s">
        <v>18</v>
      </c>
      <c r="B2504" s="7" t="s">
        <v>9</v>
      </c>
      <c r="C2504" s="7" t="s">
        <v>3108</v>
      </c>
      <c r="D2504" s="7">
        <v>2.2740686299999999</v>
      </c>
      <c r="E2504" s="7">
        <v>2.20484122</v>
      </c>
      <c r="F2504" s="9" t="str">
        <f t="shared" si="11"/>
        <v>Direct</v>
      </c>
      <c r="G2504" s="7" t="s">
        <v>11</v>
      </c>
    </row>
    <row r="2505" spans="1:7" x14ac:dyDescent="0.2">
      <c r="A2505" s="6" t="s">
        <v>18</v>
      </c>
      <c r="B2505" s="7" t="s">
        <v>9</v>
      </c>
      <c r="C2505" s="7" t="s">
        <v>3109</v>
      </c>
      <c r="D2505" s="7">
        <v>2.8896623099999998</v>
      </c>
      <c r="E2505" s="7">
        <v>1.19637499</v>
      </c>
      <c r="F2505" s="9" t="str">
        <f t="shared" si="11"/>
        <v>Direct</v>
      </c>
      <c r="G2505" s="7" t="s">
        <v>11</v>
      </c>
    </row>
    <row r="2506" spans="1:7" x14ac:dyDescent="0.2">
      <c r="A2506" s="6" t="s">
        <v>18</v>
      </c>
      <c r="B2506" s="7" t="s">
        <v>9</v>
      </c>
      <c r="C2506" s="7" t="s">
        <v>3110</v>
      </c>
      <c r="D2506" s="7">
        <v>-2.0987420999999999</v>
      </c>
      <c r="E2506" s="7">
        <v>-1.1312224</v>
      </c>
      <c r="F2506" s="9" t="str">
        <f t="shared" si="11"/>
        <v>Direct</v>
      </c>
      <c r="G2506" s="7" t="s">
        <v>3111</v>
      </c>
    </row>
    <row r="2507" spans="1:7" x14ac:dyDescent="0.2">
      <c r="A2507" s="6" t="s">
        <v>18</v>
      </c>
      <c r="B2507" s="7" t="s">
        <v>9</v>
      </c>
      <c r="C2507" s="7" t="s">
        <v>3112</v>
      </c>
      <c r="D2507" s="7">
        <v>2.6793568799999998</v>
      </c>
      <c r="E2507" s="7">
        <v>5.63942896</v>
      </c>
      <c r="F2507" s="9" t="str">
        <f t="shared" si="11"/>
        <v>Direct</v>
      </c>
      <c r="G2507" s="7" t="s">
        <v>11</v>
      </c>
    </row>
    <row r="2508" spans="1:7" x14ac:dyDescent="0.2">
      <c r="A2508" s="6" t="s">
        <v>18</v>
      </c>
      <c r="B2508" s="7" t="s">
        <v>9</v>
      </c>
      <c r="C2508" s="7" t="s">
        <v>3113</v>
      </c>
      <c r="D2508" s="7">
        <v>1.54121508</v>
      </c>
      <c r="E2508" s="7">
        <v>1.8477096200000001</v>
      </c>
      <c r="F2508" s="9" t="str">
        <f t="shared" si="11"/>
        <v>Direct</v>
      </c>
      <c r="G2508" s="7" t="s">
        <v>11</v>
      </c>
    </row>
    <row r="2509" spans="1:7" x14ac:dyDescent="0.2">
      <c r="A2509" s="6" t="s">
        <v>18</v>
      </c>
      <c r="B2509" s="7" t="s">
        <v>9</v>
      </c>
      <c r="C2509" s="7" t="s">
        <v>3114</v>
      </c>
      <c r="D2509" s="7">
        <v>-1.9710266000000001</v>
      </c>
      <c r="E2509" s="7">
        <v>-1.7199982</v>
      </c>
      <c r="F2509" s="9" t="str">
        <f t="shared" si="11"/>
        <v>Direct</v>
      </c>
      <c r="G2509" s="7" t="s">
        <v>11</v>
      </c>
    </row>
    <row r="2510" spans="1:7" x14ac:dyDescent="0.2">
      <c r="A2510" s="6" t="s">
        <v>18</v>
      </c>
      <c r="B2510" s="7" t="s">
        <v>9</v>
      </c>
      <c r="C2510" s="7" t="s">
        <v>3115</v>
      </c>
      <c r="D2510" s="7">
        <v>2.53820902</v>
      </c>
      <c r="E2510" s="7">
        <v>2.4274061699999998</v>
      </c>
      <c r="F2510" s="9" t="str">
        <f t="shared" si="11"/>
        <v>Direct</v>
      </c>
      <c r="G2510" s="7" t="s">
        <v>11</v>
      </c>
    </row>
    <row r="2511" spans="1:7" x14ac:dyDescent="0.2">
      <c r="A2511" s="6" t="s">
        <v>18</v>
      </c>
      <c r="B2511" s="7" t="s">
        <v>9</v>
      </c>
      <c r="C2511" s="7" t="s">
        <v>3116</v>
      </c>
      <c r="D2511" s="7">
        <v>1.3423415700000001</v>
      </c>
      <c r="E2511" s="7">
        <v>1.07338014</v>
      </c>
      <c r="F2511" s="9" t="str">
        <f t="shared" si="11"/>
        <v>Direct</v>
      </c>
      <c r="G2511" s="7" t="s">
        <v>11</v>
      </c>
    </row>
    <row r="2512" spans="1:7" x14ac:dyDescent="0.2">
      <c r="A2512" s="6" t="s">
        <v>18</v>
      </c>
      <c r="B2512" s="7" t="s">
        <v>9</v>
      </c>
      <c r="C2512" s="7" t="s">
        <v>3117</v>
      </c>
      <c r="D2512" s="7">
        <v>-4.4901242000000003</v>
      </c>
      <c r="E2512" s="7">
        <v>-1.161413</v>
      </c>
      <c r="F2512" s="9" t="str">
        <f t="shared" si="11"/>
        <v>Direct</v>
      </c>
      <c r="G2512" s="7" t="s">
        <v>3118</v>
      </c>
    </row>
    <row r="2513" spans="1:7" x14ac:dyDescent="0.2">
      <c r="A2513" s="6" t="s">
        <v>18</v>
      </c>
      <c r="B2513" s="7" t="s">
        <v>9</v>
      </c>
      <c r="C2513" s="7" t="s">
        <v>3119</v>
      </c>
      <c r="D2513" s="7">
        <v>-1.0117792000000001</v>
      </c>
      <c r="E2513" s="7">
        <v>-1.0740312000000001</v>
      </c>
      <c r="F2513" s="9" t="str">
        <f t="shared" si="11"/>
        <v>Direct</v>
      </c>
      <c r="G2513" s="7" t="s">
        <v>3120</v>
      </c>
    </row>
    <row r="2514" spans="1:7" x14ac:dyDescent="0.2">
      <c r="A2514" s="6" t="s">
        <v>18</v>
      </c>
      <c r="B2514" s="7" t="s">
        <v>9</v>
      </c>
      <c r="C2514" s="7" t="s">
        <v>3121</v>
      </c>
      <c r="D2514" s="7">
        <v>-1.3437158</v>
      </c>
      <c r="E2514" s="7">
        <v>-2.5941366000000001</v>
      </c>
      <c r="F2514" s="9" t="str">
        <f t="shared" si="11"/>
        <v>Direct</v>
      </c>
      <c r="G2514" s="7" t="s">
        <v>3122</v>
      </c>
    </row>
    <row r="2515" spans="1:7" x14ac:dyDescent="0.2">
      <c r="A2515" s="6" t="s">
        <v>18</v>
      </c>
      <c r="B2515" s="7" t="s">
        <v>9</v>
      </c>
      <c r="C2515" s="7" t="s">
        <v>3123</v>
      </c>
      <c r="D2515" s="7">
        <v>-3.1779902999999998</v>
      </c>
      <c r="E2515" s="7">
        <v>-2.2690882999999999</v>
      </c>
      <c r="F2515" s="9" t="str">
        <f t="shared" si="11"/>
        <v>Direct</v>
      </c>
      <c r="G2515" s="7" t="s">
        <v>849</v>
      </c>
    </row>
    <row r="2516" spans="1:7" x14ac:dyDescent="0.2">
      <c r="A2516" s="6" t="s">
        <v>18</v>
      </c>
      <c r="B2516" s="7" t="s">
        <v>9</v>
      </c>
      <c r="C2516" s="7" t="s">
        <v>3124</v>
      </c>
      <c r="D2516" s="7">
        <v>-2.5173502999999999</v>
      </c>
      <c r="E2516" s="7">
        <v>-2.6243569999999998</v>
      </c>
      <c r="F2516" s="9" t="str">
        <f t="shared" si="11"/>
        <v>Direct</v>
      </c>
      <c r="G2516" s="7" t="s">
        <v>11</v>
      </c>
    </row>
    <row r="2517" spans="1:7" x14ac:dyDescent="0.2">
      <c r="A2517" s="6" t="s">
        <v>18</v>
      </c>
      <c r="B2517" s="7" t="s">
        <v>9</v>
      </c>
      <c r="C2517" s="7" t="s">
        <v>3125</v>
      </c>
      <c r="D2517" s="7">
        <v>-8.1319780999999995</v>
      </c>
      <c r="E2517" s="7">
        <v>-6.7808209000000002</v>
      </c>
      <c r="F2517" s="9" t="str">
        <f t="shared" si="11"/>
        <v>Direct</v>
      </c>
      <c r="G2517" s="7" t="s">
        <v>3126</v>
      </c>
    </row>
    <row r="2518" spans="1:7" x14ac:dyDescent="0.2">
      <c r="A2518" s="6" t="s">
        <v>18</v>
      </c>
      <c r="B2518" s="7" t="s">
        <v>9</v>
      </c>
      <c r="C2518" s="7" t="s">
        <v>3127</v>
      </c>
      <c r="D2518" s="7">
        <v>1.60531139</v>
      </c>
      <c r="E2518" s="7">
        <v>2.5370667899999999</v>
      </c>
      <c r="F2518" s="9" t="str">
        <f t="shared" si="11"/>
        <v>Direct</v>
      </c>
      <c r="G2518" s="7" t="s">
        <v>716</v>
      </c>
    </row>
    <row r="2519" spans="1:7" x14ac:dyDescent="0.2">
      <c r="A2519" s="6" t="s">
        <v>18</v>
      </c>
      <c r="B2519" s="7" t="s">
        <v>9</v>
      </c>
      <c r="C2519" s="7" t="s">
        <v>3128</v>
      </c>
      <c r="D2519" s="7">
        <v>-4.1794433</v>
      </c>
      <c r="E2519" s="7">
        <v>-8.5906868999999997</v>
      </c>
      <c r="F2519" s="9" t="str">
        <f t="shared" si="11"/>
        <v>Direct</v>
      </c>
      <c r="G2519" s="7" t="s">
        <v>716</v>
      </c>
    </row>
    <row r="2520" spans="1:7" x14ac:dyDescent="0.2">
      <c r="A2520" s="6" t="s">
        <v>18</v>
      </c>
      <c r="B2520" s="7" t="s">
        <v>9</v>
      </c>
      <c r="C2520" s="7" t="s">
        <v>3129</v>
      </c>
      <c r="D2520" s="7">
        <v>-3.9367230000000002</v>
      </c>
      <c r="E2520" s="7">
        <v>-1.3585487000000001</v>
      </c>
      <c r="F2520" s="9" t="str">
        <f t="shared" si="11"/>
        <v>Direct</v>
      </c>
      <c r="G2520" s="7" t="s">
        <v>716</v>
      </c>
    </row>
    <row r="2521" spans="1:7" x14ac:dyDescent="0.2">
      <c r="A2521" s="6" t="s">
        <v>18</v>
      </c>
      <c r="B2521" s="7" t="s">
        <v>9</v>
      </c>
      <c r="C2521" s="7" t="s">
        <v>3130</v>
      </c>
      <c r="D2521" s="7">
        <v>-3.5459128</v>
      </c>
      <c r="E2521" s="7">
        <v>-2.1202736999999998</v>
      </c>
      <c r="F2521" s="9" t="str">
        <f t="shared" si="11"/>
        <v>Direct</v>
      </c>
      <c r="G2521" s="7" t="s">
        <v>716</v>
      </c>
    </row>
    <row r="2522" spans="1:7" x14ac:dyDescent="0.2">
      <c r="A2522" s="6" t="s">
        <v>18</v>
      </c>
      <c r="B2522" s="7" t="s">
        <v>9</v>
      </c>
      <c r="C2522" s="7" t="s">
        <v>3131</v>
      </c>
      <c r="D2522" s="7">
        <v>-6.1731788999999999</v>
      </c>
      <c r="E2522" s="7">
        <v>-1.5462191000000001</v>
      </c>
      <c r="F2522" s="9" t="str">
        <f t="shared" si="11"/>
        <v>Direct</v>
      </c>
      <c r="G2522" s="7" t="s">
        <v>716</v>
      </c>
    </row>
    <row r="2523" spans="1:7" x14ac:dyDescent="0.2">
      <c r="A2523" s="6" t="s">
        <v>18</v>
      </c>
      <c r="B2523" s="7" t="s">
        <v>9</v>
      </c>
      <c r="C2523" s="7" t="s">
        <v>3132</v>
      </c>
      <c r="D2523" s="7">
        <v>1.8619672700000001</v>
      </c>
      <c r="E2523" s="7">
        <v>2.5489783199999998</v>
      </c>
      <c r="F2523" s="9" t="str">
        <f t="shared" si="11"/>
        <v>Direct</v>
      </c>
      <c r="G2523" s="7" t="s">
        <v>3133</v>
      </c>
    </row>
    <row r="2524" spans="1:7" x14ac:dyDescent="0.2">
      <c r="A2524" s="6" t="s">
        <v>18</v>
      </c>
      <c r="B2524" s="7" t="s">
        <v>9</v>
      </c>
      <c r="C2524" s="7" t="s">
        <v>3134</v>
      </c>
      <c r="D2524" s="7">
        <v>3.7137925599999999</v>
      </c>
      <c r="E2524" s="7">
        <v>3.1323006699999998</v>
      </c>
      <c r="F2524" s="9" t="str">
        <f t="shared" si="11"/>
        <v>Direct</v>
      </c>
      <c r="G2524" s="7" t="s">
        <v>1560</v>
      </c>
    </row>
    <row r="2525" spans="1:7" x14ac:dyDescent="0.2">
      <c r="A2525" s="6" t="s">
        <v>18</v>
      </c>
      <c r="B2525" s="7" t="s">
        <v>9</v>
      </c>
      <c r="C2525" s="7" t="s">
        <v>3135</v>
      </c>
      <c r="D2525" s="7">
        <v>2.0175154399999999</v>
      </c>
      <c r="E2525" s="7">
        <v>1.3029945999999999</v>
      </c>
      <c r="F2525" s="9" t="str">
        <f t="shared" si="11"/>
        <v>Direct</v>
      </c>
      <c r="G2525" s="7" t="s">
        <v>3136</v>
      </c>
    </row>
    <row r="2526" spans="1:7" x14ac:dyDescent="0.2">
      <c r="A2526" s="6" t="s">
        <v>18</v>
      </c>
      <c r="B2526" s="7" t="s">
        <v>9</v>
      </c>
      <c r="C2526" s="7" t="s">
        <v>3137</v>
      </c>
      <c r="D2526" s="7">
        <v>-1.1978652000000001</v>
      </c>
      <c r="E2526" s="7">
        <v>-1.9771349</v>
      </c>
      <c r="F2526" s="9" t="str">
        <f t="shared" si="11"/>
        <v>Direct</v>
      </c>
      <c r="G2526" s="7" t="s">
        <v>11</v>
      </c>
    </row>
    <row r="2527" spans="1:7" x14ac:dyDescent="0.2">
      <c r="A2527" s="6" t="s">
        <v>18</v>
      </c>
      <c r="B2527" s="7" t="s">
        <v>9</v>
      </c>
      <c r="C2527" s="7" t="s">
        <v>3138</v>
      </c>
      <c r="D2527" s="7">
        <v>1.43538312</v>
      </c>
      <c r="E2527" s="7">
        <v>1.5680904899999999</v>
      </c>
      <c r="F2527" s="9" t="str">
        <f t="shared" si="11"/>
        <v>Direct</v>
      </c>
      <c r="G2527" s="7" t="s">
        <v>3139</v>
      </c>
    </row>
    <row r="2528" spans="1:7" x14ac:dyDescent="0.2">
      <c r="A2528" s="6" t="s">
        <v>18</v>
      </c>
      <c r="B2528" s="7" t="s">
        <v>9</v>
      </c>
      <c r="C2528" s="7" t="s">
        <v>3140</v>
      </c>
      <c r="D2528" s="7">
        <v>1.7405134799999999</v>
      </c>
      <c r="E2528" s="7">
        <v>2.1345724599999998</v>
      </c>
      <c r="F2528" s="9" t="str">
        <f t="shared" si="11"/>
        <v>Direct</v>
      </c>
      <c r="G2528" s="7" t="s">
        <v>2360</v>
      </c>
    </row>
    <row r="2529" spans="1:7" x14ac:dyDescent="0.2">
      <c r="A2529" s="6" t="s">
        <v>18</v>
      </c>
      <c r="B2529" s="7" t="s">
        <v>9</v>
      </c>
      <c r="C2529" s="7" t="s">
        <v>3141</v>
      </c>
      <c r="D2529" s="7">
        <v>-1.0078195999999999</v>
      </c>
      <c r="E2529" s="7">
        <v>-1.4407989999999999</v>
      </c>
      <c r="F2529" s="9" t="str">
        <f t="shared" si="11"/>
        <v>Direct</v>
      </c>
      <c r="G2529" s="7" t="s">
        <v>3142</v>
      </c>
    </row>
    <row r="2530" spans="1:7" x14ac:dyDescent="0.2">
      <c r="A2530" s="6" t="s">
        <v>18</v>
      </c>
      <c r="B2530" s="7" t="s">
        <v>9</v>
      </c>
      <c r="C2530" s="7" t="s">
        <v>3143</v>
      </c>
      <c r="D2530" s="7">
        <v>1.2883004300000001</v>
      </c>
      <c r="E2530" s="7">
        <v>2.7164300699999999</v>
      </c>
      <c r="F2530" s="9" t="str">
        <f t="shared" si="11"/>
        <v>Direct</v>
      </c>
      <c r="G2530" s="7" t="s">
        <v>2360</v>
      </c>
    </row>
    <row r="2531" spans="1:7" x14ac:dyDescent="0.2">
      <c r="A2531" s="6" t="s">
        <v>18</v>
      </c>
      <c r="B2531" s="7" t="s">
        <v>9</v>
      </c>
      <c r="C2531" s="7" t="s">
        <v>3144</v>
      </c>
      <c r="D2531" s="7">
        <v>-1.0554608999999999</v>
      </c>
      <c r="E2531" s="7">
        <v>-1.0263530999999999</v>
      </c>
      <c r="F2531" s="9" t="str">
        <f t="shared" si="11"/>
        <v>Direct</v>
      </c>
      <c r="G2531" s="7" t="s">
        <v>35</v>
      </c>
    </row>
    <row r="2532" spans="1:7" x14ac:dyDescent="0.2">
      <c r="A2532" s="6" t="s">
        <v>18</v>
      </c>
      <c r="B2532" s="7" t="s">
        <v>9</v>
      </c>
      <c r="C2532" s="7" t="s">
        <v>3145</v>
      </c>
      <c r="D2532" s="7">
        <v>1.27090156</v>
      </c>
      <c r="E2532" s="7">
        <v>2.0023298500000002</v>
      </c>
      <c r="F2532" s="9" t="str">
        <f t="shared" si="11"/>
        <v>Direct</v>
      </c>
      <c r="G2532" s="7" t="s">
        <v>3146</v>
      </c>
    </row>
    <row r="2533" spans="1:7" x14ac:dyDescent="0.2">
      <c r="A2533" s="6" t="s">
        <v>18</v>
      </c>
      <c r="B2533" s="7" t="s">
        <v>9</v>
      </c>
      <c r="C2533" s="7" t="s">
        <v>3147</v>
      </c>
      <c r="D2533" s="7">
        <v>1.79714828</v>
      </c>
      <c r="E2533" s="7">
        <v>1.54064376</v>
      </c>
      <c r="F2533" s="9" t="str">
        <f t="shared" si="11"/>
        <v>Direct</v>
      </c>
      <c r="G2533" s="7" t="s">
        <v>3148</v>
      </c>
    </row>
    <row r="2534" spans="1:7" x14ac:dyDescent="0.2">
      <c r="A2534" s="6" t="s">
        <v>18</v>
      </c>
      <c r="B2534" s="7" t="s">
        <v>9</v>
      </c>
      <c r="C2534" s="7" t="s">
        <v>3149</v>
      </c>
      <c r="D2534" s="7">
        <v>3.83816143</v>
      </c>
      <c r="E2534" s="7">
        <v>1.6371293200000001</v>
      </c>
      <c r="F2534" s="9" t="str">
        <f t="shared" si="11"/>
        <v>Direct</v>
      </c>
      <c r="G2534" s="7" t="s">
        <v>11</v>
      </c>
    </row>
    <row r="2535" spans="1:7" x14ac:dyDescent="0.2">
      <c r="A2535" s="6" t="s">
        <v>18</v>
      </c>
      <c r="B2535" s="7" t="s">
        <v>9</v>
      </c>
      <c r="C2535" s="7" t="s">
        <v>3150</v>
      </c>
      <c r="D2535" s="7">
        <v>1.3934063800000001</v>
      </c>
      <c r="E2535" s="7">
        <v>2.5276192900000001</v>
      </c>
      <c r="F2535" s="9" t="str">
        <f t="shared" si="11"/>
        <v>Direct</v>
      </c>
      <c r="G2535" s="7" t="s">
        <v>3151</v>
      </c>
    </row>
    <row r="2536" spans="1:7" x14ac:dyDescent="0.2">
      <c r="A2536" s="6" t="s">
        <v>18</v>
      </c>
      <c r="B2536" s="7" t="s">
        <v>9</v>
      </c>
      <c r="C2536" s="7" t="s">
        <v>3152</v>
      </c>
      <c r="D2536" s="7">
        <v>1.75435108</v>
      </c>
      <c r="E2536" s="7">
        <v>1.1788713399999999</v>
      </c>
      <c r="F2536" s="9" t="str">
        <f t="shared" si="11"/>
        <v>Direct</v>
      </c>
      <c r="G2536" s="7" t="s">
        <v>3153</v>
      </c>
    </row>
    <row r="2537" spans="1:7" x14ac:dyDescent="0.2">
      <c r="A2537" s="6" t="s">
        <v>18</v>
      </c>
      <c r="B2537" s="7" t="s">
        <v>9</v>
      </c>
      <c r="C2537" s="7" t="s">
        <v>3154</v>
      </c>
      <c r="D2537" s="7">
        <v>-1.3301038000000001</v>
      </c>
      <c r="E2537" s="7">
        <v>1.03834614</v>
      </c>
      <c r="F2537" s="9" t="str">
        <f t="shared" si="11"/>
        <v>Inverse</v>
      </c>
      <c r="G2537" s="7" t="s">
        <v>3155</v>
      </c>
    </row>
    <row r="2538" spans="1:7" x14ac:dyDescent="0.2">
      <c r="A2538" s="6" t="s">
        <v>18</v>
      </c>
      <c r="B2538" s="7" t="s">
        <v>9</v>
      </c>
      <c r="C2538" s="7" t="s">
        <v>3156</v>
      </c>
      <c r="D2538" s="7">
        <v>-1.1158709</v>
      </c>
      <c r="E2538" s="7">
        <v>-1.1472012</v>
      </c>
      <c r="F2538" s="9" t="str">
        <f t="shared" si="11"/>
        <v>Direct</v>
      </c>
      <c r="G2538" s="7" t="s">
        <v>3157</v>
      </c>
    </row>
    <row r="2539" spans="1:7" x14ac:dyDescent="0.2">
      <c r="A2539" s="6" t="s">
        <v>18</v>
      </c>
      <c r="B2539" s="7" t="s">
        <v>9</v>
      </c>
      <c r="C2539" s="7" t="s">
        <v>3158</v>
      </c>
      <c r="D2539" s="7">
        <v>1.9311415000000001</v>
      </c>
      <c r="E2539" s="7">
        <v>1.2063885700000001</v>
      </c>
      <c r="F2539" s="9" t="str">
        <f t="shared" si="11"/>
        <v>Direct</v>
      </c>
      <c r="G2539" s="7" t="s">
        <v>11</v>
      </c>
    </row>
    <row r="2540" spans="1:7" x14ac:dyDescent="0.2">
      <c r="A2540" s="6" t="s">
        <v>18</v>
      </c>
      <c r="B2540" s="7" t="s">
        <v>9</v>
      </c>
      <c r="C2540" s="7" t="s">
        <v>3159</v>
      </c>
      <c r="D2540" s="7">
        <v>2.8115196199999999</v>
      </c>
      <c r="E2540" s="7">
        <v>1.02545866</v>
      </c>
      <c r="F2540" s="9" t="str">
        <f t="shared" si="11"/>
        <v>Direct</v>
      </c>
      <c r="G2540" s="7" t="s">
        <v>11</v>
      </c>
    </row>
    <row r="2541" spans="1:7" x14ac:dyDescent="0.2">
      <c r="A2541" s="6" t="s">
        <v>18</v>
      </c>
      <c r="B2541" s="7" t="s">
        <v>9</v>
      </c>
      <c r="C2541" s="7" t="s">
        <v>3160</v>
      </c>
      <c r="D2541" s="7">
        <v>3.8935944500000002</v>
      </c>
      <c r="E2541" s="7">
        <v>1.0619422000000001</v>
      </c>
      <c r="F2541" s="9" t="str">
        <f t="shared" si="11"/>
        <v>Direct</v>
      </c>
      <c r="G2541" s="7" t="s">
        <v>11</v>
      </c>
    </row>
    <row r="2542" spans="1:7" x14ac:dyDescent="0.2">
      <c r="A2542" s="6" t="s">
        <v>18</v>
      </c>
      <c r="B2542" s="7" t="s">
        <v>9</v>
      </c>
      <c r="C2542" s="7" t="s">
        <v>3161</v>
      </c>
      <c r="D2542" s="7">
        <v>-1.0917091999999999</v>
      </c>
      <c r="E2542" s="7">
        <v>-1.4663264</v>
      </c>
      <c r="F2542" s="9" t="str">
        <f t="shared" si="11"/>
        <v>Direct</v>
      </c>
      <c r="G2542" s="7" t="s">
        <v>11</v>
      </c>
    </row>
    <row r="2543" spans="1:7" x14ac:dyDescent="0.2">
      <c r="A2543" s="6" t="s">
        <v>18</v>
      </c>
      <c r="B2543" s="7" t="s">
        <v>9</v>
      </c>
      <c r="C2543" s="7" t="s">
        <v>3162</v>
      </c>
      <c r="D2543" s="7">
        <v>-1.4902723</v>
      </c>
      <c r="E2543" s="7">
        <v>-1.26776</v>
      </c>
      <c r="F2543" s="9" t="str">
        <f t="shared" si="11"/>
        <v>Direct</v>
      </c>
      <c r="G2543" s="7" t="s">
        <v>3163</v>
      </c>
    </row>
    <row r="2544" spans="1:7" x14ac:dyDescent="0.2">
      <c r="A2544" s="6" t="s">
        <v>18</v>
      </c>
      <c r="B2544" s="7" t="s">
        <v>9</v>
      </c>
      <c r="C2544" s="7" t="s">
        <v>3164</v>
      </c>
      <c r="D2544" s="7">
        <v>-1.0432022000000001</v>
      </c>
      <c r="E2544" s="7">
        <v>-1.8782722000000001</v>
      </c>
      <c r="F2544" s="9" t="str">
        <f t="shared" si="11"/>
        <v>Direct</v>
      </c>
      <c r="G2544" s="7" t="s">
        <v>56</v>
      </c>
    </row>
    <row r="2545" spans="1:7" x14ac:dyDescent="0.2">
      <c r="A2545" s="6" t="s">
        <v>18</v>
      </c>
      <c r="B2545" s="7" t="s">
        <v>9</v>
      </c>
      <c r="C2545" s="7" t="s">
        <v>3165</v>
      </c>
      <c r="D2545" s="7">
        <v>3.5183133999999998</v>
      </c>
      <c r="E2545" s="7">
        <v>2.0377397199999998</v>
      </c>
      <c r="F2545" s="9" t="str">
        <f t="shared" si="11"/>
        <v>Direct</v>
      </c>
      <c r="G2545" s="7" t="s">
        <v>3166</v>
      </c>
    </row>
    <row r="2546" spans="1:7" x14ac:dyDescent="0.2">
      <c r="A2546" s="6" t="s">
        <v>18</v>
      </c>
      <c r="B2546" s="7" t="s">
        <v>9</v>
      </c>
      <c r="C2546" s="7" t="s">
        <v>3167</v>
      </c>
      <c r="D2546" s="7">
        <v>2.105988</v>
      </c>
      <c r="E2546" s="7">
        <v>2.4303257700000001</v>
      </c>
      <c r="F2546" s="9" t="str">
        <f t="shared" si="11"/>
        <v>Direct</v>
      </c>
      <c r="G2546" s="7" t="s">
        <v>1697</v>
      </c>
    </row>
    <row r="2547" spans="1:7" x14ac:dyDescent="0.2">
      <c r="A2547" s="6" t="s">
        <v>18</v>
      </c>
      <c r="B2547" s="7" t="s">
        <v>9</v>
      </c>
      <c r="C2547" s="7" t="s">
        <v>3168</v>
      </c>
      <c r="D2547" s="7">
        <v>1.4366701399999999</v>
      </c>
      <c r="E2547" s="7">
        <v>1.0153376199999999</v>
      </c>
      <c r="F2547" s="9" t="str">
        <f t="shared" si="11"/>
        <v>Direct</v>
      </c>
      <c r="G2547" s="7" t="s">
        <v>3169</v>
      </c>
    </row>
    <row r="2548" spans="1:7" x14ac:dyDescent="0.2">
      <c r="A2548" s="6" t="s">
        <v>18</v>
      </c>
      <c r="B2548" s="7" t="s">
        <v>9</v>
      </c>
      <c r="C2548" s="7" t="s">
        <v>3170</v>
      </c>
      <c r="D2548" s="7">
        <v>-1.3797705</v>
      </c>
      <c r="E2548" s="7">
        <v>-1.5095407000000001</v>
      </c>
      <c r="F2548" s="9" t="str">
        <f t="shared" si="11"/>
        <v>Direct</v>
      </c>
      <c r="G2548" s="7" t="s">
        <v>11</v>
      </c>
    </row>
    <row r="2549" spans="1:7" x14ac:dyDescent="0.2">
      <c r="A2549" s="6" t="s">
        <v>18</v>
      </c>
      <c r="B2549" s="7" t="s">
        <v>9</v>
      </c>
      <c r="C2549" s="7" t="s">
        <v>3171</v>
      </c>
      <c r="D2549" s="7">
        <v>1.4190286700000001</v>
      </c>
      <c r="E2549" s="7">
        <v>1.0814295199999999</v>
      </c>
      <c r="F2549" s="9" t="str">
        <f t="shared" si="11"/>
        <v>Direct</v>
      </c>
      <c r="G2549" s="7" t="s">
        <v>11</v>
      </c>
    </row>
    <row r="2550" spans="1:7" x14ac:dyDescent="0.2">
      <c r="A2550" s="6" t="s">
        <v>18</v>
      </c>
      <c r="B2550" s="7" t="s">
        <v>9</v>
      </c>
      <c r="C2550" s="7" t="s">
        <v>3172</v>
      </c>
      <c r="D2550" s="7">
        <v>1.02653919</v>
      </c>
      <c r="E2550" s="7">
        <v>1.3448928899999999</v>
      </c>
      <c r="F2550" s="9" t="str">
        <f t="shared" si="11"/>
        <v>Direct</v>
      </c>
      <c r="G2550" s="7" t="s">
        <v>106</v>
      </c>
    </row>
    <row r="2551" spans="1:7" x14ac:dyDescent="0.2">
      <c r="A2551" s="6" t="s">
        <v>18</v>
      </c>
      <c r="B2551" s="7" t="s">
        <v>9</v>
      </c>
      <c r="C2551" s="7" t="s">
        <v>3173</v>
      </c>
      <c r="D2551" s="7">
        <v>1.04456829</v>
      </c>
      <c r="E2551" s="7">
        <v>1.37301104</v>
      </c>
      <c r="F2551" s="9" t="str">
        <f t="shared" si="11"/>
        <v>Direct</v>
      </c>
      <c r="G2551" s="7" t="s">
        <v>11</v>
      </c>
    </row>
    <row r="2552" spans="1:7" x14ac:dyDescent="0.2">
      <c r="A2552" s="6" t="s">
        <v>18</v>
      </c>
      <c r="B2552" s="7" t="s">
        <v>9</v>
      </c>
      <c r="C2552" s="7" t="s">
        <v>3174</v>
      </c>
      <c r="D2552" s="7">
        <v>-1.3556352</v>
      </c>
      <c r="E2552" s="7">
        <v>-2.7672604999999999</v>
      </c>
      <c r="F2552" s="9" t="str">
        <f t="shared" ref="F2552:F2806" si="12">IF(OR(AND(D2552&gt;0,E2552&gt;0),AND(D2552&lt;0,E2552&lt;0)),"Direct","Inverse")</f>
        <v>Direct</v>
      </c>
      <c r="G2552" s="7" t="s">
        <v>11</v>
      </c>
    </row>
    <row r="2553" spans="1:7" x14ac:dyDescent="0.2">
      <c r="A2553" s="6" t="s">
        <v>18</v>
      </c>
      <c r="B2553" s="7" t="s">
        <v>9</v>
      </c>
      <c r="C2553" s="7" t="s">
        <v>3175</v>
      </c>
      <c r="D2553" s="7">
        <v>-1.6596572999999999</v>
      </c>
      <c r="E2553" s="7">
        <v>-2.3308474000000001</v>
      </c>
      <c r="F2553" s="9" t="str">
        <f t="shared" si="12"/>
        <v>Direct</v>
      </c>
      <c r="G2553" s="7" t="s">
        <v>271</v>
      </c>
    </row>
    <row r="2554" spans="1:7" x14ac:dyDescent="0.2">
      <c r="A2554" s="6" t="s">
        <v>18</v>
      </c>
      <c r="B2554" s="7" t="s">
        <v>9</v>
      </c>
      <c r="C2554" s="7" t="s">
        <v>3176</v>
      </c>
      <c r="D2554" s="7">
        <v>2.2740686299999999</v>
      </c>
      <c r="E2554" s="7">
        <v>1.1493787200000001</v>
      </c>
      <c r="F2554" s="9" t="str">
        <f t="shared" si="12"/>
        <v>Direct</v>
      </c>
      <c r="G2554" s="7" t="s">
        <v>11</v>
      </c>
    </row>
    <row r="2555" spans="1:7" x14ac:dyDescent="0.2">
      <c r="A2555" s="6" t="s">
        <v>18</v>
      </c>
      <c r="B2555" s="7" t="s">
        <v>9</v>
      </c>
      <c r="C2555" s="7" t="s">
        <v>3177</v>
      </c>
      <c r="D2555" s="7">
        <v>-1.8316015000000001</v>
      </c>
      <c r="E2555" s="7">
        <v>-1.6902815</v>
      </c>
      <c r="F2555" s="9" t="str">
        <f t="shared" si="12"/>
        <v>Direct</v>
      </c>
      <c r="G2555" s="7" t="s">
        <v>3178</v>
      </c>
    </row>
    <row r="2556" spans="1:7" x14ac:dyDescent="0.2">
      <c r="A2556" s="6" t="s">
        <v>18</v>
      </c>
      <c r="B2556" s="7" t="s">
        <v>9</v>
      </c>
      <c r="C2556" s="7" t="s">
        <v>3179</v>
      </c>
      <c r="D2556" s="7">
        <v>1.7851484099999999</v>
      </c>
      <c r="E2556" s="7">
        <v>1.2159120000000001</v>
      </c>
      <c r="F2556" s="9" t="str">
        <f t="shared" si="12"/>
        <v>Direct</v>
      </c>
      <c r="G2556" s="7" t="s">
        <v>3180</v>
      </c>
    </row>
    <row r="2557" spans="1:7" x14ac:dyDescent="0.2">
      <c r="A2557" s="6" t="s">
        <v>18</v>
      </c>
      <c r="B2557" s="7" t="s">
        <v>9</v>
      </c>
      <c r="C2557" s="7" t="s">
        <v>3181</v>
      </c>
      <c r="D2557" s="7">
        <v>-1.0433684000000001</v>
      </c>
      <c r="E2557" s="7">
        <v>-2.3277668999999999</v>
      </c>
      <c r="F2557" s="9" t="str">
        <f t="shared" si="12"/>
        <v>Direct</v>
      </c>
      <c r="G2557" s="7" t="s">
        <v>11</v>
      </c>
    </row>
    <row r="2558" spans="1:7" x14ac:dyDescent="0.2">
      <c r="A2558" s="6" t="s">
        <v>18</v>
      </c>
      <c r="B2558" s="7" t="s">
        <v>9</v>
      </c>
      <c r="C2558" s="7" t="s">
        <v>3182</v>
      </c>
      <c r="D2558" s="7">
        <v>-1.6581995</v>
      </c>
      <c r="E2558" s="7">
        <v>-1.2923948000000001</v>
      </c>
      <c r="F2558" s="9" t="str">
        <f t="shared" si="12"/>
        <v>Direct</v>
      </c>
      <c r="G2558" s="7" t="s">
        <v>11</v>
      </c>
    </row>
    <row r="2559" spans="1:7" x14ac:dyDescent="0.2">
      <c r="A2559" s="6" t="s">
        <v>18</v>
      </c>
      <c r="B2559" s="7" t="s">
        <v>9</v>
      </c>
      <c r="C2559" s="7" t="s">
        <v>3183</v>
      </c>
      <c r="D2559" s="7">
        <v>-6.5700361999999997</v>
      </c>
      <c r="E2559" s="7">
        <v>-2.0701890999999999</v>
      </c>
      <c r="F2559" s="9" t="str">
        <f t="shared" si="12"/>
        <v>Direct</v>
      </c>
      <c r="G2559" s="7" t="s">
        <v>11</v>
      </c>
    </row>
    <row r="2560" spans="1:7" x14ac:dyDescent="0.2">
      <c r="A2560" s="6" t="s">
        <v>18</v>
      </c>
      <c r="B2560" s="7" t="s">
        <v>9</v>
      </c>
      <c r="C2560" s="7" t="s">
        <v>3184</v>
      </c>
      <c r="D2560" s="7">
        <v>-1.0499794</v>
      </c>
      <c r="E2560" s="7">
        <v>-3.7552561999999998</v>
      </c>
      <c r="F2560" s="9" t="str">
        <f t="shared" si="12"/>
        <v>Direct</v>
      </c>
      <c r="G2560" s="7" t="s">
        <v>11</v>
      </c>
    </row>
    <row r="2561" spans="1:7" x14ac:dyDescent="0.2">
      <c r="A2561" s="6" t="s">
        <v>18</v>
      </c>
      <c r="B2561" s="7" t="s">
        <v>9</v>
      </c>
      <c r="C2561" s="7" t="s">
        <v>3185</v>
      </c>
      <c r="D2561" s="7">
        <v>-1.0860188</v>
      </c>
      <c r="E2561" s="7">
        <v>-1.0015970999999999</v>
      </c>
      <c r="F2561" s="9" t="str">
        <f t="shared" si="12"/>
        <v>Direct</v>
      </c>
      <c r="G2561" s="7" t="s">
        <v>11</v>
      </c>
    </row>
    <row r="2562" spans="1:7" x14ac:dyDescent="0.2">
      <c r="A2562" s="6" t="s">
        <v>18</v>
      </c>
      <c r="B2562" s="7" t="s">
        <v>9</v>
      </c>
      <c r="C2562" s="7" t="s">
        <v>3186</v>
      </c>
      <c r="D2562" s="7">
        <v>-2.1845281000000001</v>
      </c>
      <c r="E2562" s="7">
        <v>-1.0643381000000001</v>
      </c>
      <c r="F2562" s="9" t="str">
        <f t="shared" si="12"/>
        <v>Direct</v>
      </c>
      <c r="G2562" s="7" t="s">
        <v>35</v>
      </c>
    </row>
    <row r="2563" spans="1:7" x14ac:dyDescent="0.2">
      <c r="A2563" s="6" t="s">
        <v>18</v>
      </c>
      <c r="B2563" s="7" t="s">
        <v>9</v>
      </c>
      <c r="C2563" s="7" t="s">
        <v>3187</v>
      </c>
      <c r="D2563" s="7">
        <v>1.1158709099999999</v>
      </c>
      <c r="E2563" s="7">
        <v>1.8457623400000001</v>
      </c>
      <c r="F2563" s="9" t="str">
        <f t="shared" si="12"/>
        <v>Direct</v>
      </c>
      <c r="G2563" s="7" t="s">
        <v>11</v>
      </c>
    </row>
    <row r="2564" spans="1:7" x14ac:dyDescent="0.2">
      <c r="A2564" s="6" t="s">
        <v>18</v>
      </c>
      <c r="B2564" s="7" t="s">
        <v>9</v>
      </c>
      <c r="C2564" s="7" t="s">
        <v>3188</v>
      </c>
      <c r="D2564" s="7">
        <v>1.2251711700000001</v>
      </c>
      <c r="E2564" s="7">
        <v>1.3068589100000001</v>
      </c>
      <c r="F2564" s="9" t="str">
        <f t="shared" si="12"/>
        <v>Direct</v>
      </c>
      <c r="G2564" s="7" t="s">
        <v>11</v>
      </c>
    </row>
    <row r="2565" spans="1:7" x14ac:dyDescent="0.2">
      <c r="A2565" s="6" t="s">
        <v>18</v>
      </c>
      <c r="B2565" s="7" t="s">
        <v>9</v>
      </c>
      <c r="C2565" s="7" t="s">
        <v>3189</v>
      </c>
      <c r="D2565" s="7">
        <v>-1.6198619999999999</v>
      </c>
      <c r="E2565" s="7">
        <v>-1.6641325</v>
      </c>
      <c r="F2565" s="9" t="str">
        <f t="shared" si="12"/>
        <v>Direct</v>
      </c>
      <c r="G2565" s="7" t="s">
        <v>11</v>
      </c>
    </row>
    <row r="2566" spans="1:7" x14ac:dyDescent="0.2">
      <c r="A2566" s="6" t="s">
        <v>18</v>
      </c>
      <c r="B2566" s="7" t="s">
        <v>9</v>
      </c>
      <c r="C2566" s="7" t="s">
        <v>3190</v>
      </c>
      <c r="D2566" s="7">
        <v>2.35236256</v>
      </c>
      <c r="E2566" s="7">
        <v>2.9843417099999998</v>
      </c>
      <c r="F2566" s="9" t="str">
        <f t="shared" si="12"/>
        <v>Direct</v>
      </c>
      <c r="G2566" s="7" t="s">
        <v>3191</v>
      </c>
    </row>
    <row r="2567" spans="1:7" x14ac:dyDescent="0.2">
      <c r="A2567" s="6" t="s">
        <v>18</v>
      </c>
      <c r="B2567" s="7" t="s">
        <v>9</v>
      </c>
      <c r="C2567" s="7" t="s">
        <v>3192</v>
      </c>
      <c r="D2567" s="7">
        <v>2.0024373799999999</v>
      </c>
      <c r="E2567" s="7">
        <v>1.18710406</v>
      </c>
      <c r="F2567" s="9" t="str">
        <f t="shared" si="12"/>
        <v>Direct</v>
      </c>
      <c r="G2567" s="7" t="s">
        <v>11</v>
      </c>
    </row>
    <row r="2568" spans="1:7" x14ac:dyDescent="0.2">
      <c r="A2568" s="6" t="s">
        <v>18</v>
      </c>
      <c r="B2568" s="7" t="s">
        <v>9</v>
      </c>
      <c r="C2568" s="7" t="s">
        <v>3193</v>
      </c>
      <c r="D2568" s="7">
        <v>-2.3874363999999999</v>
      </c>
      <c r="E2568" s="7">
        <v>-1.8457623000000001</v>
      </c>
      <c r="F2568" s="9" t="str">
        <f t="shared" si="12"/>
        <v>Direct</v>
      </c>
      <c r="G2568" s="7" t="s">
        <v>11</v>
      </c>
    </row>
    <row r="2569" spans="1:7" x14ac:dyDescent="0.2">
      <c r="A2569" s="6" t="s">
        <v>18</v>
      </c>
      <c r="B2569" s="7" t="s">
        <v>9</v>
      </c>
      <c r="C2569" s="7" t="s">
        <v>3194</v>
      </c>
      <c r="D2569" s="7">
        <v>-1.7355407</v>
      </c>
      <c r="E2569" s="7">
        <v>-2.2676237000000001</v>
      </c>
      <c r="F2569" s="9" t="str">
        <f t="shared" si="12"/>
        <v>Direct</v>
      </c>
      <c r="G2569" s="7" t="s">
        <v>712</v>
      </c>
    </row>
    <row r="2570" spans="1:7" x14ac:dyDescent="0.2">
      <c r="A2570" s="6" t="s">
        <v>18</v>
      </c>
      <c r="B2570" s="7" t="s">
        <v>9</v>
      </c>
      <c r="C2570" s="7" t="s">
        <v>3195</v>
      </c>
      <c r="D2570" s="7">
        <v>1.99732387</v>
      </c>
      <c r="E2570" s="7">
        <v>1.0603290599999999</v>
      </c>
      <c r="F2570" s="9" t="str">
        <f t="shared" si="12"/>
        <v>Direct</v>
      </c>
      <c r="G2570" s="7" t="s">
        <v>11</v>
      </c>
    </row>
    <row r="2571" spans="1:7" x14ac:dyDescent="0.2">
      <c r="A2571" s="6" t="s">
        <v>18</v>
      </c>
      <c r="B2571" s="7" t="s">
        <v>9</v>
      </c>
      <c r="C2571" s="7" t="s">
        <v>3196</v>
      </c>
      <c r="D2571" s="7">
        <v>1.3543351100000001</v>
      </c>
      <c r="E2571" s="7">
        <v>3.7318106100000001</v>
      </c>
      <c r="F2571" s="9" t="str">
        <f t="shared" si="12"/>
        <v>Direct</v>
      </c>
      <c r="G2571" s="7" t="s">
        <v>3197</v>
      </c>
    </row>
    <row r="2572" spans="1:7" x14ac:dyDescent="0.2">
      <c r="A2572" s="6" t="s">
        <v>18</v>
      </c>
      <c r="B2572" s="7" t="s">
        <v>9</v>
      </c>
      <c r="C2572" s="7" t="s">
        <v>3198</v>
      </c>
      <c r="D2572" s="7">
        <v>1.97910166</v>
      </c>
      <c r="E2572" s="7">
        <v>3.11857037</v>
      </c>
      <c r="F2572" s="9" t="str">
        <f t="shared" si="12"/>
        <v>Direct</v>
      </c>
      <c r="G2572" s="7" t="s">
        <v>35</v>
      </c>
    </row>
    <row r="2573" spans="1:7" x14ac:dyDescent="0.2">
      <c r="A2573" s="6" t="s">
        <v>18</v>
      </c>
      <c r="B2573" s="7" t="s">
        <v>9</v>
      </c>
      <c r="C2573" s="7" t="s">
        <v>3199</v>
      </c>
      <c r="D2573" s="7">
        <v>2.3289419499999999</v>
      </c>
      <c r="E2573" s="7">
        <v>1.05648396</v>
      </c>
      <c r="F2573" s="9" t="str">
        <f t="shared" si="12"/>
        <v>Direct</v>
      </c>
      <c r="G2573" s="7" t="s">
        <v>11</v>
      </c>
    </row>
    <row r="2574" spans="1:7" x14ac:dyDescent="0.2">
      <c r="A2574" s="6" t="s">
        <v>18</v>
      </c>
      <c r="B2574" s="7" t="s">
        <v>9</v>
      </c>
      <c r="C2574" s="7" t="s">
        <v>3200</v>
      </c>
      <c r="D2574" s="7">
        <v>1.21003197</v>
      </c>
      <c r="E2574" s="7">
        <v>1.9728865</v>
      </c>
      <c r="F2574" s="9" t="str">
        <f t="shared" si="12"/>
        <v>Direct</v>
      </c>
      <c r="G2574" s="7" t="s">
        <v>292</v>
      </c>
    </row>
    <row r="2575" spans="1:7" x14ac:dyDescent="0.2">
      <c r="A2575" s="6" t="s">
        <v>18</v>
      </c>
      <c r="B2575" s="7" t="s">
        <v>9</v>
      </c>
      <c r="C2575" s="7" t="s">
        <v>3201</v>
      </c>
      <c r="D2575" s="7">
        <v>1.522187</v>
      </c>
      <c r="E2575" s="7">
        <v>3.6878900799999998</v>
      </c>
      <c r="F2575" s="9" t="str">
        <f t="shared" si="12"/>
        <v>Direct</v>
      </c>
      <c r="G2575" s="7" t="s">
        <v>3202</v>
      </c>
    </row>
    <row r="2576" spans="1:7" x14ac:dyDescent="0.2">
      <c r="A2576" s="6" t="s">
        <v>18</v>
      </c>
      <c r="B2576" s="7" t="s">
        <v>9</v>
      </c>
      <c r="C2576" s="7" t="s">
        <v>3203</v>
      </c>
      <c r="D2576" s="7">
        <v>-2.1257313</v>
      </c>
      <c r="E2576" s="7">
        <v>-6.7808209000000002</v>
      </c>
      <c r="F2576" s="9" t="str">
        <f t="shared" si="12"/>
        <v>Direct</v>
      </c>
      <c r="G2576" s="7" t="s">
        <v>1383</v>
      </c>
    </row>
    <row r="2577" spans="1:7" x14ac:dyDescent="0.2">
      <c r="A2577" s="6" t="s">
        <v>18</v>
      </c>
      <c r="B2577" s="7" t="s">
        <v>9</v>
      </c>
      <c r="C2577" s="7" t="s">
        <v>3204</v>
      </c>
      <c r="D2577" s="7">
        <v>1.3782551199999999</v>
      </c>
      <c r="E2577" s="7">
        <v>2.2853653199999999</v>
      </c>
      <c r="F2577" s="9" t="str">
        <f t="shared" si="12"/>
        <v>Direct</v>
      </c>
      <c r="G2577" s="7" t="s">
        <v>11</v>
      </c>
    </row>
    <row r="2578" spans="1:7" x14ac:dyDescent="0.2">
      <c r="A2578" s="6" t="s">
        <v>18</v>
      </c>
      <c r="B2578" s="7" t="s">
        <v>9</v>
      </c>
      <c r="C2578" s="7" t="s">
        <v>3205</v>
      </c>
      <c r="D2578" s="7">
        <v>-2.3630890999999998</v>
      </c>
      <c r="E2578" s="7">
        <v>-1.3128219000000001</v>
      </c>
      <c r="F2578" s="9" t="str">
        <f t="shared" si="12"/>
        <v>Direct</v>
      </c>
      <c r="G2578" s="7" t="s">
        <v>11</v>
      </c>
    </row>
    <row r="2579" spans="1:7" x14ac:dyDescent="0.2">
      <c r="A2579" s="6" t="s">
        <v>18</v>
      </c>
      <c r="B2579" s="7" t="s">
        <v>9</v>
      </c>
      <c r="C2579" s="7" t="s">
        <v>3206</v>
      </c>
      <c r="D2579" s="7">
        <v>2.1461335199999998</v>
      </c>
      <c r="E2579" s="7">
        <v>1.6711501099999999</v>
      </c>
      <c r="F2579" s="9" t="str">
        <f t="shared" si="12"/>
        <v>Direct</v>
      </c>
      <c r="G2579" s="7" t="s">
        <v>11</v>
      </c>
    </row>
    <row r="2580" spans="1:7" x14ac:dyDescent="0.2">
      <c r="A2580" s="6" t="s">
        <v>18</v>
      </c>
      <c r="B2580" s="7" t="s">
        <v>9</v>
      </c>
      <c r="C2580" s="7" t="s">
        <v>3207</v>
      </c>
      <c r="D2580" s="7">
        <v>1.1095787699999999</v>
      </c>
      <c r="E2580" s="7">
        <v>1.24127386</v>
      </c>
      <c r="F2580" s="9" t="str">
        <f t="shared" si="12"/>
        <v>Direct</v>
      </c>
      <c r="G2580" s="7" t="s">
        <v>3208</v>
      </c>
    </row>
    <row r="2581" spans="1:7" x14ac:dyDescent="0.2">
      <c r="A2581" s="6" t="s">
        <v>18</v>
      </c>
      <c r="B2581" s="7" t="s">
        <v>9</v>
      </c>
      <c r="C2581" s="7" t="s">
        <v>3209</v>
      </c>
      <c r="D2581" s="7">
        <v>3.6352556200000001</v>
      </c>
      <c r="E2581" s="7">
        <v>2.91437685</v>
      </c>
      <c r="F2581" s="9" t="str">
        <f t="shared" si="12"/>
        <v>Direct</v>
      </c>
      <c r="G2581" s="7" t="s">
        <v>11</v>
      </c>
    </row>
    <row r="2582" spans="1:7" x14ac:dyDescent="0.2">
      <c r="A2582" s="6" t="s">
        <v>18</v>
      </c>
      <c r="B2582" s="7" t="s">
        <v>9</v>
      </c>
      <c r="C2582" s="7" t="s">
        <v>3210</v>
      </c>
      <c r="D2582" s="7">
        <v>1.2773754500000001</v>
      </c>
      <c r="E2582" s="7">
        <v>1.60214941</v>
      </c>
      <c r="F2582" s="9" t="str">
        <f t="shared" si="12"/>
        <v>Direct</v>
      </c>
      <c r="G2582" s="7" t="s">
        <v>3208</v>
      </c>
    </row>
    <row r="2583" spans="1:7" x14ac:dyDescent="0.2">
      <c r="A2583" s="6" t="s">
        <v>18</v>
      </c>
      <c r="B2583" s="7" t="s">
        <v>9</v>
      </c>
      <c r="C2583" s="7" t="s">
        <v>3211</v>
      </c>
      <c r="D2583" s="7">
        <v>-1.0049163999999999</v>
      </c>
      <c r="E2583" s="7">
        <v>-2.1363411999999999</v>
      </c>
      <c r="F2583" s="9" t="str">
        <f t="shared" si="12"/>
        <v>Direct</v>
      </c>
      <c r="G2583" s="7" t="s">
        <v>2605</v>
      </c>
    </row>
    <row r="2584" spans="1:7" x14ac:dyDescent="0.2">
      <c r="A2584" s="6" t="s">
        <v>18</v>
      </c>
      <c r="B2584" s="7" t="s">
        <v>9</v>
      </c>
      <c r="C2584" s="7" t="s">
        <v>3212</v>
      </c>
      <c r="D2584" s="7">
        <v>-1.6109560000000001</v>
      </c>
      <c r="E2584" s="7">
        <v>-1.8267994999999999</v>
      </c>
      <c r="F2584" s="9" t="str">
        <f t="shared" si="12"/>
        <v>Direct</v>
      </c>
      <c r="G2584" s="7" t="s">
        <v>3213</v>
      </c>
    </row>
    <row r="2585" spans="1:7" x14ac:dyDescent="0.2">
      <c r="A2585" s="6" t="s">
        <v>18</v>
      </c>
      <c r="B2585" s="7" t="s">
        <v>9</v>
      </c>
      <c r="C2585" s="7" t="s">
        <v>3214</v>
      </c>
      <c r="D2585" s="7">
        <v>-4.9341261999999997</v>
      </c>
      <c r="E2585" s="7">
        <v>-3.4511984</v>
      </c>
      <c r="F2585" s="9" t="str">
        <f t="shared" si="12"/>
        <v>Direct</v>
      </c>
      <c r="G2585" s="7" t="s">
        <v>11</v>
      </c>
    </row>
    <row r="2586" spans="1:7" x14ac:dyDescent="0.2">
      <c r="A2586" s="6" t="s">
        <v>18</v>
      </c>
      <c r="B2586" s="7" t="s">
        <v>9</v>
      </c>
      <c r="C2586" s="7" t="s">
        <v>3215</v>
      </c>
      <c r="D2586" s="7">
        <v>-2.8243098999999998</v>
      </c>
      <c r="E2586" s="7">
        <v>-1.7185623999999999</v>
      </c>
      <c r="F2586" s="9" t="str">
        <f t="shared" si="12"/>
        <v>Direct</v>
      </c>
      <c r="G2586" s="7" t="s">
        <v>11</v>
      </c>
    </row>
    <row r="2587" spans="1:7" x14ac:dyDescent="0.2">
      <c r="A2587" s="6" t="s">
        <v>18</v>
      </c>
      <c r="B2587" s="7" t="s">
        <v>9</v>
      </c>
      <c r="C2587" s="7" t="s">
        <v>3216</v>
      </c>
      <c r="D2587" s="7">
        <v>9.9385081799999995</v>
      </c>
      <c r="E2587" s="7">
        <v>1.63002723</v>
      </c>
      <c r="F2587" s="9" t="str">
        <f t="shared" si="12"/>
        <v>Direct</v>
      </c>
      <c r="G2587" s="7" t="s">
        <v>11</v>
      </c>
    </row>
    <row r="2588" spans="1:7" x14ac:dyDescent="0.2">
      <c r="A2588" s="6" t="s">
        <v>18</v>
      </c>
      <c r="B2588" s="7" t="s">
        <v>9</v>
      </c>
      <c r="C2588" s="7" t="s">
        <v>3217</v>
      </c>
      <c r="D2588" s="7">
        <v>1.7346017</v>
      </c>
      <c r="E2588" s="7">
        <v>1.02551294</v>
      </c>
      <c r="F2588" s="9" t="str">
        <f t="shared" si="12"/>
        <v>Direct</v>
      </c>
      <c r="G2588" s="7" t="s">
        <v>3218</v>
      </c>
    </row>
    <row r="2589" spans="1:7" x14ac:dyDescent="0.2">
      <c r="A2589" s="6" t="s">
        <v>18</v>
      </c>
      <c r="B2589" s="7" t="s">
        <v>9</v>
      </c>
      <c r="C2589" s="7" t="s">
        <v>3219</v>
      </c>
      <c r="D2589" s="7">
        <v>-2.9195465</v>
      </c>
      <c r="E2589" s="7">
        <v>-1.3582675</v>
      </c>
      <c r="F2589" s="9" t="str">
        <f t="shared" si="12"/>
        <v>Direct</v>
      </c>
      <c r="G2589" s="7" t="s">
        <v>2605</v>
      </c>
    </row>
    <row r="2590" spans="1:7" x14ac:dyDescent="0.2">
      <c r="A2590" s="6" t="s">
        <v>18</v>
      </c>
      <c r="B2590" s="7" t="s">
        <v>9</v>
      </c>
      <c r="C2590" s="7" t="s">
        <v>3220</v>
      </c>
      <c r="D2590" s="7">
        <v>-4.5938688000000001</v>
      </c>
      <c r="E2590" s="7">
        <v>-1.1745885</v>
      </c>
      <c r="F2590" s="9" t="str">
        <f t="shared" si="12"/>
        <v>Direct</v>
      </c>
      <c r="G2590" s="7" t="s">
        <v>2605</v>
      </c>
    </row>
    <row r="2591" spans="1:7" x14ac:dyDescent="0.2">
      <c r="A2591" s="6" t="s">
        <v>18</v>
      </c>
      <c r="B2591" s="7" t="s">
        <v>9</v>
      </c>
      <c r="C2591" s="7" t="s">
        <v>3221</v>
      </c>
      <c r="D2591" s="7">
        <v>-2.8243235000000002</v>
      </c>
      <c r="E2591" s="7">
        <v>-1.4823439</v>
      </c>
      <c r="F2591" s="9" t="str">
        <f t="shared" si="12"/>
        <v>Direct</v>
      </c>
      <c r="G2591" s="7" t="s">
        <v>11</v>
      </c>
    </row>
    <row r="2592" spans="1:7" x14ac:dyDescent="0.2">
      <c r="A2592" s="6" t="s">
        <v>18</v>
      </c>
      <c r="B2592" s="7" t="s">
        <v>9</v>
      </c>
      <c r="C2592" s="7" t="s">
        <v>3222</v>
      </c>
      <c r="D2592" s="7">
        <v>-1.0942369999999999</v>
      </c>
      <c r="E2592" s="7">
        <v>-4.5609057999999996</v>
      </c>
      <c r="F2592" s="9" t="str">
        <f t="shared" si="12"/>
        <v>Direct</v>
      </c>
      <c r="G2592" s="7" t="s">
        <v>886</v>
      </c>
    </row>
    <row r="2593" spans="1:7" x14ac:dyDescent="0.2">
      <c r="A2593" s="6" t="s">
        <v>18</v>
      </c>
      <c r="B2593" s="7" t="s">
        <v>9</v>
      </c>
      <c r="C2593" s="7" t="s">
        <v>3223</v>
      </c>
      <c r="D2593" s="7">
        <v>-2.2591918</v>
      </c>
      <c r="E2593" s="7">
        <v>-1.5381663999999999</v>
      </c>
      <c r="F2593" s="9" t="str">
        <f t="shared" si="12"/>
        <v>Direct</v>
      </c>
      <c r="G2593" s="7" t="s">
        <v>3224</v>
      </c>
    </row>
    <row r="2594" spans="1:7" x14ac:dyDescent="0.2">
      <c r="A2594" s="6" t="s">
        <v>18</v>
      </c>
      <c r="B2594" s="7" t="s">
        <v>9</v>
      </c>
      <c r="C2594" s="7" t="s">
        <v>3225</v>
      </c>
      <c r="D2594" s="7">
        <v>-2.7211889999999999</v>
      </c>
      <c r="E2594" s="7">
        <v>-1.5279484999999999</v>
      </c>
      <c r="F2594" s="9" t="str">
        <f t="shared" si="12"/>
        <v>Direct</v>
      </c>
      <c r="G2594" s="7" t="s">
        <v>11</v>
      </c>
    </row>
    <row r="2595" spans="1:7" x14ac:dyDescent="0.2">
      <c r="A2595" s="6" t="s">
        <v>18</v>
      </c>
      <c r="B2595" s="7" t="s">
        <v>9</v>
      </c>
      <c r="C2595" s="7" t="s">
        <v>3226</v>
      </c>
      <c r="D2595" s="7">
        <v>-5.1905973999999997</v>
      </c>
      <c r="E2595" s="7">
        <v>-1.0339639</v>
      </c>
      <c r="F2595" s="9" t="str">
        <f t="shared" si="12"/>
        <v>Direct</v>
      </c>
      <c r="G2595" s="7" t="s">
        <v>886</v>
      </c>
    </row>
    <row r="2596" spans="1:7" x14ac:dyDescent="0.2">
      <c r="A2596" s="6" t="s">
        <v>18</v>
      </c>
      <c r="B2596" s="7" t="s">
        <v>9</v>
      </c>
      <c r="C2596" s="7" t="s">
        <v>3227</v>
      </c>
      <c r="D2596" s="7">
        <v>1.64095218</v>
      </c>
      <c r="E2596" s="7">
        <v>1.00873284</v>
      </c>
      <c r="F2596" s="9" t="str">
        <f t="shared" si="12"/>
        <v>Direct</v>
      </c>
      <c r="G2596" s="7" t="s">
        <v>11</v>
      </c>
    </row>
    <row r="2597" spans="1:7" x14ac:dyDescent="0.2">
      <c r="A2597" s="6" t="s">
        <v>18</v>
      </c>
      <c r="B2597" s="7" t="s">
        <v>9</v>
      </c>
      <c r="C2597" s="7" t="s">
        <v>3228</v>
      </c>
      <c r="D2597" s="7">
        <v>2.0129153799999999</v>
      </c>
      <c r="E2597" s="7">
        <v>2.3917352799999998</v>
      </c>
      <c r="F2597" s="9" t="str">
        <f t="shared" si="12"/>
        <v>Direct</v>
      </c>
      <c r="G2597" s="7" t="s">
        <v>432</v>
      </c>
    </row>
    <row r="2598" spans="1:7" x14ac:dyDescent="0.2">
      <c r="A2598" s="6" t="s">
        <v>18</v>
      </c>
      <c r="B2598" s="7" t="s">
        <v>9</v>
      </c>
      <c r="C2598" s="7" t="s">
        <v>3229</v>
      </c>
      <c r="D2598" s="7">
        <v>-1.1851091</v>
      </c>
      <c r="E2598" s="7">
        <v>-2.1414620000000002</v>
      </c>
      <c r="F2598" s="9" t="str">
        <f t="shared" si="12"/>
        <v>Direct</v>
      </c>
      <c r="G2598" s="7" t="s">
        <v>11</v>
      </c>
    </row>
    <row r="2599" spans="1:7" x14ac:dyDescent="0.2">
      <c r="A2599" s="6" t="s">
        <v>18</v>
      </c>
      <c r="B2599" s="7" t="s">
        <v>9</v>
      </c>
      <c r="C2599" s="7" t="s">
        <v>3230</v>
      </c>
      <c r="D2599" s="7">
        <v>5.4552354200000002</v>
      </c>
      <c r="E2599" s="7">
        <v>4.2708849400000002</v>
      </c>
      <c r="F2599" s="9" t="str">
        <f t="shared" si="12"/>
        <v>Direct</v>
      </c>
      <c r="G2599" s="7" t="s">
        <v>11</v>
      </c>
    </row>
    <row r="2600" spans="1:7" x14ac:dyDescent="0.2">
      <c r="A2600" s="6" t="s">
        <v>18</v>
      </c>
      <c r="B2600" s="7" t="s">
        <v>9</v>
      </c>
      <c r="C2600" s="7" t="s">
        <v>3231</v>
      </c>
      <c r="D2600" s="7">
        <v>-4.1383868000000001</v>
      </c>
      <c r="E2600" s="7">
        <v>-1.4741529</v>
      </c>
      <c r="F2600" s="9" t="str">
        <f t="shared" si="12"/>
        <v>Direct</v>
      </c>
      <c r="G2600" s="7" t="s">
        <v>11</v>
      </c>
    </row>
    <row r="2601" spans="1:7" x14ac:dyDescent="0.2">
      <c r="A2601" s="6" t="s">
        <v>18</v>
      </c>
      <c r="B2601" s="7" t="s">
        <v>9</v>
      </c>
      <c r="C2601" s="7" t="s">
        <v>3232</v>
      </c>
      <c r="D2601" s="7">
        <v>2.1845281399999998</v>
      </c>
      <c r="E2601" s="7">
        <v>2.3181367800000001</v>
      </c>
      <c r="F2601" s="9" t="str">
        <f t="shared" si="12"/>
        <v>Direct</v>
      </c>
      <c r="G2601" s="7" t="s">
        <v>693</v>
      </c>
    </row>
    <row r="2602" spans="1:7" x14ac:dyDescent="0.2">
      <c r="A2602" s="6" t="s">
        <v>18</v>
      </c>
      <c r="B2602" s="7" t="s">
        <v>9</v>
      </c>
      <c r="C2602" s="7" t="s">
        <v>3233</v>
      </c>
      <c r="D2602" s="7">
        <v>1.4110541000000001</v>
      </c>
      <c r="E2602" s="7">
        <v>1.0127958800000001</v>
      </c>
      <c r="F2602" s="9" t="str">
        <f t="shared" si="12"/>
        <v>Direct</v>
      </c>
      <c r="G2602" s="7" t="s">
        <v>3234</v>
      </c>
    </row>
    <row r="2603" spans="1:7" x14ac:dyDescent="0.2">
      <c r="A2603" s="6" t="s">
        <v>18</v>
      </c>
      <c r="B2603" s="7" t="s">
        <v>9</v>
      </c>
      <c r="C2603" s="7" t="s">
        <v>3235</v>
      </c>
      <c r="D2603" s="7">
        <v>1.8228441500000001</v>
      </c>
      <c r="E2603" s="7">
        <v>1.1929622099999999</v>
      </c>
      <c r="F2603" s="9" t="str">
        <f t="shared" si="12"/>
        <v>Direct</v>
      </c>
      <c r="G2603" s="7" t="s">
        <v>3236</v>
      </c>
    </row>
    <row r="2604" spans="1:7" x14ac:dyDescent="0.2">
      <c r="A2604" s="6" t="s">
        <v>18</v>
      </c>
      <c r="B2604" s="7" t="s">
        <v>9</v>
      </c>
      <c r="C2604" s="7" t="s">
        <v>3237</v>
      </c>
      <c r="D2604" s="7">
        <v>3.8144577900000001</v>
      </c>
      <c r="E2604" s="7">
        <v>2.4042876199999998</v>
      </c>
      <c r="F2604" s="9" t="str">
        <f t="shared" si="12"/>
        <v>Direct</v>
      </c>
      <c r="G2604" s="7" t="s">
        <v>693</v>
      </c>
    </row>
    <row r="2605" spans="1:7" x14ac:dyDescent="0.2">
      <c r="A2605" s="6" t="s">
        <v>18</v>
      </c>
      <c r="B2605" s="7" t="s">
        <v>9</v>
      </c>
      <c r="C2605" s="7" t="s">
        <v>3238</v>
      </c>
      <c r="D2605" s="7">
        <v>2.94710165</v>
      </c>
      <c r="E2605" s="7">
        <v>1.45879523</v>
      </c>
      <c r="F2605" s="9" t="str">
        <f t="shared" si="12"/>
        <v>Direct</v>
      </c>
      <c r="G2605" s="7" t="s">
        <v>712</v>
      </c>
    </row>
    <row r="2606" spans="1:7" x14ac:dyDescent="0.2">
      <c r="A2606" s="6" t="s">
        <v>18</v>
      </c>
      <c r="B2606" s="7" t="s">
        <v>9</v>
      </c>
      <c r="C2606" s="7" t="s">
        <v>3239</v>
      </c>
      <c r="D2606" s="7">
        <v>-1.7458073999999999</v>
      </c>
      <c r="E2606" s="7">
        <v>-1.4587952</v>
      </c>
      <c r="F2606" s="9" t="str">
        <f t="shared" si="12"/>
        <v>Direct</v>
      </c>
      <c r="G2606" s="7" t="s">
        <v>712</v>
      </c>
    </row>
    <row r="2607" spans="1:7" x14ac:dyDescent="0.2">
      <c r="A2607" s="6" t="s">
        <v>18</v>
      </c>
      <c r="B2607" s="7" t="s">
        <v>9</v>
      </c>
      <c r="C2607" s="7" t="s">
        <v>3240</v>
      </c>
      <c r="D2607" s="7">
        <v>2.2735221800000001</v>
      </c>
      <c r="E2607" s="7">
        <v>2.4352102699999998</v>
      </c>
      <c r="F2607" s="9" t="str">
        <f t="shared" si="12"/>
        <v>Direct</v>
      </c>
      <c r="G2607" s="7" t="s">
        <v>712</v>
      </c>
    </row>
    <row r="2608" spans="1:7" x14ac:dyDescent="0.2">
      <c r="A2608" s="6" t="s">
        <v>18</v>
      </c>
      <c r="B2608" s="7" t="s">
        <v>9</v>
      </c>
      <c r="C2608" s="7" t="s">
        <v>3241</v>
      </c>
      <c r="D2608" s="7">
        <v>2.13008482</v>
      </c>
      <c r="E2608" s="7">
        <v>1.5511016900000001</v>
      </c>
      <c r="F2608" s="9" t="str">
        <f t="shared" si="12"/>
        <v>Direct</v>
      </c>
      <c r="G2608" s="7" t="s">
        <v>3242</v>
      </c>
    </row>
    <row r="2609" spans="1:7" x14ac:dyDescent="0.2">
      <c r="A2609" s="6" t="s">
        <v>18</v>
      </c>
      <c r="B2609" s="7" t="s">
        <v>9</v>
      </c>
      <c r="C2609" s="7" t="s">
        <v>3243</v>
      </c>
      <c r="D2609" s="7">
        <v>-1.0891352999999999</v>
      </c>
      <c r="E2609" s="7">
        <v>-1.4217443000000001</v>
      </c>
      <c r="F2609" s="9" t="str">
        <f t="shared" si="12"/>
        <v>Direct</v>
      </c>
      <c r="G2609" s="7" t="s">
        <v>11</v>
      </c>
    </row>
    <row r="2610" spans="1:7" x14ac:dyDescent="0.2">
      <c r="A2610" s="6" t="s">
        <v>18</v>
      </c>
      <c r="B2610" s="7" t="s">
        <v>9</v>
      </c>
      <c r="C2610" s="7" t="s">
        <v>3244</v>
      </c>
      <c r="D2610" s="7">
        <v>-1.0394414999999999</v>
      </c>
      <c r="E2610" s="7">
        <v>-1.3288244</v>
      </c>
      <c r="F2610" s="9" t="str">
        <f t="shared" si="12"/>
        <v>Direct</v>
      </c>
      <c r="G2610" s="7" t="s">
        <v>111</v>
      </c>
    </row>
    <row r="2611" spans="1:7" x14ac:dyDescent="0.2">
      <c r="A2611" s="6" t="s">
        <v>18</v>
      </c>
      <c r="B2611" s="7" t="s">
        <v>9</v>
      </c>
      <c r="C2611" s="7" t="s">
        <v>3245</v>
      </c>
      <c r="D2611" s="7">
        <v>2.67158031</v>
      </c>
      <c r="E2611" s="7">
        <v>3.1177622700000001</v>
      </c>
      <c r="F2611" s="9" t="str">
        <f t="shared" si="12"/>
        <v>Direct</v>
      </c>
      <c r="G2611" s="7" t="s">
        <v>11</v>
      </c>
    </row>
    <row r="2612" spans="1:7" x14ac:dyDescent="0.2">
      <c r="A2612" s="6" t="s">
        <v>18</v>
      </c>
      <c r="B2612" s="7" t="s">
        <v>9</v>
      </c>
      <c r="C2612" s="7" t="s">
        <v>3246</v>
      </c>
      <c r="D2612" s="7">
        <v>2.21582196</v>
      </c>
      <c r="E2612" s="7">
        <v>1.1793741200000001</v>
      </c>
      <c r="F2612" s="9" t="str">
        <f t="shared" si="12"/>
        <v>Direct</v>
      </c>
      <c r="G2612" s="7" t="s">
        <v>3247</v>
      </c>
    </row>
    <row r="2613" spans="1:7" x14ac:dyDescent="0.2">
      <c r="A2613" s="6" t="s">
        <v>18</v>
      </c>
      <c r="B2613" s="7" t="s">
        <v>9</v>
      </c>
      <c r="C2613" s="7" t="s">
        <v>3248</v>
      </c>
      <c r="D2613" s="7">
        <v>-5.0824299000000002</v>
      </c>
      <c r="E2613" s="7">
        <v>-2.3220038999999999</v>
      </c>
      <c r="F2613" s="9" t="str">
        <f t="shared" si="12"/>
        <v>Direct</v>
      </c>
      <c r="G2613" s="7" t="s">
        <v>11</v>
      </c>
    </row>
    <row r="2614" spans="1:7" x14ac:dyDescent="0.2">
      <c r="A2614" s="6" t="s">
        <v>18</v>
      </c>
      <c r="B2614" s="7" t="s">
        <v>9</v>
      </c>
      <c r="C2614" s="7" t="s">
        <v>3249</v>
      </c>
      <c r="D2614" s="7">
        <v>2.9639124099999998</v>
      </c>
      <c r="E2614" s="7">
        <v>2.7672605300000002</v>
      </c>
      <c r="F2614" s="9" t="str">
        <f t="shared" si="12"/>
        <v>Direct</v>
      </c>
      <c r="G2614" s="7" t="s">
        <v>3250</v>
      </c>
    </row>
    <row r="2615" spans="1:7" x14ac:dyDescent="0.2">
      <c r="A2615" s="6" t="s">
        <v>18</v>
      </c>
      <c r="B2615" s="7" t="s">
        <v>9</v>
      </c>
      <c r="C2615" s="7" t="s">
        <v>3251</v>
      </c>
      <c r="D2615" s="7">
        <v>2.91023941</v>
      </c>
      <c r="E2615" s="7">
        <v>3.4157248299999998</v>
      </c>
      <c r="F2615" s="9" t="str">
        <f t="shared" si="12"/>
        <v>Direct</v>
      </c>
      <c r="G2615" s="7" t="s">
        <v>3133</v>
      </c>
    </row>
    <row r="2616" spans="1:7" x14ac:dyDescent="0.2">
      <c r="A2616" s="6" t="s">
        <v>18</v>
      </c>
      <c r="B2616" s="7" t="s">
        <v>9</v>
      </c>
      <c r="C2616" s="7" t="s">
        <v>3252</v>
      </c>
      <c r="D2616" s="7">
        <v>2.1399830500000001</v>
      </c>
      <c r="E2616" s="7">
        <v>1.50671719</v>
      </c>
      <c r="F2616" s="9" t="str">
        <f t="shared" si="12"/>
        <v>Direct</v>
      </c>
      <c r="G2616" s="7" t="s">
        <v>3253</v>
      </c>
    </row>
    <row r="2617" spans="1:7" x14ac:dyDescent="0.2">
      <c r="A2617" s="6" t="s">
        <v>18</v>
      </c>
      <c r="B2617" s="7" t="s">
        <v>9</v>
      </c>
      <c r="C2617" s="7" t="s">
        <v>3254</v>
      </c>
      <c r="D2617" s="7">
        <v>1.38208676</v>
      </c>
      <c r="E2617" s="7">
        <v>2.5745932800000002</v>
      </c>
      <c r="F2617" s="9" t="str">
        <f t="shared" si="12"/>
        <v>Direct</v>
      </c>
      <c r="G2617" s="7" t="s">
        <v>3151</v>
      </c>
    </row>
    <row r="2618" spans="1:7" x14ac:dyDescent="0.2">
      <c r="A2618" s="6" t="s">
        <v>18</v>
      </c>
      <c r="B2618" s="7" t="s">
        <v>9</v>
      </c>
      <c r="C2618" s="7" t="s">
        <v>3255</v>
      </c>
      <c r="D2618" s="7">
        <v>1.3536686600000001</v>
      </c>
      <c r="E2618" s="7">
        <v>1.4904560600000001</v>
      </c>
      <c r="F2618" s="9" t="str">
        <f t="shared" si="12"/>
        <v>Direct</v>
      </c>
      <c r="G2618" s="7" t="s">
        <v>11</v>
      </c>
    </row>
    <row r="2619" spans="1:7" x14ac:dyDescent="0.2">
      <c r="A2619" s="6" t="s">
        <v>18</v>
      </c>
      <c r="B2619" s="7" t="s">
        <v>9</v>
      </c>
      <c r="C2619" s="7" t="s">
        <v>3256</v>
      </c>
      <c r="D2619" s="7">
        <v>-1.2840328999999999</v>
      </c>
      <c r="E2619" s="7">
        <v>-1.3490518</v>
      </c>
      <c r="F2619" s="9" t="str">
        <f t="shared" si="12"/>
        <v>Direct</v>
      </c>
      <c r="G2619" s="7" t="s">
        <v>11</v>
      </c>
    </row>
    <row r="2620" spans="1:7" x14ac:dyDescent="0.2">
      <c r="A2620" s="6" t="s">
        <v>18</v>
      </c>
      <c r="B2620" s="7" t="s">
        <v>9</v>
      </c>
      <c r="C2620" s="7" t="s">
        <v>3257</v>
      </c>
      <c r="D2620" s="7">
        <v>-1.4591618</v>
      </c>
      <c r="E2620" s="7">
        <v>-1.1160097</v>
      </c>
      <c r="F2620" s="9" t="str">
        <f t="shared" si="12"/>
        <v>Direct</v>
      </c>
      <c r="G2620" s="7" t="s">
        <v>3258</v>
      </c>
    </row>
    <row r="2621" spans="1:7" x14ac:dyDescent="0.2">
      <c r="A2621" s="6" t="s">
        <v>18</v>
      </c>
      <c r="B2621" s="7" t="s">
        <v>9</v>
      </c>
      <c r="C2621" s="7" t="s">
        <v>3259</v>
      </c>
      <c r="D2621" s="7">
        <v>-2.870025</v>
      </c>
      <c r="E2621" s="7">
        <v>-2.6374781999999999</v>
      </c>
      <c r="F2621" s="9" t="str">
        <f t="shared" si="12"/>
        <v>Direct</v>
      </c>
      <c r="G2621" s="7" t="s">
        <v>11</v>
      </c>
    </row>
    <row r="2622" spans="1:7" x14ac:dyDescent="0.2">
      <c r="A2622" s="6" t="s">
        <v>18</v>
      </c>
      <c r="B2622" s="7" t="s">
        <v>9</v>
      </c>
      <c r="C2622" s="7" t="s">
        <v>3260</v>
      </c>
      <c r="D2622" s="7">
        <v>-1.0217369000000001</v>
      </c>
      <c r="E2622" s="7">
        <v>-1.3239715000000001</v>
      </c>
      <c r="F2622" s="9" t="str">
        <f t="shared" si="12"/>
        <v>Direct</v>
      </c>
      <c r="G2622" s="7" t="s">
        <v>11</v>
      </c>
    </row>
    <row r="2623" spans="1:7" x14ac:dyDescent="0.2">
      <c r="A2623" s="6" t="s">
        <v>18</v>
      </c>
      <c r="B2623" s="7" t="s">
        <v>9</v>
      </c>
      <c r="C2623" s="7" t="s">
        <v>3261</v>
      </c>
      <c r="D2623" s="7">
        <v>-2.6926350999999999</v>
      </c>
      <c r="E2623" s="7">
        <v>-1.0017587999999999</v>
      </c>
      <c r="F2623" s="9" t="str">
        <f t="shared" si="12"/>
        <v>Direct</v>
      </c>
      <c r="G2623" s="7" t="s">
        <v>11</v>
      </c>
    </row>
    <row r="2624" spans="1:7" x14ac:dyDescent="0.2">
      <c r="A2624" s="6" t="s">
        <v>18</v>
      </c>
      <c r="B2624" s="7" t="s">
        <v>9</v>
      </c>
      <c r="C2624" s="7" t="s">
        <v>3262</v>
      </c>
      <c r="D2624" s="7">
        <v>-2.0176777000000001</v>
      </c>
      <c r="E2624" s="7">
        <v>-1.0745948000000001</v>
      </c>
      <c r="F2624" s="9" t="str">
        <f t="shared" si="12"/>
        <v>Direct</v>
      </c>
      <c r="G2624" s="7" t="s">
        <v>11</v>
      </c>
    </row>
    <row r="2625" spans="1:7" x14ac:dyDescent="0.2">
      <c r="A2625" s="6" t="s">
        <v>18</v>
      </c>
      <c r="B2625" s="7" t="s">
        <v>9</v>
      </c>
      <c r="C2625" s="7" t="s">
        <v>3263</v>
      </c>
      <c r="D2625" s="7">
        <v>-1.3795088</v>
      </c>
      <c r="E2625" s="7">
        <v>-1.3816575</v>
      </c>
      <c r="F2625" s="9" t="str">
        <f t="shared" si="12"/>
        <v>Direct</v>
      </c>
      <c r="G2625" s="7" t="s">
        <v>11</v>
      </c>
    </row>
    <row r="2626" spans="1:7" x14ac:dyDescent="0.2">
      <c r="A2626" s="6" t="s">
        <v>18</v>
      </c>
      <c r="B2626" s="7" t="s">
        <v>9</v>
      </c>
      <c r="C2626" s="7" t="s">
        <v>3264</v>
      </c>
      <c r="D2626" s="7">
        <v>1.1573583199999999</v>
      </c>
      <c r="E2626" s="7">
        <v>1.0462750599999999</v>
      </c>
      <c r="F2626" s="9" t="str">
        <f t="shared" si="12"/>
        <v>Direct</v>
      </c>
      <c r="G2626" s="7" t="s">
        <v>3265</v>
      </c>
    </row>
    <row r="2627" spans="1:7" x14ac:dyDescent="0.2">
      <c r="A2627" s="6" t="s">
        <v>18</v>
      </c>
      <c r="B2627" s="7" t="s">
        <v>9</v>
      </c>
      <c r="C2627" s="7" t="s">
        <v>3266</v>
      </c>
      <c r="D2627" s="7">
        <v>1.34571493</v>
      </c>
      <c r="E2627" s="7">
        <v>1.39730822</v>
      </c>
      <c r="F2627" s="9" t="str">
        <f t="shared" si="12"/>
        <v>Direct</v>
      </c>
      <c r="G2627" s="7" t="s">
        <v>11</v>
      </c>
    </row>
    <row r="2628" spans="1:7" x14ac:dyDescent="0.2">
      <c r="A2628" s="6" t="s">
        <v>18</v>
      </c>
      <c r="B2628" s="7" t="s">
        <v>9</v>
      </c>
      <c r="C2628" s="7" t="s">
        <v>3267</v>
      </c>
      <c r="D2628" s="7">
        <v>-2.8580993000000001</v>
      </c>
      <c r="E2628" s="7">
        <v>-2.2406123</v>
      </c>
      <c r="F2628" s="9" t="str">
        <f t="shared" si="12"/>
        <v>Direct</v>
      </c>
      <c r="G2628" s="7" t="s">
        <v>716</v>
      </c>
    </row>
    <row r="2629" spans="1:7" x14ac:dyDescent="0.2">
      <c r="A2629" s="6" t="s">
        <v>18</v>
      </c>
      <c r="B2629" s="7" t="s">
        <v>9</v>
      </c>
      <c r="C2629" s="7" t="s">
        <v>3268</v>
      </c>
      <c r="D2629" s="7">
        <v>-3.6330379000000002</v>
      </c>
      <c r="E2629" s="7">
        <v>-2.9221091000000001</v>
      </c>
      <c r="F2629" s="9" t="str">
        <f t="shared" si="12"/>
        <v>Direct</v>
      </c>
      <c r="G2629" s="7" t="s">
        <v>3269</v>
      </c>
    </row>
    <row r="2630" spans="1:7" x14ac:dyDescent="0.2">
      <c r="A2630" s="6" t="s">
        <v>18</v>
      </c>
      <c r="B2630" s="7" t="s">
        <v>9</v>
      </c>
      <c r="C2630" s="7" t="s">
        <v>3270</v>
      </c>
      <c r="D2630" s="7">
        <v>-2.2633085999999998</v>
      </c>
      <c r="E2630" s="7">
        <v>-6.1147197000000002</v>
      </c>
      <c r="F2630" s="9" t="str">
        <f t="shared" si="12"/>
        <v>Direct</v>
      </c>
      <c r="G2630" s="7" t="s">
        <v>11</v>
      </c>
    </row>
    <row r="2631" spans="1:7" x14ac:dyDescent="0.2">
      <c r="A2631" s="6" t="s">
        <v>18</v>
      </c>
      <c r="B2631" s="7" t="s">
        <v>9</v>
      </c>
      <c r="C2631" s="7" t="s">
        <v>3271</v>
      </c>
      <c r="D2631" s="7">
        <v>-1.0159141</v>
      </c>
      <c r="E2631" s="7">
        <v>-1.9450324999999999</v>
      </c>
      <c r="F2631" s="9" t="str">
        <f t="shared" si="12"/>
        <v>Direct</v>
      </c>
      <c r="G2631" s="7" t="s">
        <v>3272</v>
      </c>
    </row>
    <row r="2632" spans="1:7" x14ac:dyDescent="0.2">
      <c r="A2632" s="6" t="s">
        <v>18</v>
      </c>
      <c r="B2632" s="7" t="s">
        <v>9</v>
      </c>
      <c r="C2632" s="7" t="s">
        <v>3273</v>
      </c>
      <c r="D2632" s="7">
        <v>-1.0000747000000001</v>
      </c>
      <c r="E2632" s="7">
        <v>-2.4902169999999999</v>
      </c>
      <c r="F2632" s="9" t="str">
        <f t="shared" si="12"/>
        <v>Direct</v>
      </c>
      <c r="G2632" s="7" t="s">
        <v>3274</v>
      </c>
    </row>
    <row r="2633" spans="1:7" x14ac:dyDescent="0.2">
      <c r="A2633" s="6" t="s">
        <v>18</v>
      </c>
      <c r="B2633" s="7" t="s">
        <v>9</v>
      </c>
      <c r="C2633" s="7" t="s">
        <v>3275</v>
      </c>
      <c r="D2633" s="7">
        <v>1.6287958499999999</v>
      </c>
      <c r="E2633" s="7">
        <v>1.0871335799999999</v>
      </c>
      <c r="F2633" s="9" t="str">
        <f t="shared" si="12"/>
        <v>Direct</v>
      </c>
      <c r="G2633" s="7" t="s">
        <v>886</v>
      </c>
    </row>
    <row r="2634" spans="1:7" x14ac:dyDescent="0.2">
      <c r="A2634" s="6" t="s">
        <v>18</v>
      </c>
      <c r="B2634" s="7" t="s">
        <v>9</v>
      </c>
      <c r="C2634" s="7" t="s">
        <v>3276</v>
      </c>
      <c r="D2634" s="7">
        <v>1.1674483099999999</v>
      </c>
      <c r="E2634" s="7">
        <v>1.32397152</v>
      </c>
      <c r="F2634" s="9" t="str">
        <f t="shared" si="12"/>
        <v>Direct</v>
      </c>
      <c r="G2634" s="7" t="s">
        <v>3277</v>
      </c>
    </row>
    <row r="2635" spans="1:7" x14ac:dyDescent="0.2">
      <c r="A2635" s="6" t="s">
        <v>18</v>
      </c>
      <c r="B2635" s="7" t="s">
        <v>9</v>
      </c>
      <c r="C2635" s="7" t="s">
        <v>3278</v>
      </c>
      <c r="D2635" s="7">
        <v>2.08534138</v>
      </c>
      <c r="E2635" s="7">
        <v>1.1336401700000001</v>
      </c>
      <c r="F2635" s="9" t="str">
        <f t="shared" si="12"/>
        <v>Direct</v>
      </c>
      <c r="G2635" s="7" t="s">
        <v>11</v>
      </c>
    </row>
    <row r="2636" spans="1:7" x14ac:dyDescent="0.2">
      <c r="A2636" s="6" t="s">
        <v>18</v>
      </c>
      <c r="B2636" s="7" t="s">
        <v>9</v>
      </c>
      <c r="C2636" s="7" t="s">
        <v>3279</v>
      </c>
      <c r="D2636" s="7">
        <v>2.05600082</v>
      </c>
      <c r="E2636" s="7">
        <v>1.24485544</v>
      </c>
      <c r="F2636" s="9" t="str">
        <f t="shared" si="12"/>
        <v>Direct</v>
      </c>
      <c r="G2636" s="7" t="s">
        <v>3280</v>
      </c>
    </row>
    <row r="2637" spans="1:7" x14ac:dyDescent="0.2">
      <c r="A2637" s="6" t="s">
        <v>18</v>
      </c>
      <c r="B2637" s="7" t="s">
        <v>9</v>
      </c>
      <c r="C2637" s="7" t="s">
        <v>3281</v>
      </c>
      <c r="D2637" s="7">
        <v>1.02534967</v>
      </c>
      <c r="E2637" s="7">
        <v>1.1095788900000001</v>
      </c>
      <c r="F2637" s="9" t="str">
        <f t="shared" si="12"/>
        <v>Direct</v>
      </c>
      <c r="G2637" s="7" t="s">
        <v>11</v>
      </c>
    </row>
    <row r="2638" spans="1:7" x14ac:dyDescent="0.2">
      <c r="A2638" s="6" t="s">
        <v>18</v>
      </c>
      <c r="B2638" s="7" t="s">
        <v>9</v>
      </c>
      <c r="C2638" s="7" t="s">
        <v>3282</v>
      </c>
      <c r="D2638" s="7">
        <v>1.0658257900000001</v>
      </c>
      <c r="E2638" s="7">
        <v>1.0634156800000001</v>
      </c>
      <c r="F2638" s="9" t="str">
        <f t="shared" si="12"/>
        <v>Direct</v>
      </c>
      <c r="G2638" s="7" t="s">
        <v>182</v>
      </c>
    </row>
    <row r="2639" spans="1:7" x14ac:dyDescent="0.2">
      <c r="A2639" s="6" t="s">
        <v>18</v>
      </c>
      <c r="B2639" s="7" t="s">
        <v>9</v>
      </c>
      <c r="C2639" s="7" t="s">
        <v>3283</v>
      </c>
      <c r="D2639" s="7">
        <v>1.6328965</v>
      </c>
      <c r="E2639" s="7">
        <v>2.6156850999999999</v>
      </c>
      <c r="F2639" s="9" t="str">
        <f t="shared" si="12"/>
        <v>Direct</v>
      </c>
      <c r="G2639" s="7" t="s">
        <v>3284</v>
      </c>
    </row>
    <row r="2640" spans="1:7" x14ac:dyDescent="0.2">
      <c r="A2640" s="6" t="s">
        <v>18</v>
      </c>
      <c r="B2640" s="7" t="s">
        <v>9</v>
      </c>
      <c r="C2640" s="7" t="s">
        <v>3285</v>
      </c>
      <c r="D2640" s="7">
        <v>-1.3820867999999999</v>
      </c>
      <c r="E2640" s="7">
        <v>-1.0376915</v>
      </c>
      <c r="F2640" s="9" t="str">
        <f t="shared" si="12"/>
        <v>Direct</v>
      </c>
      <c r="G2640" s="7" t="s">
        <v>3286</v>
      </c>
    </row>
    <row r="2641" spans="1:7" x14ac:dyDescent="0.2">
      <c r="A2641" s="6" t="s">
        <v>18</v>
      </c>
      <c r="B2641" s="7" t="s">
        <v>9</v>
      </c>
      <c r="C2641" s="7" t="s">
        <v>3287</v>
      </c>
      <c r="D2641" s="7">
        <v>-1.0751592000000001</v>
      </c>
      <c r="E2641" s="7">
        <v>-3.0424560999999999</v>
      </c>
      <c r="F2641" s="9" t="str">
        <f t="shared" si="12"/>
        <v>Direct</v>
      </c>
      <c r="G2641" s="7" t="s">
        <v>3288</v>
      </c>
    </row>
    <row r="2642" spans="1:7" x14ac:dyDescent="0.2">
      <c r="A2642" s="6" t="s">
        <v>18</v>
      </c>
      <c r="B2642" s="7" t="s">
        <v>9</v>
      </c>
      <c r="C2642" s="7" t="s">
        <v>3289</v>
      </c>
      <c r="D2642" s="7">
        <v>1.1744974399999999</v>
      </c>
      <c r="E2642" s="7">
        <v>1.7901246900000001</v>
      </c>
      <c r="F2642" s="9" t="str">
        <f t="shared" si="12"/>
        <v>Direct</v>
      </c>
      <c r="G2642" s="7" t="s">
        <v>11</v>
      </c>
    </row>
    <row r="2643" spans="1:7" x14ac:dyDescent="0.2">
      <c r="A2643" s="6" t="s">
        <v>18</v>
      </c>
      <c r="B2643" s="7" t="s">
        <v>9</v>
      </c>
      <c r="C2643" s="7" t="s">
        <v>3290</v>
      </c>
      <c r="D2643" s="7">
        <v>-1.790483</v>
      </c>
      <c r="E2643" s="7">
        <v>-1.0675384999999999</v>
      </c>
      <c r="F2643" s="9" t="str">
        <f t="shared" si="12"/>
        <v>Direct</v>
      </c>
      <c r="G2643" s="7" t="s">
        <v>1129</v>
      </c>
    </row>
    <row r="2644" spans="1:7" x14ac:dyDescent="0.2">
      <c r="A2644" s="6" t="s">
        <v>18</v>
      </c>
      <c r="B2644" s="7" t="s">
        <v>9</v>
      </c>
      <c r="C2644" s="7" t="s">
        <v>3291</v>
      </c>
      <c r="D2644" s="7">
        <v>-1.1168575000000001</v>
      </c>
      <c r="E2644" s="7">
        <v>-1.9736293</v>
      </c>
      <c r="F2644" s="9" t="str">
        <f t="shared" si="12"/>
        <v>Direct</v>
      </c>
      <c r="G2644" s="7" t="s">
        <v>11</v>
      </c>
    </row>
    <row r="2645" spans="1:7" x14ac:dyDescent="0.2">
      <c r="A2645" s="6" t="s">
        <v>18</v>
      </c>
      <c r="B2645" s="7" t="s">
        <v>9</v>
      </c>
      <c r="C2645" s="7" t="s">
        <v>3292</v>
      </c>
      <c r="D2645" s="7">
        <v>2.20274737</v>
      </c>
      <c r="E2645" s="7">
        <v>2.36147376</v>
      </c>
      <c r="F2645" s="9" t="str">
        <f t="shared" si="12"/>
        <v>Direct</v>
      </c>
      <c r="G2645" s="7" t="s">
        <v>499</v>
      </c>
    </row>
    <row r="2646" spans="1:7" x14ac:dyDescent="0.2">
      <c r="A2646" s="6" t="s">
        <v>18</v>
      </c>
      <c r="B2646" s="7" t="s">
        <v>9</v>
      </c>
      <c r="C2646" s="7" t="s">
        <v>3293</v>
      </c>
      <c r="D2646" s="7">
        <v>3.0522732499999998</v>
      </c>
      <c r="E2646" s="7">
        <v>1.4221965299999999</v>
      </c>
      <c r="F2646" s="9" t="str">
        <f t="shared" si="12"/>
        <v>Direct</v>
      </c>
      <c r="G2646" s="7" t="s">
        <v>3294</v>
      </c>
    </row>
    <row r="2647" spans="1:7" x14ac:dyDescent="0.2">
      <c r="A2647" s="6" t="s">
        <v>18</v>
      </c>
      <c r="B2647" s="7" t="s">
        <v>9</v>
      </c>
      <c r="C2647" s="7" t="s">
        <v>3295</v>
      </c>
      <c r="D2647" s="7">
        <v>1.33385592</v>
      </c>
      <c r="E2647" s="7">
        <v>4.9349813899999999</v>
      </c>
      <c r="F2647" s="9" t="str">
        <f t="shared" si="12"/>
        <v>Direct</v>
      </c>
      <c r="G2647" s="7" t="s">
        <v>2036</v>
      </c>
    </row>
    <row r="2648" spans="1:7" x14ac:dyDescent="0.2">
      <c r="A2648" s="6" t="s">
        <v>18</v>
      </c>
      <c r="B2648" s="7" t="s">
        <v>9</v>
      </c>
      <c r="C2648" s="7" t="s">
        <v>3296</v>
      </c>
      <c r="D2648" s="7">
        <v>-2.2341253999999999</v>
      </c>
      <c r="E2648" s="7">
        <v>-1.8567753</v>
      </c>
      <c r="F2648" s="9" t="str">
        <f t="shared" si="12"/>
        <v>Direct</v>
      </c>
      <c r="G2648" s="7" t="s">
        <v>11</v>
      </c>
    </row>
    <row r="2649" spans="1:7" x14ac:dyDescent="0.2">
      <c r="A2649" s="6" t="s">
        <v>18</v>
      </c>
      <c r="B2649" s="7" t="s">
        <v>9</v>
      </c>
      <c r="C2649" s="7" t="s">
        <v>3297</v>
      </c>
      <c r="D2649" s="7">
        <v>-2.7119694999999999</v>
      </c>
      <c r="E2649" s="7">
        <v>-2.1168383999999998</v>
      </c>
      <c r="F2649" s="9" t="str">
        <f t="shared" si="12"/>
        <v>Direct</v>
      </c>
      <c r="G2649" s="7" t="s">
        <v>712</v>
      </c>
    </row>
    <row r="2650" spans="1:7" x14ac:dyDescent="0.2">
      <c r="A2650" s="6" t="s">
        <v>18</v>
      </c>
      <c r="B2650" s="7" t="s">
        <v>9</v>
      </c>
      <c r="C2650" s="7" t="s">
        <v>3298</v>
      </c>
      <c r="D2650" s="7">
        <v>2.8930762099999998</v>
      </c>
      <c r="E2650" s="7">
        <v>3.4770130799999999</v>
      </c>
      <c r="F2650" s="9" t="str">
        <f t="shared" si="12"/>
        <v>Direct</v>
      </c>
      <c r="G2650" s="7" t="s">
        <v>3299</v>
      </c>
    </row>
    <row r="2651" spans="1:7" x14ac:dyDescent="0.2">
      <c r="A2651" s="6" t="s">
        <v>18</v>
      </c>
      <c r="B2651" s="7" t="s">
        <v>9</v>
      </c>
      <c r="C2651" s="7" t="s">
        <v>3300</v>
      </c>
      <c r="D2651" s="7">
        <v>1.23317885</v>
      </c>
      <c r="E2651" s="7">
        <v>2.2071800600000002</v>
      </c>
      <c r="F2651" s="9" t="str">
        <f t="shared" si="12"/>
        <v>Direct</v>
      </c>
      <c r="G2651" s="7" t="s">
        <v>11</v>
      </c>
    </row>
    <row r="2652" spans="1:7" x14ac:dyDescent="0.2">
      <c r="A2652" s="6" t="s">
        <v>18</v>
      </c>
      <c r="B2652" s="7" t="s">
        <v>9</v>
      </c>
      <c r="C2652" s="7" t="s">
        <v>3301</v>
      </c>
      <c r="D2652" s="7">
        <v>1.72598706</v>
      </c>
      <c r="E2652" s="7">
        <v>1.66399823</v>
      </c>
      <c r="F2652" s="9" t="str">
        <f t="shared" si="12"/>
        <v>Direct</v>
      </c>
      <c r="G2652" s="7" t="s">
        <v>11</v>
      </c>
    </row>
    <row r="2653" spans="1:7" x14ac:dyDescent="0.2">
      <c r="A2653" s="6" t="s">
        <v>18</v>
      </c>
      <c r="B2653" s="7" t="s">
        <v>9</v>
      </c>
      <c r="C2653" s="7" t="s">
        <v>3302</v>
      </c>
      <c r="D2653" s="7">
        <v>-1.3213801999999999</v>
      </c>
      <c r="E2653" s="7">
        <v>-1.9454214000000001</v>
      </c>
      <c r="F2653" s="9" t="str">
        <f t="shared" si="12"/>
        <v>Direct</v>
      </c>
      <c r="G2653" s="7" t="s">
        <v>3303</v>
      </c>
    </row>
    <row r="2654" spans="1:7" x14ac:dyDescent="0.2">
      <c r="A2654" s="6" t="s">
        <v>18</v>
      </c>
      <c r="B2654" s="7" t="s">
        <v>9</v>
      </c>
      <c r="C2654" s="7" t="s">
        <v>3304</v>
      </c>
      <c r="D2654" s="7">
        <v>2.2740686299999999</v>
      </c>
      <c r="E2654" s="7">
        <v>1.42874725</v>
      </c>
      <c r="F2654" s="9" t="str">
        <f t="shared" si="12"/>
        <v>Direct</v>
      </c>
      <c r="G2654" s="7" t="s">
        <v>1406</v>
      </c>
    </row>
    <row r="2655" spans="1:7" x14ac:dyDescent="0.2">
      <c r="A2655" s="6" t="s">
        <v>18</v>
      </c>
      <c r="B2655" s="7" t="s">
        <v>9</v>
      </c>
      <c r="C2655" s="7" t="s">
        <v>3305</v>
      </c>
      <c r="D2655" s="7">
        <v>1.2809582399999999</v>
      </c>
      <c r="E2655" s="7">
        <v>2.14146204</v>
      </c>
      <c r="F2655" s="9" t="str">
        <f t="shared" si="12"/>
        <v>Direct</v>
      </c>
      <c r="G2655" s="7" t="s">
        <v>11</v>
      </c>
    </row>
    <row r="2656" spans="1:7" x14ac:dyDescent="0.2">
      <c r="A2656" s="6" t="s">
        <v>18</v>
      </c>
      <c r="B2656" s="7" t="s">
        <v>9</v>
      </c>
      <c r="C2656" s="7" t="s">
        <v>3306</v>
      </c>
      <c r="D2656" s="7">
        <v>-1.2773753999999999</v>
      </c>
      <c r="E2656" s="7">
        <v>-1.3974047999999999</v>
      </c>
      <c r="F2656" s="9" t="str">
        <f t="shared" si="12"/>
        <v>Direct</v>
      </c>
      <c r="G2656" s="7" t="s">
        <v>3307</v>
      </c>
    </row>
    <row r="2657" spans="1:7" x14ac:dyDescent="0.2">
      <c r="A2657" s="6" t="s">
        <v>18</v>
      </c>
      <c r="B2657" s="7" t="s">
        <v>9</v>
      </c>
      <c r="C2657" s="7" t="s">
        <v>3308</v>
      </c>
      <c r="D2657" s="7">
        <v>2.7803595099999998</v>
      </c>
      <c r="E2657" s="7">
        <v>1.2729009600000001</v>
      </c>
      <c r="F2657" s="9" t="str">
        <f t="shared" si="12"/>
        <v>Direct</v>
      </c>
      <c r="G2657" s="7" t="s">
        <v>1823</v>
      </c>
    </row>
    <row r="2658" spans="1:7" x14ac:dyDescent="0.2">
      <c r="A2658" s="6" t="s">
        <v>18</v>
      </c>
      <c r="B2658" s="7" t="s">
        <v>9</v>
      </c>
      <c r="C2658" s="7" t="s">
        <v>3309</v>
      </c>
      <c r="D2658" s="7">
        <v>1.1205220600000001</v>
      </c>
      <c r="E2658" s="7">
        <v>1.1721602900000001</v>
      </c>
      <c r="F2658" s="9" t="str">
        <f t="shared" si="12"/>
        <v>Direct</v>
      </c>
      <c r="G2658" s="7" t="s">
        <v>413</v>
      </c>
    </row>
    <row r="2659" spans="1:7" x14ac:dyDescent="0.2">
      <c r="A2659" s="6" t="s">
        <v>18</v>
      </c>
      <c r="B2659" s="7" t="s">
        <v>9</v>
      </c>
      <c r="C2659" s="7" t="s">
        <v>3310</v>
      </c>
      <c r="D2659" s="7">
        <v>-1.8002624</v>
      </c>
      <c r="E2659" s="7">
        <v>-1.3277421</v>
      </c>
      <c r="F2659" s="9" t="str">
        <f t="shared" si="12"/>
        <v>Direct</v>
      </c>
      <c r="G2659" s="7" t="s">
        <v>11</v>
      </c>
    </row>
    <row r="2660" spans="1:7" x14ac:dyDescent="0.2">
      <c r="A2660" s="6" t="s">
        <v>18</v>
      </c>
      <c r="B2660" s="7" t="s">
        <v>9</v>
      </c>
      <c r="C2660" s="7" t="s">
        <v>3311</v>
      </c>
      <c r="D2660" s="7">
        <v>1.6696516400000001</v>
      </c>
      <c r="E2660" s="7">
        <v>1.1550682999999999</v>
      </c>
      <c r="F2660" s="9" t="str">
        <f t="shared" si="12"/>
        <v>Direct</v>
      </c>
      <c r="G2660" s="7" t="s">
        <v>3312</v>
      </c>
    </row>
    <row r="2661" spans="1:7" x14ac:dyDescent="0.2">
      <c r="A2661" s="6" t="s">
        <v>18</v>
      </c>
      <c r="B2661" s="7" t="s">
        <v>9</v>
      </c>
      <c r="C2661" s="7" t="s">
        <v>3313</v>
      </c>
      <c r="D2661" s="7">
        <v>1.0254567800000001</v>
      </c>
      <c r="E2661" s="7">
        <v>2.31736977</v>
      </c>
      <c r="F2661" s="9" t="str">
        <f t="shared" si="12"/>
        <v>Direct</v>
      </c>
      <c r="G2661" s="7" t="s">
        <v>106</v>
      </c>
    </row>
    <row r="2662" spans="1:7" x14ac:dyDescent="0.2">
      <c r="A2662" s="6" t="s">
        <v>18</v>
      </c>
      <c r="B2662" s="7" t="s">
        <v>9</v>
      </c>
      <c r="C2662" s="7" t="s">
        <v>3314</v>
      </c>
      <c r="D2662" s="7">
        <v>3.2630366400000002</v>
      </c>
      <c r="E2662" s="7">
        <v>1.6847319999999999</v>
      </c>
      <c r="F2662" s="9" t="str">
        <f t="shared" si="12"/>
        <v>Direct</v>
      </c>
      <c r="G2662" s="7" t="s">
        <v>11</v>
      </c>
    </row>
    <row r="2663" spans="1:7" x14ac:dyDescent="0.2">
      <c r="A2663" s="6" t="s">
        <v>18</v>
      </c>
      <c r="B2663" s="7" t="s">
        <v>9</v>
      </c>
      <c r="C2663" s="7" t="s">
        <v>3315</v>
      </c>
      <c r="D2663" s="7">
        <v>1.2071512499999999</v>
      </c>
      <c r="E2663" s="7">
        <v>1.6711501099999999</v>
      </c>
      <c r="F2663" s="9" t="str">
        <f t="shared" si="12"/>
        <v>Direct</v>
      </c>
      <c r="G2663" s="7" t="s">
        <v>3316</v>
      </c>
    </row>
    <row r="2664" spans="1:7" x14ac:dyDescent="0.2">
      <c r="A2664" s="6" t="s">
        <v>18</v>
      </c>
      <c r="B2664" s="7" t="s">
        <v>9</v>
      </c>
      <c r="C2664" s="7" t="s">
        <v>3317</v>
      </c>
      <c r="D2664" s="7">
        <v>1.0069468500000001</v>
      </c>
      <c r="E2664" s="7">
        <v>6.11471974</v>
      </c>
      <c r="F2664" s="9" t="str">
        <f t="shared" si="12"/>
        <v>Direct</v>
      </c>
      <c r="G2664" s="7" t="s">
        <v>11</v>
      </c>
    </row>
    <row r="2665" spans="1:7" x14ac:dyDescent="0.2">
      <c r="A2665" s="6" t="s">
        <v>18</v>
      </c>
      <c r="B2665" s="7" t="s">
        <v>9</v>
      </c>
      <c r="C2665" s="7" t="s">
        <v>3318</v>
      </c>
      <c r="D2665" s="7">
        <v>-1.1455804999999999</v>
      </c>
      <c r="E2665" s="7">
        <v>-2.4057499999999998</v>
      </c>
      <c r="F2665" s="9" t="str">
        <f t="shared" si="12"/>
        <v>Direct</v>
      </c>
      <c r="G2665" s="7" t="s">
        <v>578</v>
      </c>
    </row>
    <row r="2666" spans="1:7" x14ac:dyDescent="0.2">
      <c r="A2666" s="6" t="s">
        <v>18</v>
      </c>
      <c r="B2666" s="7" t="s">
        <v>9</v>
      </c>
      <c r="C2666" s="7" t="s">
        <v>3319</v>
      </c>
      <c r="D2666" s="7">
        <v>-1.9282465</v>
      </c>
      <c r="E2666" s="7">
        <v>-2.6220637999999998</v>
      </c>
      <c r="F2666" s="9" t="str">
        <f t="shared" si="12"/>
        <v>Direct</v>
      </c>
      <c r="G2666" s="7" t="s">
        <v>2544</v>
      </c>
    </row>
    <row r="2667" spans="1:7" x14ac:dyDescent="0.2">
      <c r="A2667" s="6" t="s">
        <v>18</v>
      </c>
      <c r="B2667" s="7" t="s">
        <v>9</v>
      </c>
      <c r="C2667" s="7" t="s">
        <v>3320</v>
      </c>
      <c r="D2667" s="7">
        <v>-1.4294606000000001</v>
      </c>
      <c r="E2667" s="7">
        <v>-1.6762229</v>
      </c>
      <c r="F2667" s="9" t="str">
        <f t="shared" si="12"/>
        <v>Direct</v>
      </c>
      <c r="G2667" s="7" t="s">
        <v>11</v>
      </c>
    </row>
    <row r="2668" spans="1:7" x14ac:dyDescent="0.2">
      <c r="A2668" s="6" t="s">
        <v>18</v>
      </c>
      <c r="B2668" s="7" t="s">
        <v>9</v>
      </c>
      <c r="C2668" s="7" t="s">
        <v>3321</v>
      </c>
      <c r="D2668" s="7">
        <v>-1.0512747</v>
      </c>
      <c r="E2668" s="7">
        <v>-1.0772455999999999</v>
      </c>
      <c r="F2668" s="9" t="str">
        <f t="shared" si="12"/>
        <v>Direct</v>
      </c>
      <c r="G2668" s="7" t="s">
        <v>3322</v>
      </c>
    </row>
    <row r="2669" spans="1:7" x14ac:dyDescent="0.2">
      <c r="A2669" s="6" t="s">
        <v>18</v>
      </c>
      <c r="B2669" s="7" t="s">
        <v>9</v>
      </c>
      <c r="C2669" s="7" t="s">
        <v>3323</v>
      </c>
      <c r="D2669" s="7">
        <v>3.14996689</v>
      </c>
      <c r="E2669" s="7">
        <v>1.1788713399999999</v>
      </c>
      <c r="F2669" s="9" t="str">
        <f t="shared" si="12"/>
        <v>Direct</v>
      </c>
      <c r="G2669" s="7" t="s">
        <v>3324</v>
      </c>
    </row>
    <row r="2670" spans="1:7" x14ac:dyDescent="0.2">
      <c r="A2670" s="6" t="s">
        <v>18</v>
      </c>
      <c r="B2670" s="7" t="s">
        <v>9</v>
      </c>
      <c r="C2670" s="7" t="s">
        <v>3325</v>
      </c>
      <c r="D2670" s="7">
        <v>2.0845362999999999</v>
      </c>
      <c r="E2670" s="7">
        <v>1.12979316</v>
      </c>
      <c r="F2670" s="9" t="str">
        <f t="shared" si="12"/>
        <v>Direct</v>
      </c>
      <c r="G2670" s="7" t="s">
        <v>3324</v>
      </c>
    </row>
    <row r="2671" spans="1:7" x14ac:dyDescent="0.2">
      <c r="A2671" s="6" t="s">
        <v>18</v>
      </c>
      <c r="B2671" s="7" t="s">
        <v>9</v>
      </c>
      <c r="C2671" s="7" t="s">
        <v>3326</v>
      </c>
      <c r="D2671" s="7">
        <v>-2.5896512</v>
      </c>
      <c r="E2671" s="7">
        <v>-1.1189397999999999</v>
      </c>
      <c r="F2671" s="9" t="str">
        <f t="shared" si="12"/>
        <v>Direct</v>
      </c>
      <c r="G2671" s="7" t="s">
        <v>11</v>
      </c>
    </row>
    <row r="2672" spans="1:7" x14ac:dyDescent="0.2">
      <c r="A2672" s="6" t="s">
        <v>18</v>
      </c>
      <c r="B2672" s="7" t="s">
        <v>9</v>
      </c>
      <c r="C2672" s="7" t="s">
        <v>3327</v>
      </c>
      <c r="D2672" s="7">
        <v>-2.8965203000000002</v>
      </c>
      <c r="E2672" s="7">
        <v>-1.6209209</v>
      </c>
      <c r="F2672" s="9" t="str">
        <f t="shared" si="12"/>
        <v>Direct</v>
      </c>
      <c r="G2672" s="7" t="s">
        <v>3328</v>
      </c>
    </row>
    <row r="2673" spans="1:7" x14ac:dyDescent="0.2">
      <c r="A2673" s="6" t="s">
        <v>18</v>
      </c>
      <c r="B2673" s="7" t="s">
        <v>9</v>
      </c>
      <c r="C2673" s="7" t="s">
        <v>3329</v>
      </c>
      <c r="D2673" s="7">
        <v>-1.6496899</v>
      </c>
      <c r="E2673" s="7">
        <v>-1.7528357999999999</v>
      </c>
      <c r="F2673" s="9" t="str">
        <f t="shared" si="12"/>
        <v>Direct</v>
      </c>
      <c r="G2673" s="7" t="s">
        <v>3330</v>
      </c>
    </row>
    <row r="2674" spans="1:7" x14ac:dyDescent="0.2">
      <c r="A2674" s="6" t="s">
        <v>18</v>
      </c>
      <c r="B2674" s="7" t="s">
        <v>9</v>
      </c>
      <c r="C2674" s="7" t="s">
        <v>3331</v>
      </c>
      <c r="D2674" s="7">
        <v>1.1935206599999999</v>
      </c>
      <c r="E2674" s="7">
        <v>1.3630573699999999</v>
      </c>
      <c r="F2674" s="9" t="str">
        <f t="shared" si="12"/>
        <v>Direct</v>
      </c>
      <c r="G2674" s="7" t="s">
        <v>3332</v>
      </c>
    </row>
    <row r="2675" spans="1:7" x14ac:dyDescent="0.2">
      <c r="A2675" s="6" t="s">
        <v>18</v>
      </c>
      <c r="B2675" s="7" t="s">
        <v>9</v>
      </c>
      <c r="C2675" s="7" t="s">
        <v>3333</v>
      </c>
      <c r="D2675" s="7">
        <v>-2.1818936</v>
      </c>
      <c r="E2675" s="7">
        <v>-1.4424593999999999</v>
      </c>
      <c r="F2675" s="9" t="str">
        <f t="shared" si="12"/>
        <v>Direct</v>
      </c>
      <c r="G2675" s="7" t="s">
        <v>712</v>
      </c>
    </row>
    <row r="2676" spans="1:7" x14ac:dyDescent="0.2">
      <c r="A2676" s="6" t="s">
        <v>18</v>
      </c>
      <c r="B2676" s="7" t="s">
        <v>9</v>
      </c>
      <c r="C2676" s="7" t="s">
        <v>3334</v>
      </c>
      <c r="D2676" s="7">
        <v>-3.6806245999999998</v>
      </c>
      <c r="E2676" s="7">
        <v>-1.8195425000000001</v>
      </c>
      <c r="F2676" s="9" t="str">
        <f t="shared" si="12"/>
        <v>Direct</v>
      </c>
      <c r="G2676" s="7" t="s">
        <v>3335</v>
      </c>
    </row>
    <row r="2677" spans="1:7" x14ac:dyDescent="0.2">
      <c r="A2677" s="6" t="s">
        <v>18</v>
      </c>
      <c r="B2677" s="7" t="s">
        <v>9</v>
      </c>
      <c r="C2677" s="7" t="s">
        <v>3336</v>
      </c>
      <c r="D2677" s="7">
        <v>1.3881561899999999</v>
      </c>
      <c r="E2677" s="7">
        <v>1.8132571500000001</v>
      </c>
      <c r="F2677" s="9" t="str">
        <f t="shared" si="12"/>
        <v>Direct</v>
      </c>
      <c r="G2677" s="7" t="s">
        <v>11</v>
      </c>
    </row>
    <row r="2678" spans="1:7" x14ac:dyDescent="0.2">
      <c r="A2678" s="6" t="s">
        <v>18</v>
      </c>
      <c r="B2678" s="7" t="s">
        <v>9</v>
      </c>
      <c r="C2678" s="7" t="s">
        <v>3337</v>
      </c>
      <c r="D2678" s="7">
        <v>-1.6385316000000001</v>
      </c>
      <c r="E2678" s="7">
        <v>-1.3490518</v>
      </c>
      <c r="F2678" s="9" t="str">
        <f t="shared" si="12"/>
        <v>Direct</v>
      </c>
      <c r="G2678" s="7" t="s">
        <v>56</v>
      </c>
    </row>
    <row r="2679" spans="1:7" x14ac:dyDescent="0.2">
      <c r="A2679" s="6" t="s">
        <v>18</v>
      </c>
      <c r="B2679" s="7" t="s">
        <v>9</v>
      </c>
      <c r="C2679" s="7" t="s">
        <v>3338</v>
      </c>
      <c r="D2679" s="7">
        <v>1.16505112</v>
      </c>
      <c r="E2679" s="7">
        <v>1.13234302</v>
      </c>
      <c r="F2679" s="9" t="str">
        <f t="shared" si="12"/>
        <v>Direct</v>
      </c>
      <c r="G2679" s="7" t="s">
        <v>11</v>
      </c>
    </row>
    <row r="2680" spans="1:7" x14ac:dyDescent="0.2">
      <c r="A2680" s="6" t="s">
        <v>18</v>
      </c>
      <c r="B2680" s="7" t="s">
        <v>9</v>
      </c>
      <c r="C2680" s="7" t="s">
        <v>3339</v>
      </c>
      <c r="D2680" s="7">
        <v>-1.3423415999999999</v>
      </c>
      <c r="E2680" s="7">
        <v>-1.2969024</v>
      </c>
      <c r="F2680" s="9" t="str">
        <f t="shared" si="12"/>
        <v>Direct</v>
      </c>
      <c r="G2680" s="7" t="s">
        <v>11</v>
      </c>
    </row>
    <row r="2681" spans="1:7" x14ac:dyDescent="0.2">
      <c r="A2681" s="6" t="s">
        <v>18</v>
      </c>
      <c r="B2681" s="7" t="s">
        <v>9</v>
      </c>
      <c r="C2681" s="7" t="s">
        <v>3340</v>
      </c>
      <c r="D2681" s="7">
        <v>-2.1621977999999999</v>
      </c>
      <c r="E2681" s="7">
        <v>-3.5860935</v>
      </c>
      <c r="F2681" s="9" t="str">
        <f t="shared" si="12"/>
        <v>Direct</v>
      </c>
      <c r="G2681" s="7" t="s">
        <v>3341</v>
      </c>
    </row>
    <row r="2682" spans="1:7" x14ac:dyDescent="0.2">
      <c r="A2682" s="6" t="s">
        <v>18</v>
      </c>
      <c r="B2682" s="7" t="s">
        <v>9</v>
      </c>
      <c r="C2682" s="7" t="s">
        <v>3342</v>
      </c>
      <c r="D2682" s="7">
        <v>-1.6253247</v>
      </c>
      <c r="E2682" s="7">
        <v>-1.2068979</v>
      </c>
      <c r="F2682" s="9" t="str">
        <f t="shared" si="12"/>
        <v>Direct</v>
      </c>
      <c r="G2682" s="7" t="s">
        <v>11</v>
      </c>
    </row>
    <row r="2683" spans="1:7" x14ac:dyDescent="0.2">
      <c r="A2683" s="6" t="s">
        <v>18</v>
      </c>
      <c r="B2683" s="7" t="s">
        <v>9</v>
      </c>
      <c r="C2683" s="7" t="s">
        <v>3343</v>
      </c>
      <c r="D2683" s="7">
        <v>-1.9599328</v>
      </c>
      <c r="E2683" s="7">
        <v>-4.9644237000000002</v>
      </c>
      <c r="F2683" s="9" t="str">
        <f t="shared" si="12"/>
        <v>Direct</v>
      </c>
      <c r="G2683" s="7" t="s">
        <v>3324</v>
      </c>
    </row>
    <row r="2684" spans="1:7" x14ac:dyDescent="0.2">
      <c r="A2684" s="6" t="s">
        <v>18</v>
      </c>
      <c r="B2684" s="7" t="s">
        <v>9</v>
      </c>
      <c r="C2684" s="7" t="s">
        <v>3344</v>
      </c>
      <c r="D2684" s="7">
        <v>-1.6253247</v>
      </c>
      <c r="E2684" s="7">
        <v>-1.6111599999999999</v>
      </c>
      <c r="F2684" s="9" t="str">
        <f t="shared" si="12"/>
        <v>Direct</v>
      </c>
      <c r="G2684" s="7" t="s">
        <v>11</v>
      </c>
    </row>
    <row r="2685" spans="1:7" x14ac:dyDescent="0.2">
      <c r="A2685" s="6" t="s">
        <v>18</v>
      </c>
      <c r="B2685" s="7" t="s">
        <v>9</v>
      </c>
      <c r="C2685" s="7" t="s">
        <v>3345</v>
      </c>
      <c r="D2685" s="7">
        <v>-1.7346017</v>
      </c>
      <c r="E2685" s="7">
        <v>-2.4561145999999998</v>
      </c>
      <c r="F2685" s="9" t="str">
        <f t="shared" si="12"/>
        <v>Direct</v>
      </c>
      <c r="G2685" s="7" t="s">
        <v>11</v>
      </c>
    </row>
    <row r="2686" spans="1:7" x14ac:dyDescent="0.2">
      <c r="A2686" s="6" t="s">
        <v>18</v>
      </c>
      <c r="B2686" s="7" t="s">
        <v>9</v>
      </c>
      <c r="C2686" s="7" t="s">
        <v>3346</v>
      </c>
      <c r="D2686" s="7">
        <v>-2.4528574999999999</v>
      </c>
      <c r="E2686" s="7">
        <v>-1.2041904000000001</v>
      </c>
      <c r="F2686" s="9" t="str">
        <f t="shared" si="12"/>
        <v>Direct</v>
      </c>
      <c r="G2686" s="7" t="s">
        <v>11</v>
      </c>
    </row>
    <row r="2687" spans="1:7" x14ac:dyDescent="0.2">
      <c r="A2687" s="6" t="s">
        <v>18</v>
      </c>
      <c r="B2687" s="7" t="s">
        <v>9</v>
      </c>
      <c r="C2687" s="7" t="s">
        <v>3347</v>
      </c>
      <c r="D2687" s="7">
        <v>1.8829236199999999</v>
      </c>
      <c r="E2687" s="7">
        <v>3.4077380900000001</v>
      </c>
      <c r="F2687" s="9" t="str">
        <f t="shared" si="12"/>
        <v>Direct</v>
      </c>
      <c r="G2687" s="7" t="s">
        <v>3348</v>
      </c>
    </row>
    <row r="2688" spans="1:7" x14ac:dyDescent="0.2">
      <c r="A2688" s="6" t="s">
        <v>18</v>
      </c>
      <c r="B2688" s="7" t="s">
        <v>9</v>
      </c>
      <c r="C2688" s="7" t="s">
        <v>3349</v>
      </c>
      <c r="D2688" s="7">
        <v>1.38201565</v>
      </c>
      <c r="E2688" s="7">
        <v>1.2942596900000001</v>
      </c>
      <c r="F2688" s="9" t="str">
        <f t="shared" si="12"/>
        <v>Direct</v>
      </c>
      <c r="G2688" s="7" t="s">
        <v>3350</v>
      </c>
    </row>
    <row r="2689" spans="1:7" x14ac:dyDescent="0.2">
      <c r="A2689" s="6" t="s">
        <v>18</v>
      </c>
      <c r="B2689" s="7" t="s">
        <v>9</v>
      </c>
      <c r="C2689" s="7" t="s">
        <v>3351</v>
      </c>
      <c r="D2689" s="7">
        <v>2.1151129499999999</v>
      </c>
      <c r="E2689" s="7">
        <v>1.1767831399999999</v>
      </c>
      <c r="F2689" s="9" t="str">
        <f t="shared" si="12"/>
        <v>Direct</v>
      </c>
      <c r="G2689" s="7" t="s">
        <v>3352</v>
      </c>
    </row>
    <row r="2690" spans="1:7" x14ac:dyDescent="0.2">
      <c r="A2690" s="6" t="s">
        <v>18</v>
      </c>
      <c r="B2690" s="7" t="s">
        <v>9</v>
      </c>
      <c r="C2690" s="7" t="s">
        <v>3353</v>
      </c>
      <c r="D2690" s="7">
        <v>-2.0449902</v>
      </c>
      <c r="E2690" s="7">
        <v>-1.3811931</v>
      </c>
      <c r="F2690" s="9" t="str">
        <f t="shared" si="12"/>
        <v>Direct</v>
      </c>
      <c r="G2690" s="7" t="s">
        <v>3354</v>
      </c>
    </row>
    <row r="2691" spans="1:7" x14ac:dyDescent="0.2">
      <c r="A2691" s="6" t="s">
        <v>18</v>
      </c>
      <c r="B2691" s="7" t="s">
        <v>9</v>
      </c>
      <c r="C2691" s="7" t="s">
        <v>3355</v>
      </c>
      <c r="D2691" s="7">
        <v>-3.1116092000000002</v>
      </c>
      <c r="E2691" s="7">
        <v>-4.5053916999999997</v>
      </c>
      <c r="F2691" s="9" t="str">
        <f t="shared" si="12"/>
        <v>Direct</v>
      </c>
      <c r="G2691" s="7" t="s">
        <v>11</v>
      </c>
    </row>
    <row r="2692" spans="1:7" x14ac:dyDescent="0.2">
      <c r="A2692" s="6" t="s">
        <v>18</v>
      </c>
      <c r="B2692" s="7" t="s">
        <v>9</v>
      </c>
      <c r="C2692" s="7" t="s">
        <v>3356</v>
      </c>
      <c r="D2692" s="7">
        <v>1.6384421600000001</v>
      </c>
      <c r="E2692" s="7">
        <v>1.44780153</v>
      </c>
      <c r="F2692" s="9" t="str">
        <f t="shared" si="12"/>
        <v>Direct</v>
      </c>
      <c r="G2692" s="7" t="s">
        <v>3357</v>
      </c>
    </row>
    <row r="2693" spans="1:7" x14ac:dyDescent="0.2">
      <c r="A2693" s="6" t="s">
        <v>18</v>
      </c>
      <c r="B2693" s="7" t="s">
        <v>9</v>
      </c>
      <c r="C2693" s="7" t="s">
        <v>3358</v>
      </c>
      <c r="D2693" s="7">
        <v>1.7920179300000001</v>
      </c>
      <c r="E2693" s="7">
        <v>4.8495297099999997</v>
      </c>
      <c r="F2693" s="9" t="str">
        <f t="shared" si="12"/>
        <v>Direct</v>
      </c>
      <c r="G2693" s="7" t="s">
        <v>11</v>
      </c>
    </row>
    <row r="2694" spans="1:7" x14ac:dyDescent="0.2">
      <c r="A2694" s="6" t="s">
        <v>18</v>
      </c>
      <c r="B2694" s="7" t="s">
        <v>9</v>
      </c>
      <c r="C2694" s="7" t="s">
        <v>3359</v>
      </c>
      <c r="D2694" s="7">
        <v>-1.8573611000000001</v>
      </c>
      <c r="E2694" s="7">
        <v>-1.4663264</v>
      </c>
      <c r="F2694" s="9" t="str">
        <f t="shared" si="12"/>
        <v>Direct</v>
      </c>
      <c r="G2694" s="7" t="s">
        <v>716</v>
      </c>
    </row>
    <row r="2695" spans="1:7" x14ac:dyDescent="0.2">
      <c r="A2695" s="6" t="s">
        <v>18</v>
      </c>
      <c r="B2695" s="7" t="s">
        <v>9</v>
      </c>
      <c r="C2695" s="7" t="s">
        <v>3360</v>
      </c>
      <c r="D2695" s="7">
        <v>2.08534138</v>
      </c>
      <c r="E2695" s="7">
        <v>3.0375770700000002</v>
      </c>
      <c r="F2695" s="9" t="str">
        <f t="shared" si="12"/>
        <v>Direct</v>
      </c>
      <c r="G2695" s="7" t="s">
        <v>11</v>
      </c>
    </row>
    <row r="2696" spans="1:7" x14ac:dyDescent="0.2">
      <c r="A2696" s="6" t="s">
        <v>18</v>
      </c>
      <c r="B2696" s="7" t="s">
        <v>9</v>
      </c>
      <c r="C2696" s="7" t="s">
        <v>3361</v>
      </c>
      <c r="D2696" s="7">
        <v>1.90453546</v>
      </c>
      <c r="E2696" s="7">
        <v>1.01312702</v>
      </c>
      <c r="F2696" s="9" t="str">
        <f t="shared" si="12"/>
        <v>Direct</v>
      </c>
      <c r="G2696" s="7" t="s">
        <v>3362</v>
      </c>
    </row>
    <row r="2697" spans="1:7" x14ac:dyDescent="0.2">
      <c r="A2697" s="6" t="s">
        <v>18</v>
      </c>
      <c r="B2697" s="7" t="s">
        <v>9</v>
      </c>
      <c r="C2697" s="7" t="s">
        <v>3363</v>
      </c>
      <c r="D2697" s="7">
        <v>-1.9129312000000001</v>
      </c>
      <c r="E2697" s="7">
        <v>-1.9066308999999999</v>
      </c>
      <c r="F2697" s="9" t="str">
        <f t="shared" si="12"/>
        <v>Direct</v>
      </c>
      <c r="G2697" s="7" t="s">
        <v>3364</v>
      </c>
    </row>
    <row r="2698" spans="1:7" x14ac:dyDescent="0.2">
      <c r="A2698" s="6" t="s">
        <v>18</v>
      </c>
      <c r="B2698" s="7" t="s">
        <v>9</v>
      </c>
      <c r="C2698" s="7" t="s">
        <v>3365</v>
      </c>
      <c r="D2698" s="7">
        <v>-1.7536714</v>
      </c>
      <c r="E2698" s="7">
        <v>-1.1231901</v>
      </c>
      <c r="F2698" s="9" t="str">
        <f t="shared" si="12"/>
        <v>Direct</v>
      </c>
      <c r="G2698" s="7" t="s">
        <v>83</v>
      </c>
    </row>
    <row r="2699" spans="1:7" x14ac:dyDescent="0.2">
      <c r="A2699" s="6" t="s">
        <v>18</v>
      </c>
      <c r="B2699" s="7" t="s">
        <v>9</v>
      </c>
      <c r="C2699" s="7" t="s">
        <v>3366</v>
      </c>
      <c r="D2699" s="7">
        <v>-1.946531</v>
      </c>
      <c r="E2699" s="7">
        <v>-2.2405852999999998</v>
      </c>
      <c r="F2699" s="9" t="str">
        <f t="shared" si="12"/>
        <v>Direct</v>
      </c>
      <c r="G2699" s="7" t="s">
        <v>3367</v>
      </c>
    </row>
    <row r="2700" spans="1:7" x14ac:dyDescent="0.2">
      <c r="A2700" s="6" t="s">
        <v>18</v>
      </c>
      <c r="B2700" s="7" t="s">
        <v>9</v>
      </c>
      <c r="C2700" s="7" t="s">
        <v>3368</v>
      </c>
      <c r="D2700" s="7">
        <v>1.0546735300000001</v>
      </c>
      <c r="E2700" s="7">
        <v>-1.3949244000000001</v>
      </c>
      <c r="F2700" s="9" t="str">
        <f t="shared" si="12"/>
        <v>Inverse</v>
      </c>
      <c r="G2700" s="7" t="s">
        <v>3369</v>
      </c>
    </row>
    <row r="2701" spans="1:7" x14ac:dyDescent="0.2">
      <c r="A2701" s="6" t="s">
        <v>18</v>
      </c>
      <c r="B2701" s="7" t="s">
        <v>9</v>
      </c>
      <c r="C2701" s="7" t="s">
        <v>3370</v>
      </c>
      <c r="D2701" s="7">
        <v>1.0687276699999999</v>
      </c>
      <c r="E2701" s="7">
        <v>1.0873950800000001</v>
      </c>
      <c r="F2701" s="9" t="str">
        <f t="shared" si="12"/>
        <v>Direct</v>
      </c>
      <c r="G2701" s="7" t="s">
        <v>11</v>
      </c>
    </row>
    <row r="2702" spans="1:7" x14ac:dyDescent="0.2">
      <c r="A2702" s="6" t="s">
        <v>18</v>
      </c>
      <c r="B2702" s="7" t="s">
        <v>9</v>
      </c>
      <c r="C2702" s="7" t="s">
        <v>3371</v>
      </c>
      <c r="D2702" s="7">
        <v>1.4240041299999999</v>
      </c>
      <c r="E2702" s="7">
        <v>1.7076963599999999</v>
      </c>
      <c r="F2702" s="9" t="str">
        <f t="shared" si="12"/>
        <v>Direct</v>
      </c>
      <c r="G2702" s="7" t="s">
        <v>3372</v>
      </c>
    </row>
    <row r="2703" spans="1:7" x14ac:dyDescent="0.2">
      <c r="A2703" s="6" t="s">
        <v>18</v>
      </c>
      <c r="B2703" s="7" t="s">
        <v>9</v>
      </c>
      <c r="C2703" s="7" t="s">
        <v>3373</v>
      </c>
      <c r="D2703" s="7">
        <v>-2.0087028</v>
      </c>
      <c r="E2703" s="7">
        <v>-2.6479542</v>
      </c>
      <c r="F2703" s="9" t="str">
        <f t="shared" si="12"/>
        <v>Direct</v>
      </c>
      <c r="G2703" s="7" t="s">
        <v>3372</v>
      </c>
    </row>
    <row r="2704" spans="1:7" x14ac:dyDescent="0.2">
      <c r="A2704" s="6" t="s">
        <v>18</v>
      </c>
      <c r="B2704" s="7" t="s">
        <v>9</v>
      </c>
      <c r="C2704" s="7" t="s">
        <v>3374</v>
      </c>
      <c r="D2704" s="7">
        <v>4.4312434300000003</v>
      </c>
      <c r="E2704" s="7">
        <v>1.3633987400000001</v>
      </c>
      <c r="F2704" s="9" t="str">
        <f t="shared" si="12"/>
        <v>Direct</v>
      </c>
      <c r="G2704" s="7" t="s">
        <v>3372</v>
      </c>
    </row>
    <row r="2705" spans="1:7" x14ac:dyDescent="0.2">
      <c r="A2705" s="6" t="s">
        <v>18</v>
      </c>
      <c r="B2705" s="7" t="s">
        <v>9</v>
      </c>
      <c r="C2705" s="7" t="s">
        <v>3375</v>
      </c>
      <c r="D2705" s="7">
        <v>-1.7293514000000001</v>
      </c>
      <c r="E2705" s="7">
        <v>-2.0133703000000001</v>
      </c>
      <c r="F2705" s="9" t="str">
        <f t="shared" si="12"/>
        <v>Direct</v>
      </c>
      <c r="G2705" s="7" t="s">
        <v>11</v>
      </c>
    </row>
    <row r="2706" spans="1:7" x14ac:dyDescent="0.2">
      <c r="A2706" s="6" t="s">
        <v>18</v>
      </c>
      <c r="B2706" s="7" t="s">
        <v>9</v>
      </c>
      <c r="C2706" s="7" t="s">
        <v>3376</v>
      </c>
      <c r="D2706" s="7">
        <v>2.0593587000000002</v>
      </c>
      <c r="E2706" s="7">
        <v>2.1013779600000002</v>
      </c>
      <c r="F2706" s="9" t="str">
        <f t="shared" si="12"/>
        <v>Direct</v>
      </c>
      <c r="G2706" s="7" t="s">
        <v>3377</v>
      </c>
    </row>
    <row r="2707" spans="1:7" x14ac:dyDescent="0.2">
      <c r="A2707" s="6" t="s">
        <v>18</v>
      </c>
      <c r="B2707" s="7" t="s">
        <v>9</v>
      </c>
      <c r="C2707" s="7" t="s">
        <v>3378</v>
      </c>
      <c r="D2707" s="7">
        <v>-1.2068695</v>
      </c>
      <c r="E2707" s="7">
        <v>-1.0407774999999999</v>
      </c>
      <c r="F2707" s="9" t="str">
        <f t="shared" si="12"/>
        <v>Direct</v>
      </c>
      <c r="G2707" s="7" t="s">
        <v>11</v>
      </c>
    </row>
    <row r="2708" spans="1:7" x14ac:dyDescent="0.2">
      <c r="A2708" s="6" t="s">
        <v>18</v>
      </c>
      <c r="B2708" s="7" t="s">
        <v>9</v>
      </c>
      <c r="C2708" s="7" t="s">
        <v>3379</v>
      </c>
      <c r="D2708" s="7">
        <v>-2.8370071000000001</v>
      </c>
      <c r="E2708" s="7">
        <v>-3.8751783999999998</v>
      </c>
      <c r="F2708" s="9" t="str">
        <f t="shared" si="12"/>
        <v>Direct</v>
      </c>
      <c r="G2708" s="7" t="s">
        <v>11</v>
      </c>
    </row>
    <row r="2709" spans="1:7" x14ac:dyDescent="0.2">
      <c r="A2709" s="6" t="s">
        <v>18</v>
      </c>
      <c r="B2709" s="7" t="s">
        <v>9</v>
      </c>
      <c r="C2709" s="7" t="s">
        <v>3380</v>
      </c>
      <c r="D2709" s="7">
        <v>1.8813550800000001</v>
      </c>
      <c r="E2709" s="7">
        <v>1.1729874899999999</v>
      </c>
      <c r="F2709" s="9" t="str">
        <f t="shared" si="12"/>
        <v>Direct</v>
      </c>
      <c r="G2709" s="7" t="s">
        <v>886</v>
      </c>
    </row>
    <row r="2710" spans="1:7" x14ac:dyDescent="0.2">
      <c r="A2710" s="6" t="s">
        <v>18</v>
      </c>
      <c r="B2710" s="7" t="s">
        <v>9</v>
      </c>
      <c r="C2710" s="7" t="s">
        <v>3381</v>
      </c>
      <c r="D2710" s="7">
        <v>1.5968702400000001</v>
      </c>
      <c r="E2710" s="7">
        <v>2.0701891400000001</v>
      </c>
      <c r="F2710" s="9" t="str">
        <f t="shared" si="12"/>
        <v>Direct</v>
      </c>
      <c r="G2710" s="7" t="s">
        <v>3382</v>
      </c>
    </row>
    <row r="2711" spans="1:7" x14ac:dyDescent="0.2">
      <c r="A2711" s="6" t="s">
        <v>18</v>
      </c>
      <c r="B2711" s="7" t="s">
        <v>9</v>
      </c>
      <c r="C2711" s="7" t="s">
        <v>3383</v>
      </c>
      <c r="D2711" s="7">
        <v>1.3128037100000001</v>
      </c>
      <c r="E2711" s="7">
        <v>1.12707201</v>
      </c>
      <c r="F2711" s="9" t="str">
        <f t="shared" si="12"/>
        <v>Direct</v>
      </c>
      <c r="G2711" s="7" t="s">
        <v>11</v>
      </c>
    </row>
    <row r="2712" spans="1:7" x14ac:dyDescent="0.2">
      <c r="A2712" s="6" t="s">
        <v>18</v>
      </c>
      <c r="B2712" s="7" t="s">
        <v>9</v>
      </c>
      <c r="C2712" s="7" t="s">
        <v>3384</v>
      </c>
      <c r="D2712" s="7">
        <v>-1.1319330000000001</v>
      </c>
      <c r="E2712" s="7">
        <v>-1.0084247</v>
      </c>
      <c r="F2712" s="9" t="str">
        <f t="shared" si="12"/>
        <v>Direct</v>
      </c>
      <c r="G2712" s="7" t="s">
        <v>2547</v>
      </c>
    </row>
    <row r="2713" spans="1:7" x14ac:dyDescent="0.2">
      <c r="A2713" s="6" t="s">
        <v>18</v>
      </c>
      <c r="B2713" s="7" t="s">
        <v>9</v>
      </c>
      <c r="C2713" s="7" t="s">
        <v>3385</v>
      </c>
      <c r="D2713" s="7">
        <v>1.67930015</v>
      </c>
      <c r="E2713" s="7">
        <v>1.0393806400000001</v>
      </c>
      <c r="F2713" s="9" t="str">
        <f t="shared" si="12"/>
        <v>Direct</v>
      </c>
      <c r="G2713" s="7" t="s">
        <v>3386</v>
      </c>
    </row>
    <row r="2714" spans="1:7" x14ac:dyDescent="0.2">
      <c r="A2714" s="6" t="s">
        <v>18</v>
      </c>
      <c r="B2714" s="7" t="s">
        <v>9</v>
      </c>
      <c r="C2714" s="7" t="s">
        <v>3387</v>
      </c>
      <c r="D2714" s="7">
        <v>-1.0708770999999999</v>
      </c>
      <c r="E2714" s="7">
        <v>-1.9758305</v>
      </c>
      <c r="F2714" s="9" t="str">
        <f t="shared" si="12"/>
        <v>Direct</v>
      </c>
      <c r="G2714" s="7" t="s">
        <v>3388</v>
      </c>
    </row>
    <row r="2715" spans="1:7" x14ac:dyDescent="0.2">
      <c r="A2715" s="6" t="s">
        <v>18</v>
      </c>
      <c r="B2715" s="7" t="s">
        <v>9</v>
      </c>
      <c r="C2715" s="7" t="s">
        <v>3389</v>
      </c>
      <c r="D2715" s="7">
        <v>-1.5566914999999999</v>
      </c>
      <c r="E2715" s="7">
        <v>-1.0814295</v>
      </c>
      <c r="F2715" s="9" t="str">
        <f t="shared" si="12"/>
        <v>Direct</v>
      </c>
      <c r="G2715" s="7" t="s">
        <v>3390</v>
      </c>
    </row>
    <row r="2716" spans="1:7" x14ac:dyDescent="0.2">
      <c r="A2716" s="6" t="s">
        <v>18</v>
      </c>
      <c r="B2716" s="7" t="s">
        <v>9</v>
      </c>
      <c r="C2716" s="7" t="s">
        <v>3391</v>
      </c>
      <c r="D2716" s="7">
        <v>-1.3474485</v>
      </c>
      <c r="E2716" s="7">
        <v>-1.6130376</v>
      </c>
      <c r="F2716" s="9" t="str">
        <f t="shared" si="12"/>
        <v>Direct</v>
      </c>
      <c r="G2716" s="7" t="s">
        <v>3392</v>
      </c>
    </row>
    <row r="2717" spans="1:7" x14ac:dyDescent="0.2">
      <c r="A2717" s="6" t="s">
        <v>18</v>
      </c>
      <c r="B2717" s="7" t="s">
        <v>9</v>
      </c>
      <c r="C2717" s="7" t="s">
        <v>3393</v>
      </c>
      <c r="D2717" s="7">
        <v>-2.5045511</v>
      </c>
      <c r="E2717" s="7">
        <v>-1.2556754000000001</v>
      </c>
      <c r="F2717" s="9" t="str">
        <f t="shared" si="12"/>
        <v>Direct</v>
      </c>
      <c r="G2717" s="7" t="s">
        <v>3394</v>
      </c>
    </row>
    <row r="2718" spans="1:7" x14ac:dyDescent="0.2">
      <c r="A2718" s="6" t="s">
        <v>18</v>
      </c>
      <c r="B2718" s="7" t="s">
        <v>9</v>
      </c>
      <c r="C2718" s="7" t="s">
        <v>3395</v>
      </c>
      <c r="D2718" s="7">
        <v>2.50315368</v>
      </c>
      <c r="E2718" s="7">
        <v>2.8239665999999999</v>
      </c>
      <c r="F2718" s="9" t="str">
        <f t="shared" si="12"/>
        <v>Direct</v>
      </c>
      <c r="G2718" s="7" t="s">
        <v>3396</v>
      </c>
    </row>
    <row r="2719" spans="1:7" x14ac:dyDescent="0.2">
      <c r="A2719" s="6" t="s">
        <v>18</v>
      </c>
      <c r="B2719" s="7" t="s">
        <v>9</v>
      </c>
      <c r="C2719" s="7" t="s">
        <v>3397</v>
      </c>
      <c r="D2719" s="7">
        <v>-1.4108943</v>
      </c>
      <c r="E2719" s="7">
        <v>-1.7243189000000001</v>
      </c>
      <c r="F2719" s="9" t="str">
        <f t="shared" si="12"/>
        <v>Direct</v>
      </c>
      <c r="G2719" s="7" t="s">
        <v>11</v>
      </c>
    </row>
    <row r="2720" spans="1:7" x14ac:dyDescent="0.2">
      <c r="A2720" s="6" t="s">
        <v>18</v>
      </c>
      <c r="B2720" s="7" t="s">
        <v>9</v>
      </c>
      <c r="C2720" s="7" t="s">
        <v>3398</v>
      </c>
      <c r="D2720" s="7">
        <v>-3.4012614000000001</v>
      </c>
      <c r="E2720" s="7">
        <v>-1.4319793000000001</v>
      </c>
      <c r="F2720" s="9" t="str">
        <f t="shared" si="12"/>
        <v>Direct</v>
      </c>
      <c r="G2720" s="7" t="s">
        <v>11</v>
      </c>
    </row>
    <row r="2721" spans="1:7" x14ac:dyDescent="0.2">
      <c r="A2721" s="6" t="s">
        <v>18</v>
      </c>
      <c r="B2721" s="7" t="s">
        <v>9</v>
      </c>
      <c r="C2721" s="7" t="s">
        <v>3399</v>
      </c>
      <c r="D2721" s="7">
        <v>-1.0354718000000001</v>
      </c>
      <c r="E2721" s="7">
        <v>-2.1263033</v>
      </c>
      <c r="F2721" s="9" t="str">
        <f t="shared" si="12"/>
        <v>Direct</v>
      </c>
      <c r="G2721" s="7" t="s">
        <v>11</v>
      </c>
    </row>
    <row r="2722" spans="1:7" x14ac:dyDescent="0.2">
      <c r="A2722" s="6" t="s">
        <v>18</v>
      </c>
      <c r="B2722" s="7" t="s">
        <v>9</v>
      </c>
      <c r="C2722" s="7" t="s">
        <v>3400</v>
      </c>
      <c r="D2722" s="7">
        <v>-1.3705832</v>
      </c>
      <c r="E2722" s="7">
        <v>-2.6667179999999999</v>
      </c>
      <c r="F2722" s="9" t="str">
        <f t="shared" si="12"/>
        <v>Direct</v>
      </c>
      <c r="G2722" s="7" t="s">
        <v>11</v>
      </c>
    </row>
    <row r="2723" spans="1:7" x14ac:dyDescent="0.2">
      <c r="A2723" s="6" t="s">
        <v>18</v>
      </c>
      <c r="B2723" s="7" t="s">
        <v>9</v>
      </c>
      <c r="C2723" s="7" t="s">
        <v>3401</v>
      </c>
      <c r="D2723" s="7">
        <v>3.5956369100000001</v>
      </c>
      <c r="E2723" s="7">
        <v>1.31647731</v>
      </c>
      <c r="F2723" s="9" t="str">
        <f t="shared" si="12"/>
        <v>Direct</v>
      </c>
      <c r="G2723" s="7" t="s">
        <v>886</v>
      </c>
    </row>
    <row r="2724" spans="1:7" x14ac:dyDescent="0.2">
      <c r="A2724" s="6" t="s">
        <v>18</v>
      </c>
      <c r="B2724" s="7" t="s">
        <v>9</v>
      </c>
      <c r="C2724" s="7" t="s">
        <v>3402</v>
      </c>
      <c r="D2724" s="7">
        <v>3.1665643700000001</v>
      </c>
      <c r="E2724" s="7">
        <v>2.0358461700000001</v>
      </c>
      <c r="F2724" s="9" t="str">
        <f t="shared" si="12"/>
        <v>Direct</v>
      </c>
      <c r="G2724" s="7" t="s">
        <v>3403</v>
      </c>
    </row>
    <row r="2725" spans="1:7" x14ac:dyDescent="0.2">
      <c r="A2725" s="6" t="s">
        <v>18</v>
      </c>
      <c r="B2725" s="7" t="s">
        <v>9</v>
      </c>
      <c r="C2725" s="7" t="s">
        <v>3404</v>
      </c>
      <c r="D2725" s="7">
        <v>1.53007344</v>
      </c>
      <c r="E2725" s="7">
        <v>1.2582473700000001</v>
      </c>
      <c r="F2725" s="9" t="str">
        <f t="shared" si="12"/>
        <v>Direct</v>
      </c>
      <c r="G2725" s="7" t="s">
        <v>3151</v>
      </c>
    </row>
    <row r="2726" spans="1:7" x14ac:dyDescent="0.2">
      <c r="A2726" s="6" t="s">
        <v>18</v>
      </c>
      <c r="B2726" s="7" t="s">
        <v>9</v>
      </c>
      <c r="C2726" s="7" t="s">
        <v>3405</v>
      </c>
      <c r="D2726" s="7">
        <v>-1.0482023</v>
      </c>
      <c r="E2726" s="7">
        <v>-1.0674675</v>
      </c>
      <c r="F2726" s="9" t="str">
        <f t="shared" si="12"/>
        <v>Direct</v>
      </c>
      <c r="G2726" s="7" t="s">
        <v>248</v>
      </c>
    </row>
    <row r="2727" spans="1:7" x14ac:dyDescent="0.2">
      <c r="A2727" s="6" t="s">
        <v>18</v>
      </c>
      <c r="B2727" s="7" t="s">
        <v>9</v>
      </c>
      <c r="C2727" s="7" t="s">
        <v>3406</v>
      </c>
      <c r="D2727" s="7">
        <v>5.1619907200000004</v>
      </c>
      <c r="E2727" s="7">
        <v>4.6799837799999997</v>
      </c>
      <c r="F2727" s="9" t="str">
        <f t="shared" si="12"/>
        <v>Direct</v>
      </c>
      <c r="G2727" s="7" t="s">
        <v>11</v>
      </c>
    </row>
    <row r="2728" spans="1:7" x14ac:dyDescent="0.2">
      <c r="A2728" s="6" t="s">
        <v>18</v>
      </c>
      <c r="B2728" s="7" t="s">
        <v>9</v>
      </c>
      <c r="C2728" s="7" t="s">
        <v>3407</v>
      </c>
      <c r="D2728" s="7">
        <v>1.5321345900000001</v>
      </c>
      <c r="E2728" s="7">
        <v>1.33017338</v>
      </c>
      <c r="F2728" s="9" t="str">
        <f t="shared" si="12"/>
        <v>Direct</v>
      </c>
      <c r="G2728" s="7" t="s">
        <v>11</v>
      </c>
    </row>
    <row r="2729" spans="1:7" x14ac:dyDescent="0.2">
      <c r="A2729" s="6" t="s">
        <v>18</v>
      </c>
      <c r="B2729" s="7" t="s">
        <v>9</v>
      </c>
      <c r="C2729" s="7" t="s">
        <v>3408</v>
      </c>
      <c r="D2729" s="7">
        <v>-1.1100700999999999</v>
      </c>
      <c r="E2729" s="7">
        <v>-1.2630353999999999</v>
      </c>
      <c r="F2729" s="9" t="str">
        <f t="shared" si="12"/>
        <v>Direct</v>
      </c>
      <c r="G2729" s="7" t="s">
        <v>3409</v>
      </c>
    </row>
    <row r="2730" spans="1:7" x14ac:dyDescent="0.2">
      <c r="A2730" s="6" t="s">
        <v>18</v>
      </c>
      <c r="B2730" s="7" t="s">
        <v>9</v>
      </c>
      <c r="C2730" s="7" t="s">
        <v>3410</v>
      </c>
      <c r="D2730" s="7">
        <v>1.9469288199999999</v>
      </c>
      <c r="E2730" s="7">
        <v>1.6358778199999999</v>
      </c>
      <c r="F2730" s="9" t="str">
        <f t="shared" si="12"/>
        <v>Direct</v>
      </c>
      <c r="G2730" s="7" t="s">
        <v>276</v>
      </c>
    </row>
    <row r="2731" spans="1:7" x14ac:dyDescent="0.2">
      <c r="A2731" s="6" t="s">
        <v>18</v>
      </c>
      <c r="B2731" s="7" t="s">
        <v>9</v>
      </c>
      <c r="C2731" s="7" t="s">
        <v>3411</v>
      </c>
      <c r="D2731" s="7">
        <v>2.1324861899999998</v>
      </c>
      <c r="E2731" s="7">
        <v>2.8676703300000002</v>
      </c>
      <c r="F2731" s="9" t="str">
        <f t="shared" si="12"/>
        <v>Direct</v>
      </c>
      <c r="G2731" s="7" t="s">
        <v>3412</v>
      </c>
    </row>
    <row r="2732" spans="1:7" x14ac:dyDescent="0.2">
      <c r="A2732" s="6" t="s">
        <v>18</v>
      </c>
      <c r="B2732" s="7" t="s">
        <v>9</v>
      </c>
      <c r="C2732" s="7" t="s">
        <v>3413</v>
      </c>
      <c r="D2732" s="7">
        <v>-2.4767692000000001</v>
      </c>
      <c r="E2732" s="7">
        <v>-1.3134565</v>
      </c>
      <c r="F2732" s="9" t="str">
        <f t="shared" si="12"/>
        <v>Direct</v>
      </c>
      <c r="G2732" s="7" t="s">
        <v>11</v>
      </c>
    </row>
    <row r="2733" spans="1:7" x14ac:dyDescent="0.2">
      <c r="A2733" s="6" t="s">
        <v>18</v>
      </c>
      <c r="B2733" s="7" t="s">
        <v>9</v>
      </c>
      <c r="C2733" s="7" t="s">
        <v>3414</v>
      </c>
      <c r="D2733" s="7">
        <v>1.49106724</v>
      </c>
      <c r="E2733" s="7">
        <v>1.0675385500000001</v>
      </c>
      <c r="F2733" s="9" t="str">
        <f t="shared" si="12"/>
        <v>Direct</v>
      </c>
      <c r="G2733" s="7" t="s">
        <v>3415</v>
      </c>
    </row>
    <row r="2734" spans="1:7" x14ac:dyDescent="0.2">
      <c r="A2734" s="6" t="s">
        <v>18</v>
      </c>
      <c r="B2734" s="7" t="s">
        <v>9</v>
      </c>
      <c r="C2734" s="7" t="s">
        <v>3416</v>
      </c>
      <c r="D2734" s="7">
        <v>3.4161294199999999</v>
      </c>
      <c r="E2734" s="7">
        <v>4.0267095599999996</v>
      </c>
      <c r="F2734" s="9" t="str">
        <f t="shared" si="12"/>
        <v>Direct</v>
      </c>
      <c r="G2734" s="7" t="s">
        <v>11</v>
      </c>
    </row>
    <row r="2735" spans="1:7" x14ac:dyDescent="0.2">
      <c r="A2735" s="6" t="s">
        <v>18</v>
      </c>
      <c r="B2735" s="7" t="s">
        <v>9</v>
      </c>
      <c r="C2735" s="7" t="s">
        <v>3417</v>
      </c>
      <c r="D2735" s="7">
        <v>2.41341809</v>
      </c>
      <c r="E2735" s="7">
        <v>2.0019209299999998</v>
      </c>
      <c r="F2735" s="9" t="str">
        <f t="shared" si="12"/>
        <v>Direct</v>
      </c>
      <c r="G2735" s="7" t="s">
        <v>3418</v>
      </c>
    </row>
    <row r="2736" spans="1:7" x14ac:dyDescent="0.2">
      <c r="A2736" s="6" t="s">
        <v>18</v>
      </c>
      <c r="B2736" s="7" t="s">
        <v>9</v>
      </c>
      <c r="C2736" s="7" t="s">
        <v>3419</v>
      </c>
      <c r="D2736" s="7">
        <v>5.1671521299999998</v>
      </c>
      <c r="E2736" s="7">
        <v>5.64598932</v>
      </c>
      <c r="F2736" s="9" t="str">
        <f t="shared" si="12"/>
        <v>Direct</v>
      </c>
      <c r="G2736" s="7" t="s">
        <v>11</v>
      </c>
    </row>
    <row r="2737" spans="1:7" x14ac:dyDescent="0.2">
      <c r="A2737" s="6" t="s">
        <v>18</v>
      </c>
      <c r="B2737" s="7" t="s">
        <v>9</v>
      </c>
      <c r="C2737" s="7" t="s">
        <v>3420</v>
      </c>
      <c r="D2737" s="7">
        <v>1.36509668</v>
      </c>
      <c r="E2737" s="7">
        <v>3.58756735</v>
      </c>
      <c r="F2737" s="9" t="str">
        <f t="shared" si="12"/>
        <v>Direct</v>
      </c>
      <c r="G2737" s="7" t="s">
        <v>11</v>
      </c>
    </row>
    <row r="2738" spans="1:7" x14ac:dyDescent="0.2">
      <c r="A2738" s="6" t="s">
        <v>18</v>
      </c>
      <c r="B2738" s="7" t="s">
        <v>9</v>
      </c>
      <c r="C2738" s="7" t="s">
        <v>3421</v>
      </c>
      <c r="D2738" s="7">
        <v>-1.5797498000000001</v>
      </c>
      <c r="E2738" s="7">
        <v>-1.1932829</v>
      </c>
      <c r="F2738" s="9" t="str">
        <f t="shared" si="12"/>
        <v>Direct</v>
      </c>
      <c r="G2738" s="7" t="s">
        <v>3422</v>
      </c>
    </row>
    <row r="2739" spans="1:7" x14ac:dyDescent="0.2">
      <c r="A2739" s="6" t="s">
        <v>18</v>
      </c>
      <c r="B2739" s="7" t="s">
        <v>9</v>
      </c>
      <c r="C2739" s="7" t="s">
        <v>3423</v>
      </c>
      <c r="D2739" s="7">
        <v>5.4659032700000001</v>
      </c>
      <c r="E2739" s="7">
        <v>3.4770130799999999</v>
      </c>
      <c r="F2739" s="9" t="str">
        <f t="shared" si="12"/>
        <v>Direct</v>
      </c>
      <c r="G2739" s="7" t="s">
        <v>3424</v>
      </c>
    </row>
    <row r="2740" spans="1:7" x14ac:dyDescent="0.2">
      <c r="A2740" s="6" t="s">
        <v>18</v>
      </c>
      <c r="B2740" s="7" t="s">
        <v>9</v>
      </c>
      <c r="C2740" s="7" t="s">
        <v>3425</v>
      </c>
      <c r="D2740" s="7">
        <v>-1.5886463</v>
      </c>
      <c r="E2740" s="7">
        <v>-1.4742845</v>
      </c>
      <c r="F2740" s="9" t="str">
        <f t="shared" si="12"/>
        <v>Direct</v>
      </c>
      <c r="G2740" s="7" t="s">
        <v>3426</v>
      </c>
    </row>
    <row r="2741" spans="1:7" x14ac:dyDescent="0.2">
      <c r="A2741" s="6" t="s">
        <v>18</v>
      </c>
      <c r="B2741" s="7" t="s">
        <v>9</v>
      </c>
      <c r="C2741" s="7" t="s">
        <v>3427</v>
      </c>
      <c r="D2741" s="7">
        <v>2.7029098299999998</v>
      </c>
      <c r="E2741" s="7">
        <v>1.57602715</v>
      </c>
      <c r="F2741" s="9" t="str">
        <f t="shared" si="12"/>
        <v>Direct</v>
      </c>
      <c r="G2741" s="7" t="s">
        <v>3428</v>
      </c>
    </row>
    <row r="2742" spans="1:7" x14ac:dyDescent="0.2">
      <c r="A2742" s="6" t="s">
        <v>18</v>
      </c>
      <c r="B2742" s="7" t="s">
        <v>9</v>
      </c>
      <c r="C2742" s="7" t="s">
        <v>3429</v>
      </c>
      <c r="D2742" s="7">
        <v>-1.7920179000000001</v>
      </c>
      <c r="E2742" s="7">
        <v>-2.719093</v>
      </c>
      <c r="F2742" s="9" t="str">
        <f t="shared" si="12"/>
        <v>Direct</v>
      </c>
      <c r="G2742" s="7" t="s">
        <v>11</v>
      </c>
    </row>
    <row r="2743" spans="1:7" x14ac:dyDescent="0.2">
      <c r="A2743" s="6" t="s">
        <v>18</v>
      </c>
      <c r="B2743" s="7" t="s">
        <v>9</v>
      </c>
      <c r="C2743" s="7" t="s">
        <v>3430</v>
      </c>
      <c r="D2743" s="7">
        <v>-2.6852830999999999</v>
      </c>
      <c r="E2743" s="7">
        <v>1.0634156800000001</v>
      </c>
      <c r="F2743" s="9" t="str">
        <f t="shared" si="12"/>
        <v>Inverse</v>
      </c>
      <c r="G2743" s="7" t="s">
        <v>3431</v>
      </c>
    </row>
    <row r="2744" spans="1:7" x14ac:dyDescent="0.2">
      <c r="A2744" s="6" t="s">
        <v>18</v>
      </c>
      <c r="B2744" s="7" t="s">
        <v>9</v>
      </c>
      <c r="C2744" s="7" t="s">
        <v>3432</v>
      </c>
      <c r="D2744" s="7">
        <v>-1.4656884999999999</v>
      </c>
      <c r="E2744" s="7">
        <v>-1.6639982</v>
      </c>
      <c r="F2744" s="9" t="str">
        <f t="shared" si="12"/>
        <v>Direct</v>
      </c>
      <c r="G2744" s="7" t="s">
        <v>11</v>
      </c>
    </row>
    <row r="2745" spans="1:7" x14ac:dyDescent="0.2">
      <c r="A2745" s="6" t="s">
        <v>18</v>
      </c>
      <c r="B2745" s="7" t="s">
        <v>9</v>
      </c>
      <c r="C2745" s="7" t="s">
        <v>3433</v>
      </c>
      <c r="D2745" s="7">
        <v>-1.4734940999999999</v>
      </c>
      <c r="E2745" s="7">
        <v>-2.0277872000000001</v>
      </c>
      <c r="F2745" s="9" t="str">
        <f t="shared" si="12"/>
        <v>Direct</v>
      </c>
      <c r="G2745" s="7" t="s">
        <v>11</v>
      </c>
    </row>
    <row r="2746" spans="1:7" x14ac:dyDescent="0.2">
      <c r="A2746" s="6" t="s">
        <v>18</v>
      </c>
      <c r="B2746" s="7" t="s">
        <v>9</v>
      </c>
      <c r="C2746" s="7" t="s">
        <v>3434</v>
      </c>
      <c r="D2746" s="7">
        <v>1.5174903799999999</v>
      </c>
      <c r="E2746" s="7">
        <v>2.3505315900000001</v>
      </c>
      <c r="F2746" s="9" t="str">
        <f t="shared" si="12"/>
        <v>Direct</v>
      </c>
      <c r="G2746" s="7" t="s">
        <v>11</v>
      </c>
    </row>
    <row r="2747" spans="1:7" x14ac:dyDescent="0.2">
      <c r="A2747" s="6" t="s">
        <v>18</v>
      </c>
      <c r="B2747" s="7" t="s">
        <v>9</v>
      </c>
      <c r="C2747" s="7" t="s">
        <v>3435</v>
      </c>
      <c r="D2747" s="7">
        <v>-1.943973</v>
      </c>
      <c r="E2747" s="7">
        <v>-3.7437236999999999</v>
      </c>
      <c r="F2747" s="9" t="str">
        <f t="shared" si="12"/>
        <v>Direct</v>
      </c>
      <c r="G2747" s="7" t="s">
        <v>3436</v>
      </c>
    </row>
    <row r="2748" spans="1:7" x14ac:dyDescent="0.2">
      <c r="A2748" s="6" t="s">
        <v>18</v>
      </c>
      <c r="B2748" s="7" t="s">
        <v>9</v>
      </c>
      <c r="C2748" s="7" t="s">
        <v>3437</v>
      </c>
      <c r="D2748" s="7">
        <v>-2.0008012000000002</v>
      </c>
      <c r="E2748" s="7">
        <v>-1.0441853000000001</v>
      </c>
      <c r="F2748" s="9" t="str">
        <f t="shared" si="12"/>
        <v>Direct</v>
      </c>
      <c r="G2748" s="7" t="s">
        <v>1735</v>
      </c>
    </row>
    <row r="2749" spans="1:7" x14ac:dyDescent="0.2">
      <c r="A2749" s="6" t="s">
        <v>18</v>
      </c>
      <c r="B2749" s="7" t="s">
        <v>9</v>
      </c>
      <c r="C2749" s="7" t="s">
        <v>3438</v>
      </c>
      <c r="D2749" s="7">
        <v>-1.0580603</v>
      </c>
      <c r="E2749" s="7">
        <v>-2.2372181000000002</v>
      </c>
      <c r="F2749" s="9" t="str">
        <f t="shared" si="12"/>
        <v>Direct</v>
      </c>
      <c r="G2749" s="7" t="s">
        <v>3439</v>
      </c>
    </row>
    <row r="2750" spans="1:7" x14ac:dyDescent="0.2">
      <c r="A2750" s="6" t="s">
        <v>18</v>
      </c>
      <c r="B2750" s="7" t="s">
        <v>9</v>
      </c>
      <c r="C2750" s="7" t="s">
        <v>3440</v>
      </c>
      <c r="D2750" s="7">
        <v>2.8507669199999999</v>
      </c>
      <c r="E2750" s="7">
        <v>1.5680904899999999</v>
      </c>
      <c r="F2750" s="9" t="str">
        <f t="shared" si="12"/>
        <v>Direct</v>
      </c>
      <c r="G2750" s="7" t="s">
        <v>3441</v>
      </c>
    </row>
    <row r="2751" spans="1:7" x14ac:dyDescent="0.2">
      <c r="A2751" s="6" t="s">
        <v>18</v>
      </c>
      <c r="B2751" s="7" t="s">
        <v>9</v>
      </c>
      <c r="C2751" s="7" t="s">
        <v>3442</v>
      </c>
      <c r="D2751" s="7">
        <v>-4.9668488000000002</v>
      </c>
      <c r="E2751" s="7">
        <v>-4.7357572000000001</v>
      </c>
      <c r="F2751" s="9" t="str">
        <f t="shared" si="12"/>
        <v>Direct</v>
      </c>
      <c r="G2751" s="7" t="s">
        <v>3443</v>
      </c>
    </row>
    <row r="2752" spans="1:7" x14ac:dyDescent="0.2">
      <c r="A2752" s="6" t="s">
        <v>18</v>
      </c>
      <c r="B2752" s="7" t="s">
        <v>9</v>
      </c>
      <c r="C2752" s="7" t="s">
        <v>3444</v>
      </c>
      <c r="D2752" s="7">
        <v>-2.4477245000000001</v>
      </c>
      <c r="E2752" s="7">
        <v>-3.3915334000000001</v>
      </c>
      <c r="F2752" s="9" t="str">
        <f t="shared" si="12"/>
        <v>Direct</v>
      </c>
      <c r="G2752" s="7" t="s">
        <v>11</v>
      </c>
    </row>
    <row r="2753" spans="1:7" x14ac:dyDescent="0.2">
      <c r="A2753" s="6" t="s">
        <v>18</v>
      </c>
      <c r="B2753" s="7" t="s">
        <v>9</v>
      </c>
      <c r="C2753" s="7" t="s">
        <v>3445</v>
      </c>
      <c r="D2753" s="7">
        <v>1.4903291400000001</v>
      </c>
      <c r="E2753" s="7">
        <v>1.18710406</v>
      </c>
      <c r="F2753" s="9" t="str">
        <f t="shared" si="12"/>
        <v>Direct</v>
      </c>
      <c r="G2753" s="7" t="s">
        <v>3446</v>
      </c>
    </row>
    <row r="2754" spans="1:7" x14ac:dyDescent="0.2">
      <c r="A2754" s="6" t="s">
        <v>18</v>
      </c>
      <c r="B2754" s="7" t="s">
        <v>9</v>
      </c>
      <c r="C2754" s="7" t="s">
        <v>3447</v>
      </c>
      <c r="D2754" s="7">
        <v>1.5814627999999999</v>
      </c>
      <c r="E2754" s="7">
        <v>1.8514105999999999</v>
      </c>
      <c r="F2754" s="9" t="str">
        <f t="shared" si="12"/>
        <v>Direct</v>
      </c>
      <c r="G2754" s="7" t="s">
        <v>3448</v>
      </c>
    </row>
    <row r="2755" spans="1:7" x14ac:dyDescent="0.2">
      <c r="A2755" s="6" t="s">
        <v>18</v>
      </c>
      <c r="B2755" s="7" t="s">
        <v>9</v>
      </c>
      <c r="C2755" s="7" t="s">
        <v>3449</v>
      </c>
      <c r="D2755" s="7">
        <v>2.5045511399999998</v>
      </c>
      <c r="E2755" s="7">
        <v>1.0494897299999999</v>
      </c>
      <c r="F2755" s="9" t="str">
        <f t="shared" si="12"/>
        <v>Direct</v>
      </c>
      <c r="G2755" s="7" t="s">
        <v>11</v>
      </c>
    </row>
    <row r="2756" spans="1:7" x14ac:dyDescent="0.2">
      <c r="A2756" s="6" t="s">
        <v>18</v>
      </c>
      <c r="B2756" s="7" t="s">
        <v>9</v>
      </c>
      <c r="C2756" s="7" t="s">
        <v>3450</v>
      </c>
      <c r="D2756" s="7">
        <v>-1.1085050000000001</v>
      </c>
      <c r="E2756" s="7">
        <v>-2.3955544999999998</v>
      </c>
      <c r="F2756" s="9" t="str">
        <f t="shared" si="12"/>
        <v>Direct</v>
      </c>
      <c r="G2756" s="7" t="s">
        <v>11</v>
      </c>
    </row>
    <row r="2757" spans="1:7" x14ac:dyDescent="0.2">
      <c r="A2757" s="6" t="s">
        <v>18</v>
      </c>
      <c r="B2757" s="7" t="s">
        <v>9</v>
      </c>
      <c r="C2757" s="7" t="s">
        <v>3451</v>
      </c>
      <c r="D2757" s="7">
        <v>-1.2068695</v>
      </c>
      <c r="E2757" s="7">
        <v>-2.3277668999999999</v>
      </c>
      <c r="F2757" s="9" t="str">
        <f t="shared" si="12"/>
        <v>Direct</v>
      </c>
      <c r="G2757" s="7" t="s">
        <v>3452</v>
      </c>
    </row>
    <row r="2758" spans="1:7" x14ac:dyDescent="0.2">
      <c r="A2758" s="6" t="s">
        <v>18</v>
      </c>
      <c r="B2758" s="7" t="s">
        <v>9</v>
      </c>
      <c r="C2758" s="7" t="s">
        <v>3453</v>
      </c>
      <c r="D2758" s="7">
        <v>-1.5230623000000001</v>
      </c>
      <c r="E2758" s="7">
        <v>-1.6908201</v>
      </c>
      <c r="F2758" s="9" t="str">
        <f t="shared" si="12"/>
        <v>Direct</v>
      </c>
      <c r="G2758" s="7" t="s">
        <v>11</v>
      </c>
    </row>
    <row r="2759" spans="1:7" x14ac:dyDescent="0.2">
      <c r="A2759" s="6" t="s">
        <v>18</v>
      </c>
      <c r="B2759" s="7" t="s">
        <v>9</v>
      </c>
      <c r="C2759" s="7" t="s">
        <v>3454</v>
      </c>
      <c r="D2759" s="7">
        <v>-1.3390352999999999</v>
      </c>
      <c r="E2759" s="7">
        <v>-1.6407421</v>
      </c>
      <c r="F2759" s="9" t="str">
        <f t="shared" si="12"/>
        <v>Direct</v>
      </c>
      <c r="G2759" s="7" t="s">
        <v>11</v>
      </c>
    </row>
    <row r="2760" spans="1:7" x14ac:dyDescent="0.2">
      <c r="A2760" s="6" t="s">
        <v>18</v>
      </c>
      <c r="B2760" s="7" t="s">
        <v>9</v>
      </c>
      <c r="C2760" s="7" t="s">
        <v>3455</v>
      </c>
      <c r="D2760" s="7">
        <v>-1.0154331999999999</v>
      </c>
      <c r="E2760" s="7">
        <v>-1.0322661</v>
      </c>
      <c r="F2760" s="9" t="str">
        <f t="shared" si="12"/>
        <v>Direct</v>
      </c>
      <c r="G2760" s="7" t="s">
        <v>11</v>
      </c>
    </row>
    <row r="2761" spans="1:7" x14ac:dyDescent="0.2">
      <c r="A2761" s="6" t="s">
        <v>18</v>
      </c>
      <c r="B2761" s="7" t="s">
        <v>9</v>
      </c>
      <c r="C2761" s="7" t="s">
        <v>3456</v>
      </c>
      <c r="D2761" s="7">
        <v>-1.3013440000000001</v>
      </c>
      <c r="E2761" s="7">
        <v>-1.2433533000000001</v>
      </c>
      <c r="F2761" s="9" t="str">
        <f t="shared" si="12"/>
        <v>Direct</v>
      </c>
      <c r="G2761" s="7" t="s">
        <v>11</v>
      </c>
    </row>
    <row r="2762" spans="1:7" x14ac:dyDescent="0.2">
      <c r="A2762" s="6" t="s">
        <v>18</v>
      </c>
      <c r="B2762" s="7" t="s">
        <v>9</v>
      </c>
      <c r="C2762" s="7" t="s">
        <v>3457</v>
      </c>
      <c r="D2762" s="7">
        <v>-3.1116092000000002</v>
      </c>
      <c r="E2762" s="7">
        <v>-3.0791319000000001</v>
      </c>
      <c r="F2762" s="9" t="str">
        <f t="shared" si="12"/>
        <v>Direct</v>
      </c>
      <c r="G2762" s="7" t="s">
        <v>3458</v>
      </c>
    </row>
    <row r="2763" spans="1:7" x14ac:dyDescent="0.2">
      <c r="A2763" s="6" t="s">
        <v>18</v>
      </c>
      <c r="B2763" s="7" t="s">
        <v>9</v>
      </c>
      <c r="C2763" s="7" t="s">
        <v>3459</v>
      </c>
      <c r="D2763" s="7">
        <v>1.02881088</v>
      </c>
      <c r="E2763" s="7">
        <v>1.0491338100000001</v>
      </c>
      <c r="F2763" s="9" t="str">
        <f t="shared" si="12"/>
        <v>Direct</v>
      </c>
      <c r="G2763" s="7" t="s">
        <v>1547</v>
      </c>
    </row>
    <row r="2764" spans="1:7" x14ac:dyDescent="0.2">
      <c r="A2764" s="6" t="s">
        <v>18</v>
      </c>
      <c r="B2764" s="7" t="s">
        <v>9</v>
      </c>
      <c r="C2764" s="7" t="s">
        <v>3460</v>
      </c>
      <c r="D2764" s="7">
        <v>-1.3072463000000001</v>
      </c>
      <c r="E2764" s="7">
        <v>-1.3949244000000001</v>
      </c>
      <c r="F2764" s="9" t="str">
        <f t="shared" si="12"/>
        <v>Direct</v>
      </c>
      <c r="G2764" s="7" t="s">
        <v>1547</v>
      </c>
    </row>
    <row r="2765" spans="1:7" x14ac:dyDescent="0.2">
      <c r="A2765" s="6" t="s">
        <v>18</v>
      </c>
      <c r="B2765" s="7" t="s">
        <v>9</v>
      </c>
      <c r="C2765" s="7" t="s">
        <v>3461</v>
      </c>
      <c r="D2765" s="7">
        <v>-1.1286802</v>
      </c>
      <c r="E2765" s="7">
        <v>-1.5366814</v>
      </c>
      <c r="F2765" s="9" t="str">
        <f t="shared" si="12"/>
        <v>Direct</v>
      </c>
      <c r="G2765" s="7" t="s">
        <v>3458</v>
      </c>
    </row>
    <row r="2766" spans="1:7" x14ac:dyDescent="0.2">
      <c r="A2766" s="6" t="s">
        <v>18</v>
      </c>
      <c r="B2766" s="7" t="s">
        <v>9</v>
      </c>
      <c r="C2766" s="7" t="s">
        <v>3462</v>
      </c>
      <c r="D2766" s="7">
        <v>-1.051642</v>
      </c>
      <c r="E2766" s="7">
        <v>-1.2085596999999999</v>
      </c>
      <c r="F2766" s="9" t="str">
        <f t="shared" si="12"/>
        <v>Direct</v>
      </c>
      <c r="G2766" s="7" t="s">
        <v>3463</v>
      </c>
    </row>
    <row r="2767" spans="1:7" x14ac:dyDescent="0.2">
      <c r="A2767" s="6" t="s">
        <v>18</v>
      </c>
      <c r="B2767" s="7" t="s">
        <v>9</v>
      </c>
      <c r="C2767" s="7" t="s">
        <v>3464</v>
      </c>
      <c r="D2767" s="7">
        <v>1.0066801400000001</v>
      </c>
      <c r="E2767" s="7">
        <v>3.27662735</v>
      </c>
      <c r="F2767" s="9" t="str">
        <f t="shared" si="12"/>
        <v>Direct</v>
      </c>
      <c r="G2767" s="7" t="s">
        <v>3208</v>
      </c>
    </row>
    <row r="2768" spans="1:7" x14ac:dyDescent="0.2">
      <c r="A2768" s="6" t="s">
        <v>18</v>
      </c>
      <c r="B2768" s="7" t="s">
        <v>9</v>
      </c>
      <c r="C2768" s="7" t="s">
        <v>3465</v>
      </c>
      <c r="D2768" s="7">
        <v>-1.0109954999999999</v>
      </c>
      <c r="E2768" s="7">
        <v>-3.2734557</v>
      </c>
      <c r="F2768" s="9" t="str">
        <f t="shared" si="12"/>
        <v>Direct</v>
      </c>
      <c r="G2768" s="7" t="s">
        <v>3213</v>
      </c>
    </row>
    <row r="2769" spans="1:7" x14ac:dyDescent="0.2">
      <c r="A2769" s="6" t="s">
        <v>18</v>
      </c>
      <c r="B2769" s="7" t="s">
        <v>9</v>
      </c>
      <c r="C2769" s="7" t="s">
        <v>3466</v>
      </c>
      <c r="D2769" s="7">
        <v>-1.0708622000000001</v>
      </c>
      <c r="E2769" s="7">
        <v>-1.3748715</v>
      </c>
      <c r="F2769" s="9" t="str">
        <f t="shared" si="12"/>
        <v>Direct</v>
      </c>
      <c r="G2769" s="7" t="s">
        <v>3208</v>
      </c>
    </row>
    <row r="2770" spans="1:7" x14ac:dyDescent="0.2">
      <c r="A2770" s="6" t="s">
        <v>18</v>
      </c>
      <c r="B2770" s="7" t="s">
        <v>9</v>
      </c>
      <c r="C2770" s="7" t="s">
        <v>3467</v>
      </c>
      <c r="D2770" s="7">
        <v>-1.860673</v>
      </c>
      <c r="E2770" s="7">
        <v>-1.2927152</v>
      </c>
      <c r="F2770" s="9" t="str">
        <f t="shared" si="12"/>
        <v>Direct</v>
      </c>
      <c r="G2770" s="7" t="s">
        <v>1264</v>
      </c>
    </row>
    <row r="2771" spans="1:7" x14ac:dyDescent="0.2">
      <c r="A2771" s="6" t="s">
        <v>18</v>
      </c>
      <c r="B2771" s="7" t="s">
        <v>9</v>
      </c>
      <c r="C2771" s="7" t="s">
        <v>3468</v>
      </c>
      <c r="D2771" s="7">
        <v>1.07059247</v>
      </c>
      <c r="E2771" s="7">
        <v>1.1604605699999999</v>
      </c>
      <c r="F2771" s="9" t="str">
        <f t="shared" si="12"/>
        <v>Direct</v>
      </c>
      <c r="G2771" s="7" t="s">
        <v>3469</v>
      </c>
    </row>
    <row r="2772" spans="1:7" x14ac:dyDescent="0.2">
      <c r="A2772" s="6" t="s">
        <v>18</v>
      </c>
      <c r="B2772" s="7" t="s">
        <v>9</v>
      </c>
      <c r="C2772" s="7" t="s">
        <v>3470</v>
      </c>
      <c r="D2772" s="7">
        <v>3.5493837400000001</v>
      </c>
      <c r="E2772" s="7">
        <v>2.1206249599999998</v>
      </c>
      <c r="F2772" s="9" t="str">
        <f t="shared" si="12"/>
        <v>Direct</v>
      </c>
      <c r="G2772" s="7" t="s">
        <v>11</v>
      </c>
    </row>
    <row r="2773" spans="1:7" x14ac:dyDescent="0.2">
      <c r="A2773" s="6" t="s">
        <v>18</v>
      </c>
      <c r="B2773" s="7" t="s">
        <v>9</v>
      </c>
      <c r="C2773" s="7" t="s">
        <v>3471</v>
      </c>
      <c r="D2773" s="7">
        <v>1.48968707</v>
      </c>
      <c r="E2773" s="7">
        <v>1.5680904899999999</v>
      </c>
      <c r="F2773" s="9" t="str">
        <f t="shared" si="12"/>
        <v>Direct</v>
      </c>
      <c r="G2773" s="7" t="s">
        <v>11</v>
      </c>
    </row>
    <row r="2774" spans="1:7" x14ac:dyDescent="0.2">
      <c r="A2774" s="6" t="s">
        <v>18</v>
      </c>
      <c r="B2774" s="7" t="s">
        <v>9</v>
      </c>
      <c r="C2774" s="7" t="s">
        <v>3472</v>
      </c>
      <c r="D2774" s="7">
        <v>1.25067902</v>
      </c>
      <c r="E2774" s="7">
        <v>5.05884131</v>
      </c>
      <c r="F2774" s="9" t="str">
        <f t="shared" si="12"/>
        <v>Direct</v>
      </c>
      <c r="G2774" s="7" t="s">
        <v>11</v>
      </c>
    </row>
    <row r="2775" spans="1:7" x14ac:dyDescent="0.2">
      <c r="A2775" s="6" t="s">
        <v>18</v>
      </c>
      <c r="B2775" s="7" t="s">
        <v>9</v>
      </c>
      <c r="C2775" s="7" t="s">
        <v>3473</v>
      </c>
      <c r="D2775" s="7">
        <v>1.07645985</v>
      </c>
      <c r="E2775" s="7">
        <v>1.8395225500000001</v>
      </c>
      <c r="F2775" s="9" t="str">
        <f t="shared" si="12"/>
        <v>Direct</v>
      </c>
      <c r="G2775" s="7" t="s">
        <v>11</v>
      </c>
    </row>
    <row r="2776" spans="1:7" x14ac:dyDescent="0.2">
      <c r="A2776" s="6" t="s">
        <v>18</v>
      </c>
      <c r="B2776" s="7" t="s">
        <v>9</v>
      </c>
      <c r="C2776" s="7" t="s">
        <v>3474</v>
      </c>
      <c r="D2776" s="7">
        <v>-2.0507107000000002</v>
      </c>
      <c r="E2776" s="7">
        <v>-1.6521366</v>
      </c>
      <c r="F2776" s="9" t="str">
        <f t="shared" si="12"/>
        <v>Direct</v>
      </c>
      <c r="G2776" s="7" t="s">
        <v>11</v>
      </c>
    </row>
    <row r="2777" spans="1:7" x14ac:dyDescent="0.2">
      <c r="A2777" s="6" t="s">
        <v>18</v>
      </c>
      <c r="B2777" s="7" t="s">
        <v>9</v>
      </c>
      <c r="C2777" s="7" t="s">
        <v>3475</v>
      </c>
      <c r="D2777" s="7">
        <v>-3.8974408</v>
      </c>
      <c r="E2777" s="7">
        <v>-3.4770021</v>
      </c>
      <c r="F2777" s="9" t="str">
        <f t="shared" si="12"/>
        <v>Direct</v>
      </c>
      <c r="G2777" s="7" t="s">
        <v>58</v>
      </c>
    </row>
    <row r="2778" spans="1:7" x14ac:dyDescent="0.2">
      <c r="A2778" s="6" t="s">
        <v>18</v>
      </c>
      <c r="B2778" s="7" t="s">
        <v>9</v>
      </c>
      <c r="C2778" s="7" t="s">
        <v>3476</v>
      </c>
      <c r="D2778" s="7">
        <v>2.0590456800000001</v>
      </c>
      <c r="E2778" s="7">
        <v>2.7475324300000001</v>
      </c>
      <c r="F2778" s="9" t="str">
        <f t="shared" si="12"/>
        <v>Direct</v>
      </c>
      <c r="G2778" s="7" t="s">
        <v>11</v>
      </c>
    </row>
    <row r="2779" spans="1:7" x14ac:dyDescent="0.2">
      <c r="A2779" s="6" t="s">
        <v>18</v>
      </c>
      <c r="B2779" s="7" t="s">
        <v>9</v>
      </c>
      <c r="C2779" s="7" t="s">
        <v>3477</v>
      </c>
      <c r="D2779" s="7">
        <v>-2.2213356000000002</v>
      </c>
      <c r="E2779" s="7">
        <v>-1.8101636999999999</v>
      </c>
      <c r="F2779" s="9" t="str">
        <f t="shared" si="12"/>
        <v>Direct</v>
      </c>
      <c r="G2779" s="7" t="s">
        <v>3478</v>
      </c>
    </row>
    <row r="2780" spans="1:7" x14ac:dyDescent="0.2">
      <c r="A2780" s="6" t="s">
        <v>18</v>
      </c>
      <c r="B2780" s="7" t="s">
        <v>9</v>
      </c>
      <c r="C2780" s="7" t="s">
        <v>3479</v>
      </c>
      <c r="D2780" s="7">
        <v>-2.0053665000000001</v>
      </c>
      <c r="E2780" s="7">
        <v>-1.2795128</v>
      </c>
      <c r="F2780" s="9" t="str">
        <f t="shared" si="12"/>
        <v>Direct</v>
      </c>
      <c r="G2780" s="7" t="s">
        <v>11</v>
      </c>
    </row>
    <row r="2781" spans="1:7" x14ac:dyDescent="0.2">
      <c r="A2781" s="6" t="s">
        <v>18</v>
      </c>
      <c r="B2781" s="7" t="s">
        <v>9</v>
      </c>
      <c r="C2781" s="7" t="s">
        <v>3480</v>
      </c>
      <c r="D2781" s="7">
        <v>3.9715649800000001</v>
      </c>
      <c r="E2781" s="7">
        <v>4.9410961999999996</v>
      </c>
      <c r="F2781" s="9" t="str">
        <f t="shared" si="12"/>
        <v>Direct</v>
      </c>
      <c r="G2781" s="7" t="s">
        <v>3481</v>
      </c>
    </row>
    <row r="2782" spans="1:7" x14ac:dyDescent="0.2">
      <c r="A2782" s="6" t="s">
        <v>18</v>
      </c>
      <c r="B2782" s="7" t="s">
        <v>9</v>
      </c>
      <c r="C2782" s="7" t="s">
        <v>3482</v>
      </c>
      <c r="D2782" s="7">
        <v>1.2350435</v>
      </c>
      <c r="E2782" s="7">
        <v>2.6711843200000001</v>
      </c>
      <c r="F2782" s="9" t="str">
        <f t="shared" si="12"/>
        <v>Direct</v>
      </c>
      <c r="G2782" s="7" t="s">
        <v>3483</v>
      </c>
    </row>
    <row r="2783" spans="1:7" x14ac:dyDescent="0.2">
      <c r="A2783" s="6" t="s">
        <v>18</v>
      </c>
      <c r="B2783" s="7" t="s">
        <v>9</v>
      </c>
      <c r="C2783" s="7" t="s">
        <v>3484</v>
      </c>
      <c r="D2783" s="7">
        <v>-1.2480758000000001</v>
      </c>
      <c r="E2783" s="7">
        <v>-1.1511530000000001</v>
      </c>
      <c r="F2783" s="9" t="str">
        <f t="shared" si="12"/>
        <v>Direct</v>
      </c>
      <c r="G2783" s="7" t="s">
        <v>11</v>
      </c>
    </row>
    <row r="2784" spans="1:7" x14ac:dyDescent="0.2">
      <c r="A2784" s="6" t="s">
        <v>18</v>
      </c>
      <c r="B2784" s="7" t="s">
        <v>9</v>
      </c>
      <c r="C2784" s="7" t="s">
        <v>3485</v>
      </c>
      <c r="D2784" s="7">
        <v>-1.3957090999999999</v>
      </c>
      <c r="E2784" s="7">
        <v>-1.2556754000000001</v>
      </c>
      <c r="F2784" s="9" t="str">
        <f t="shared" si="12"/>
        <v>Direct</v>
      </c>
      <c r="G2784" s="7" t="s">
        <v>3486</v>
      </c>
    </row>
    <row r="2785" spans="1:7" x14ac:dyDescent="0.2">
      <c r="A2785" s="6" t="s">
        <v>18</v>
      </c>
      <c r="B2785" s="7" t="s">
        <v>9</v>
      </c>
      <c r="C2785" s="7" t="s">
        <v>3487</v>
      </c>
      <c r="D2785" s="7">
        <v>6.1436699399999997</v>
      </c>
      <c r="E2785" s="7">
        <v>4.7163357599999998</v>
      </c>
      <c r="F2785" s="9" t="str">
        <f t="shared" si="12"/>
        <v>Direct</v>
      </c>
      <c r="G2785" s="7" t="s">
        <v>3488</v>
      </c>
    </row>
    <row r="2786" spans="1:7" x14ac:dyDescent="0.2">
      <c r="A2786" s="6" t="s">
        <v>18</v>
      </c>
      <c r="B2786" s="7" t="s">
        <v>9</v>
      </c>
      <c r="C2786" s="7" t="s">
        <v>3489</v>
      </c>
      <c r="D2786" s="7">
        <v>-1.733608</v>
      </c>
      <c r="E2786" s="7">
        <v>-1.7679864000000001</v>
      </c>
      <c r="F2786" s="9" t="str">
        <f t="shared" si="12"/>
        <v>Direct</v>
      </c>
      <c r="G2786" s="7" t="s">
        <v>3490</v>
      </c>
    </row>
    <row r="2787" spans="1:7" x14ac:dyDescent="0.2">
      <c r="A2787" s="6" t="s">
        <v>18</v>
      </c>
      <c r="B2787" s="7" t="s">
        <v>9</v>
      </c>
      <c r="C2787" s="7" t="s">
        <v>3491</v>
      </c>
      <c r="D2787" s="7">
        <v>-1.9226848000000001</v>
      </c>
      <c r="E2787" s="7">
        <v>-1.4663264</v>
      </c>
      <c r="F2787" s="9" t="str">
        <f t="shared" si="12"/>
        <v>Direct</v>
      </c>
      <c r="G2787" s="7" t="s">
        <v>3492</v>
      </c>
    </row>
    <row r="2788" spans="1:7" x14ac:dyDescent="0.2">
      <c r="A2788" s="6" t="s">
        <v>18</v>
      </c>
      <c r="B2788" s="7" t="s">
        <v>9</v>
      </c>
      <c r="C2788" s="7" t="s">
        <v>3493</v>
      </c>
      <c r="D2788" s="7">
        <v>-2.2718481000000001</v>
      </c>
      <c r="E2788" s="7">
        <v>-2.0789737000000001</v>
      </c>
      <c r="F2788" s="9" t="str">
        <f t="shared" si="12"/>
        <v>Direct</v>
      </c>
      <c r="G2788" s="7" t="s">
        <v>11</v>
      </c>
    </row>
    <row r="2789" spans="1:7" x14ac:dyDescent="0.2">
      <c r="A2789" s="6" t="s">
        <v>18</v>
      </c>
      <c r="B2789" s="7" t="s">
        <v>9</v>
      </c>
      <c r="C2789" s="7" t="s">
        <v>3494</v>
      </c>
      <c r="D2789" s="7">
        <v>1.6111126600000001</v>
      </c>
      <c r="E2789" s="7">
        <v>1.20515309</v>
      </c>
      <c r="F2789" s="9" t="str">
        <f t="shared" si="12"/>
        <v>Direct</v>
      </c>
      <c r="G2789" s="7" t="s">
        <v>11</v>
      </c>
    </row>
    <row r="2790" spans="1:7" x14ac:dyDescent="0.2">
      <c r="A2790" s="6" t="s">
        <v>18</v>
      </c>
      <c r="B2790" s="7" t="s">
        <v>9</v>
      </c>
      <c r="C2790" s="7" t="s">
        <v>3495</v>
      </c>
      <c r="D2790" s="7">
        <v>1.24383551</v>
      </c>
      <c r="E2790" s="7">
        <v>3.1465374000000002</v>
      </c>
      <c r="F2790" s="9" t="str">
        <f t="shared" si="12"/>
        <v>Direct</v>
      </c>
      <c r="G2790" s="7" t="s">
        <v>11</v>
      </c>
    </row>
    <row r="2791" spans="1:7" x14ac:dyDescent="0.2">
      <c r="A2791" s="6" t="s">
        <v>18</v>
      </c>
      <c r="B2791" s="7" t="s">
        <v>9</v>
      </c>
      <c r="C2791" s="7" t="s">
        <v>3496</v>
      </c>
      <c r="D2791" s="7">
        <v>1.9444362799999999</v>
      </c>
      <c r="E2791" s="7">
        <v>1.4435737399999999</v>
      </c>
      <c r="F2791" s="9" t="str">
        <f t="shared" si="12"/>
        <v>Direct</v>
      </c>
      <c r="G2791" s="7" t="s">
        <v>11</v>
      </c>
    </row>
    <row r="2792" spans="1:7" x14ac:dyDescent="0.2">
      <c r="A2792" s="6" t="s">
        <v>18</v>
      </c>
      <c r="B2792" s="7" t="s">
        <v>9</v>
      </c>
      <c r="C2792" s="7" t="s">
        <v>3497</v>
      </c>
      <c r="D2792" s="7">
        <v>1.61815855</v>
      </c>
      <c r="E2792" s="7">
        <v>1.8216411800000001</v>
      </c>
      <c r="F2792" s="9" t="str">
        <f t="shared" si="12"/>
        <v>Direct</v>
      </c>
      <c r="G2792" s="7" t="s">
        <v>2645</v>
      </c>
    </row>
    <row r="2793" spans="1:7" x14ac:dyDescent="0.2">
      <c r="A2793" s="6" t="s">
        <v>18</v>
      </c>
      <c r="B2793" s="7" t="s">
        <v>9</v>
      </c>
      <c r="C2793" s="7" t="s">
        <v>3498</v>
      </c>
      <c r="D2793" s="7">
        <v>-1.9180132000000001</v>
      </c>
      <c r="E2793" s="7">
        <v>-3.1223847999999998</v>
      </c>
      <c r="F2793" s="9" t="str">
        <f t="shared" si="12"/>
        <v>Direct</v>
      </c>
      <c r="G2793" s="7" t="s">
        <v>11</v>
      </c>
    </row>
    <row r="2794" spans="1:7" x14ac:dyDescent="0.2">
      <c r="A2794" s="6" t="s">
        <v>18</v>
      </c>
      <c r="B2794" s="7" t="s">
        <v>9</v>
      </c>
      <c r="C2794" s="7" t="s">
        <v>3499</v>
      </c>
      <c r="D2794" s="7">
        <v>-2.1568979000000001</v>
      </c>
      <c r="E2794" s="7">
        <v>-1.0111882999999999</v>
      </c>
      <c r="F2794" s="9" t="str">
        <f t="shared" si="12"/>
        <v>Direct</v>
      </c>
      <c r="G2794" s="7" t="s">
        <v>11</v>
      </c>
    </row>
    <row r="2795" spans="1:7" x14ac:dyDescent="0.2">
      <c r="A2795" s="6" t="s">
        <v>18</v>
      </c>
      <c r="B2795" s="7" t="s">
        <v>9</v>
      </c>
      <c r="C2795" s="7" t="s">
        <v>3500</v>
      </c>
      <c r="D2795" s="7">
        <v>-1.7971482999999999</v>
      </c>
      <c r="E2795" s="7">
        <v>-1.4982067999999999</v>
      </c>
      <c r="F2795" s="9" t="str">
        <f t="shared" si="12"/>
        <v>Direct</v>
      </c>
      <c r="G2795" s="7" t="s">
        <v>3501</v>
      </c>
    </row>
    <row r="2796" spans="1:7" x14ac:dyDescent="0.2">
      <c r="A2796" s="6" t="s">
        <v>18</v>
      </c>
      <c r="B2796" s="7" t="s">
        <v>9</v>
      </c>
      <c r="C2796" s="7" t="s">
        <v>3502</v>
      </c>
      <c r="D2796" s="7">
        <v>-1.6523277999999999</v>
      </c>
      <c r="E2796" s="7">
        <v>-1.1232747999999999</v>
      </c>
      <c r="F2796" s="9" t="str">
        <f t="shared" si="12"/>
        <v>Direct</v>
      </c>
      <c r="G2796" s="7" t="s">
        <v>11</v>
      </c>
    </row>
    <row r="2797" spans="1:7" x14ac:dyDescent="0.2">
      <c r="A2797" s="6" t="s">
        <v>18</v>
      </c>
      <c r="B2797" s="7" t="s">
        <v>9</v>
      </c>
      <c r="C2797" s="7" t="s">
        <v>3503</v>
      </c>
      <c r="D2797" s="7">
        <v>-1.9629923</v>
      </c>
      <c r="E2797" s="7">
        <v>-2.5399354999999999</v>
      </c>
      <c r="F2797" s="9" t="str">
        <f t="shared" si="12"/>
        <v>Direct</v>
      </c>
      <c r="G2797" s="7" t="s">
        <v>11</v>
      </c>
    </row>
    <row r="2798" spans="1:7" x14ac:dyDescent="0.2">
      <c r="A2798" s="6" t="s">
        <v>18</v>
      </c>
      <c r="B2798" s="7" t="s">
        <v>9</v>
      </c>
      <c r="C2798" s="7" t="s">
        <v>3504</v>
      </c>
      <c r="D2798" s="7">
        <v>-2.7528907999999999</v>
      </c>
      <c r="E2798" s="7">
        <v>-1.701119</v>
      </c>
      <c r="F2798" s="9" t="str">
        <f t="shared" si="12"/>
        <v>Direct</v>
      </c>
      <c r="G2798" s="7" t="s">
        <v>3505</v>
      </c>
    </row>
    <row r="2799" spans="1:7" x14ac:dyDescent="0.2">
      <c r="A2799" s="6" t="s">
        <v>18</v>
      </c>
      <c r="B2799" s="7" t="s">
        <v>9</v>
      </c>
      <c r="C2799" s="7" t="s">
        <v>3506</v>
      </c>
      <c r="D2799" s="7">
        <v>3.12895382</v>
      </c>
      <c r="E2799" s="7">
        <v>4.3763290000000001</v>
      </c>
      <c r="F2799" s="9" t="str">
        <f t="shared" si="12"/>
        <v>Direct</v>
      </c>
      <c r="G2799" s="7" t="s">
        <v>11</v>
      </c>
    </row>
    <row r="2800" spans="1:7" x14ac:dyDescent="0.2">
      <c r="A2800" s="6" t="s">
        <v>18</v>
      </c>
      <c r="B2800" s="7" t="s">
        <v>9</v>
      </c>
      <c r="C2800" s="7" t="s">
        <v>3507</v>
      </c>
      <c r="D2800" s="7">
        <v>-1.7397014</v>
      </c>
      <c r="E2800" s="7">
        <v>-2.3329247999999998</v>
      </c>
      <c r="F2800" s="9" t="str">
        <f t="shared" si="12"/>
        <v>Direct</v>
      </c>
      <c r="G2800" s="7" t="s">
        <v>11</v>
      </c>
    </row>
    <row r="2801" spans="1:7" x14ac:dyDescent="0.2">
      <c r="A2801" s="6" t="s">
        <v>18</v>
      </c>
      <c r="B2801" s="7" t="s">
        <v>9</v>
      </c>
      <c r="C2801" s="7" t="s">
        <v>3508</v>
      </c>
      <c r="D2801" s="7">
        <v>-1.733608</v>
      </c>
      <c r="E2801" s="7">
        <v>-1.2222280000000001</v>
      </c>
      <c r="F2801" s="9" t="str">
        <f t="shared" si="12"/>
        <v>Direct</v>
      </c>
      <c r="G2801" s="7" t="s">
        <v>11</v>
      </c>
    </row>
    <row r="2802" spans="1:7" x14ac:dyDescent="0.2">
      <c r="A2802" s="6" t="s">
        <v>18</v>
      </c>
      <c r="B2802" s="7" t="s">
        <v>9</v>
      </c>
      <c r="C2802" s="7" t="s">
        <v>3509</v>
      </c>
      <c r="D2802" s="7">
        <v>-4.7790626999999999</v>
      </c>
      <c r="E2802" s="7">
        <v>-1.5277797</v>
      </c>
      <c r="F2802" s="9" t="str">
        <f t="shared" si="12"/>
        <v>Direct</v>
      </c>
      <c r="G2802" s="7" t="s">
        <v>3510</v>
      </c>
    </row>
    <row r="2803" spans="1:7" x14ac:dyDescent="0.2">
      <c r="A2803" s="6" t="s">
        <v>18</v>
      </c>
      <c r="B2803" s="7" t="s">
        <v>9</v>
      </c>
      <c r="C2803" s="7" t="s">
        <v>3511</v>
      </c>
      <c r="D2803" s="7">
        <v>-2.15876</v>
      </c>
      <c r="E2803" s="7">
        <v>-1.8725966000000001</v>
      </c>
      <c r="F2803" s="9" t="str">
        <f t="shared" si="12"/>
        <v>Direct</v>
      </c>
      <c r="G2803" s="7" t="s">
        <v>3512</v>
      </c>
    </row>
    <row r="2804" spans="1:7" x14ac:dyDescent="0.2">
      <c r="A2804" s="6" t="s">
        <v>18</v>
      </c>
      <c r="B2804" s="7" t="s">
        <v>9</v>
      </c>
      <c r="C2804" s="7" t="s">
        <v>3513</v>
      </c>
      <c r="D2804" s="7">
        <v>2.56011386</v>
      </c>
      <c r="E2804" s="7">
        <v>1.1746049199999999</v>
      </c>
      <c r="F2804" s="9" t="str">
        <f t="shared" si="12"/>
        <v>Direct</v>
      </c>
      <c r="G2804" s="7" t="s">
        <v>11</v>
      </c>
    </row>
    <row r="2805" spans="1:7" x14ac:dyDescent="0.2">
      <c r="A2805" s="6" t="s">
        <v>18</v>
      </c>
      <c r="B2805" s="7" t="s">
        <v>9</v>
      </c>
      <c r="C2805" s="7" t="s">
        <v>3514</v>
      </c>
      <c r="D2805" s="7">
        <v>-3.8935944999999998</v>
      </c>
      <c r="E2805" s="7">
        <v>-2.3754881999999999</v>
      </c>
      <c r="F2805" s="9" t="str">
        <f t="shared" si="12"/>
        <v>Direct</v>
      </c>
      <c r="G2805" s="7" t="s">
        <v>11</v>
      </c>
    </row>
    <row r="2806" spans="1:7" x14ac:dyDescent="0.2">
      <c r="A2806" s="6" t="s">
        <v>18</v>
      </c>
      <c r="B2806" s="7" t="s">
        <v>9</v>
      </c>
      <c r="C2806" s="7" t="s">
        <v>3515</v>
      </c>
      <c r="D2806" s="7">
        <v>-1.1218862000000001</v>
      </c>
      <c r="E2806" s="7">
        <v>-1.3400848999999999</v>
      </c>
      <c r="F2806" s="9" t="str">
        <f t="shared" si="12"/>
        <v>Direct</v>
      </c>
      <c r="G2806" s="7" t="s">
        <v>11</v>
      </c>
    </row>
    <row r="2807" spans="1:7" x14ac:dyDescent="0.2">
      <c r="A2807" s="6" t="s">
        <v>18</v>
      </c>
      <c r="B2807" s="7" t="s">
        <v>9</v>
      </c>
      <c r="C2807" s="7" t="s">
        <v>3516</v>
      </c>
      <c r="D2807" s="7">
        <v>-2.3871619000000002</v>
      </c>
      <c r="E2807" s="7">
        <v>-1.0376915</v>
      </c>
      <c r="F2807" s="9" t="str">
        <f t="shared" ref="F2807:F3061" si="13">IF(OR(AND(D2807&gt;0,E2807&gt;0),AND(D2807&lt;0,E2807&lt;0)),"Direct","Inverse")</f>
        <v>Direct</v>
      </c>
      <c r="G2807" s="7" t="s">
        <v>3324</v>
      </c>
    </row>
    <row r="2808" spans="1:7" x14ac:dyDescent="0.2">
      <c r="A2808" s="6" t="s">
        <v>18</v>
      </c>
      <c r="B2808" s="7" t="s">
        <v>9</v>
      </c>
      <c r="C2808" s="7" t="s">
        <v>3517</v>
      </c>
      <c r="D2808" s="7">
        <v>-1.6732111000000001</v>
      </c>
      <c r="E2808" s="7">
        <v>-1.1515967</v>
      </c>
      <c r="F2808" s="9" t="str">
        <f t="shared" si="13"/>
        <v>Direct</v>
      </c>
      <c r="G2808" s="7" t="s">
        <v>11</v>
      </c>
    </row>
    <row r="2809" spans="1:7" x14ac:dyDescent="0.2">
      <c r="A2809" s="6" t="s">
        <v>18</v>
      </c>
      <c r="B2809" s="7" t="s">
        <v>9</v>
      </c>
      <c r="C2809" s="7" t="s">
        <v>3518</v>
      </c>
      <c r="D2809" s="7">
        <v>-3.5956369000000001</v>
      </c>
      <c r="E2809" s="7">
        <v>-1.4473084000000001</v>
      </c>
      <c r="F2809" s="9" t="str">
        <f t="shared" si="13"/>
        <v>Direct</v>
      </c>
      <c r="G2809" s="7" t="s">
        <v>995</v>
      </c>
    </row>
    <row r="2810" spans="1:7" x14ac:dyDescent="0.2">
      <c r="A2810" s="6" t="s">
        <v>18</v>
      </c>
      <c r="B2810" s="7" t="s">
        <v>9</v>
      </c>
      <c r="C2810" s="7" t="s">
        <v>3519</v>
      </c>
      <c r="D2810" s="7">
        <v>1.48072147</v>
      </c>
      <c r="E2810" s="7">
        <v>1.57924003</v>
      </c>
      <c r="F2810" s="9" t="str">
        <f t="shared" si="13"/>
        <v>Direct</v>
      </c>
      <c r="G2810" s="7" t="s">
        <v>11</v>
      </c>
    </row>
    <row r="2811" spans="1:7" x14ac:dyDescent="0.2">
      <c r="A2811" s="6" t="s">
        <v>18</v>
      </c>
      <c r="B2811" s="7" t="s">
        <v>9</v>
      </c>
      <c r="C2811" s="7" t="s">
        <v>3520</v>
      </c>
      <c r="D2811" s="7">
        <v>-1.0206786999999999</v>
      </c>
      <c r="E2811" s="7">
        <v>-1.4180936</v>
      </c>
      <c r="F2811" s="9" t="str">
        <f t="shared" si="13"/>
        <v>Direct</v>
      </c>
      <c r="G2811" s="7" t="s">
        <v>995</v>
      </c>
    </row>
    <row r="2812" spans="1:7" x14ac:dyDescent="0.2">
      <c r="A2812" s="6" t="s">
        <v>18</v>
      </c>
      <c r="B2812" s="7" t="s">
        <v>9</v>
      </c>
      <c r="C2812" s="7" t="s">
        <v>3521</v>
      </c>
      <c r="D2812" s="7">
        <v>-5.3286227999999998</v>
      </c>
      <c r="E2812" s="7">
        <v>-4.0247092999999996</v>
      </c>
      <c r="F2812" s="9" t="str">
        <f t="shared" si="13"/>
        <v>Direct</v>
      </c>
      <c r="G2812" s="7" t="s">
        <v>11</v>
      </c>
    </row>
    <row r="2813" spans="1:7" x14ac:dyDescent="0.2">
      <c r="A2813" s="6" t="s">
        <v>18</v>
      </c>
      <c r="B2813" s="7" t="s">
        <v>9</v>
      </c>
      <c r="C2813" s="7" t="s">
        <v>3522</v>
      </c>
      <c r="D2813" s="7">
        <v>-3.3127176</v>
      </c>
      <c r="E2813" s="7">
        <v>-1.6770852000000001</v>
      </c>
      <c r="F2813" s="9" t="str">
        <f t="shared" si="13"/>
        <v>Direct</v>
      </c>
      <c r="G2813" s="7" t="s">
        <v>3523</v>
      </c>
    </row>
    <row r="2814" spans="1:7" x14ac:dyDescent="0.2">
      <c r="A2814" s="6" t="s">
        <v>18</v>
      </c>
      <c r="B2814" s="7" t="s">
        <v>9</v>
      </c>
      <c r="C2814" s="7" t="s">
        <v>3524</v>
      </c>
      <c r="D2814" s="7">
        <v>1.6064706799999999</v>
      </c>
      <c r="E2814" s="7">
        <v>1.40703293</v>
      </c>
      <c r="F2814" s="9" t="str">
        <f t="shared" si="13"/>
        <v>Direct</v>
      </c>
      <c r="G2814" s="7" t="s">
        <v>11</v>
      </c>
    </row>
    <row r="2815" spans="1:7" x14ac:dyDescent="0.2">
      <c r="A2815" s="6" t="s">
        <v>18</v>
      </c>
      <c r="B2815" s="7" t="s">
        <v>9</v>
      </c>
      <c r="C2815" s="7" t="s">
        <v>3525</v>
      </c>
      <c r="D2815" s="7">
        <v>3.83816143</v>
      </c>
      <c r="E2815" s="7">
        <v>1.496664</v>
      </c>
      <c r="F2815" s="9" t="str">
        <f t="shared" si="13"/>
        <v>Direct</v>
      </c>
      <c r="G2815" s="7" t="s">
        <v>11</v>
      </c>
    </row>
    <row r="2816" spans="1:7" x14ac:dyDescent="0.2">
      <c r="A2816" s="6" t="s">
        <v>18</v>
      </c>
      <c r="B2816" s="7" t="s">
        <v>9</v>
      </c>
      <c r="C2816" s="7" t="s">
        <v>3526</v>
      </c>
      <c r="D2816" s="7">
        <v>-3.0577928000000001</v>
      </c>
      <c r="E2816" s="7">
        <v>-1.1422688000000001</v>
      </c>
      <c r="F2816" s="9" t="str">
        <f t="shared" si="13"/>
        <v>Direct</v>
      </c>
      <c r="G2816" s="7" t="s">
        <v>432</v>
      </c>
    </row>
    <row r="2817" spans="1:7" x14ac:dyDescent="0.2">
      <c r="A2817" s="6" t="s">
        <v>18</v>
      </c>
      <c r="B2817" s="7" t="s">
        <v>9</v>
      </c>
      <c r="C2817" s="7" t="s">
        <v>3527</v>
      </c>
      <c r="D2817" s="7">
        <v>-2.2068314999999998</v>
      </c>
      <c r="E2817" s="7">
        <v>-2.4042876</v>
      </c>
      <c r="F2817" s="9" t="str">
        <f t="shared" si="13"/>
        <v>Direct</v>
      </c>
      <c r="G2817" s="7" t="s">
        <v>11</v>
      </c>
    </row>
    <row r="2818" spans="1:7" x14ac:dyDescent="0.2">
      <c r="A2818" s="6" t="s">
        <v>18</v>
      </c>
      <c r="B2818" s="7" t="s">
        <v>9</v>
      </c>
      <c r="C2818" s="7" t="s">
        <v>3528</v>
      </c>
      <c r="D2818" s="7">
        <v>1.93127669</v>
      </c>
      <c r="E2818" s="7">
        <v>1.3275359</v>
      </c>
      <c r="F2818" s="9" t="str">
        <f t="shared" si="13"/>
        <v>Direct</v>
      </c>
      <c r="G2818" s="7" t="s">
        <v>11</v>
      </c>
    </row>
    <row r="2819" spans="1:7" x14ac:dyDescent="0.2">
      <c r="A2819" s="6" t="s">
        <v>18</v>
      </c>
      <c r="B2819" s="7" t="s">
        <v>9</v>
      </c>
      <c r="C2819" s="7" t="s">
        <v>3529</v>
      </c>
      <c r="D2819" s="7">
        <v>1.93127669</v>
      </c>
      <c r="E2819" s="7">
        <v>2.0643883600000001</v>
      </c>
      <c r="F2819" s="9" t="str">
        <f t="shared" si="13"/>
        <v>Direct</v>
      </c>
      <c r="G2819" s="7" t="s">
        <v>693</v>
      </c>
    </row>
    <row r="2820" spans="1:7" x14ac:dyDescent="0.2">
      <c r="A2820" s="6" t="s">
        <v>18</v>
      </c>
      <c r="B2820" s="7" t="s">
        <v>9</v>
      </c>
      <c r="C2820" s="7" t="s">
        <v>3530</v>
      </c>
      <c r="D2820" s="7">
        <v>2.47890561</v>
      </c>
      <c r="E2820" s="7">
        <v>2.0832437499999998</v>
      </c>
      <c r="F2820" s="9" t="str">
        <f t="shared" si="13"/>
        <v>Direct</v>
      </c>
      <c r="G2820" s="7" t="s">
        <v>1645</v>
      </c>
    </row>
    <row r="2821" spans="1:7" x14ac:dyDescent="0.2">
      <c r="A2821" s="6" t="s">
        <v>18</v>
      </c>
      <c r="B2821" s="7" t="s">
        <v>9</v>
      </c>
      <c r="C2821" s="7" t="s">
        <v>3531</v>
      </c>
      <c r="D2821" s="7">
        <v>1.2809582399999999</v>
      </c>
      <c r="E2821" s="7">
        <v>2.4672027500000002</v>
      </c>
      <c r="F2821" s="9" t="str">
        <f t="shared" si="13"/>
        <v>Direct</v>
      </c>
      <c r="G2821" s="7" t="s">
        <v>11</v>
      </c>
    </row>
    <row r="2822" spans="1:7" x14ac:dyDescent="0.2">
      <c r="A2822" s="6" t="s">
        <v>18</v>
      </c>
      <c r="B2822" s="7" t="s">
        <v>9</v>
      </c>
      <c r="C2822" s="7" t="s">
        <v>3532</v>
      </c>
      <c r="D2822" s="7">
        <v>2.8937918699999998</v>
      </c>
      <c r="E2822" s="7">
        <v>2.7395774899999998</v>
      </c>
      <c r="F2822" s="9" t="str">
        <f t="shared" si="13"/>
        <v>Direct</v>
      </c>
      <c r="G2822" s="7" t="s">
        <v>11</v>
      </c>
    </row>
    <row r="2823" spans="1:7" x14ac:dyDescent="0.2">
      <c r="A2823" s="6" t="s">
        <v>18</v>
      </c>
      <c r="B2823" s="7" t="s">
        <v>9</v>
      </c>
      <c r="C2823" s="7" t="s">
        <v>3533</v>
      </c>
      <c r="D2823" s="7">
        <v>2.9877852100000002</v>
      </c>
      <c r="E2823" s="7">
        <v>3.7552561500000001</v>
      </c>
      <c r="F2823" s="9" t="str">
        <f t="shared" si="13"/>
        <v>Direct</v>
      </c>
      <c r="G2823" s="7" t="s">
        <v>2509</v>
      </c>
    </row>
    <row r="2824" spans="1:7" x14ac:dyDescent="0.2">
      <c r="A2824" s="6" t="s">
        <v>18</v>
      </c>
      <c r="B2824" s="7" t="s">
        <v>9</v>
      </c>
      <c r="C2824" s="7" t="s">
        <v>3534</v>
      </c>
      <c r="D2824" s="7">
        <v>-1.9083946000000001</v>
      </c>
      <c r="E2824" s="7">
        <v>-1.4435737</v>
      </c>
      <c r="F2824" s="9" t="str">
        <f t="shared" si="13"/>
        <v>Direct</v>
      </c>
      <c r="G2824" s="7" t="s">
        <v>995</v>
      </c>
    </row>
    <row r="2825" spans="1:7" x14ac:dyDescent="0.2">
      <c r="A2825" s="6" t="s">
        <v>18</v>
      </c>
      <c r="B2825" s="7" t="s">
        <v>9</v>
      </c>
      <c r="C2825" s="7" t="s">
        <v>3535</v>
      </c>
      <c r="D2825" s="7">
        <v>1.1801839700000001</v>
      </c>
      <c r="E2825" s="7">
        <v>1.6711501099999999</v>
      </c>
      <c r="F2825" s="9" t="str">
        <f t="shared" si="13"/>
        <v>Direct</v>
      </c>
      <c r="G2825" s="7" t="s">
        <v>2483</v>
      </c>
    </row>
    <row r="2826" spans="1:7" x14ac:dyDescent="0.2">
      <c r="A2826" s="6" t="s">
        <v>18</v>
      </c>
      <c r="B2826" s="7" t="s">
        <v>9</v>
      </c>
      <c r="C2826" s="7" t="s">
        <v>3536</v>
      </c>
      <c r="D2826" s="7">
        <v>1.83198971</v>
      </c>
      <c r="E2826" s="7">
        <v>2.12027367</v>
      </c>
      <c r="F2826" s="9" t="str">
        <f t="shared" si="13"/>
        <v>Direct</v>
      </c>
      <c r="G2826" s="7" t="s">
        <v>182</v>
      </c>
    </row>
    <row r="2827" spans="1:7" x14ac:dyDescent="0.2">
      <c r="A2827" s="6" t="s">
        <v>18</v>
      </c>
      <c r="B2827" s="7" t="s">
        <v>9</v>
      </c>
      <c r="C2827" s="7" t="s">
        <v>3537</v>
      </c>
      <c r="D2827" s="7">
        <v>-1.2056500000000001</v>
      </c>
      <c r="E2827" s="7">
        <v>-2.8856332999999998</v>
      </c>
      <c r="F2827" s="9" t="str">
        <f t="shared" si="13"/>
        <v>Direct</v>
      </c>
      <c r="G2827" s="7" t="s">
        <v>11</v>
      </c>
    </row>
    <row r="2828" spans="1:7" x14ac:dyDescent="0.2">
      <c r="A2828" s="6" t="s">
        <v>18</v>
      </c>
      <c r="B2828" s="7" t="s">
        <v>9</v>
      </c>
      <c r="C2828" s="7" t="s">
        <v>3538</v>
      </c>
      <c r="D2828" s="7">
        <v>1.0750816299999999</v>
      </c>
      <c r="E2828" s="7">
        <v>1.4714981899999999</v>
      </c>
      <c r="F2828" s="9" t="str">
        <f t="shared" si="13"/>
        <v>Direct</v>
      </c>
      <c r="G2828" s="7" t="s">
        <v>11</v>
      </c>
    </row>
    <row r="2829" spans="1:7" x14ac:dyDescent="0.2">
      <c r="A2829" s="6" t="s">
        <v>18</v>
      </c>
      <c r="B2829" s="7" t="s">
        <v>9</v>
      </c>
      <c r="C2829" s="7" t="s">
        <v>3539</v>
      </c>
      <c r="D2829" s="7">
        <v>-1.3007166999999999</v>
      </c>
      <c r="E2829" s="7">
        <v>-4.1946313999999996</v>
      </c>
      <c r="F2829" s="9" t="str">
        <f t="shared" si="13"/>
        <v>Direct</v>
      </c>
      <c r="G2829" s="7" t="s">
        <v>995</v>
      </c>
    </row>
    <row r="2830" spans="1:7" x14ac:dyDescent="0.2">
      <c r="A2830" s="6" t="s">
        <v>18</v>
      </c>
      <c r="B2830" s="7" t="s">
        <v>9</v>
      </c>
      <c r="C2830" s="7" t="s">
        <v>3540</v>
      </c>
      <c r="D2830" s="7">
        <v>1.6615084200000001</v>
      </c>
      <c r="E2830" s="7">
        <v>3.0206603900000002</v>
      </c>
      <c r="F2830" s="9" t="str">
        <f t="shared" si="13"/>
        <v>Direct</v>
      </c>
      <c r="G2830" s="7" t="s">
        <v>11</v>
      </c>
    </row>
    <row r="2831" spans="1:7" x14ac:dyDescent="0.2">
      <c r="A2831" s="6" t="s">
        <v>18</v>
      </c>
      <c r="B2831" s="7" t="s">
        <v>9</v>
      </c>
      <c r="C2831" s="7" t="s">
        <v>3541</v>
      </c>
      <c r="D2831" s="7">
        <v>-3.1665643999999999</v>
      </c>
      <c r="E2831" s="7">
        <v>-1.1189397999999999</v>
      </c>
      <c r="F2831" s="9" t="str">
        <f t="shared" si="13"/>
        <v>Direct</v>
      </c>
      <c r="G2831" s="7" t="s">
        <v>11</v>
      </c>
    </row>
    <row r="2832" spans="1:7" x14ac:dyDescent="0.2">
      <c r="A2832" s="6" t="s">
        <v>18</v>
      </c>
      <c r="B2832" s="7" t="s">
        <v>9</v>
      </c>
      <c r="C2832" s="7" t="s">
        <v>3542</v>
      </c>
      <c r="D2832" s="7">
        <v>-1.6734936</v>
      </c>
      <c r="E2832" s="7">
        <v>-1.0376915</v>
      </c>
      <c r="F2832" s="9" t="str">
        <f t="shared" si="13"/>
        <v>Direct</v>
      </c>
      <c r="G2832" s="7" t="s">
        <v>11</v>
      </c>
    </row>
    <row r="2833" spans="1:7" x14ac:dyDescent="0.2">
      <c r="A2833" s="6" t="s">
        <v>18</v>
      </c>
      <c r="B2833" s="7" t="s">
        <v>9</v>
      </c>
      <c r="C2833" s="7" t="s">
        <v>3543</v>
      </c>
      <c r="D2833" s="7">
        <v>-1.0404684</v>
      </c>
      <c r="E2833" s="7">
        <v>-1.0167645999999999</v>
      </c>
      <c r="F2833" s="9" t="str">
        <f t="shared" si="13"/>
        <v>Direct</v>
      </c>
      <c r="G2833" s="7" t="s">
        <v>11</v>
      </c>
    </row>
    <row r="2834" spans="1:7" x14ac:dyDescent="0.2">
      <c r="A2834" s="6" t="s">
        <v>18</v>
      </c>
      <c r="B2834" s="7" t="s">
        <v>9</v>
      </c>
      <c r="C2834" s="7" t="s">
        <v>3544</v>
      </c>
      <c r="D2834" s="7">
        <v>-1.1971147</v>
      </c>
      <c r="E2834" s="7">
        <v>-2.2090893</v>
      </c>
      <c r="F2834" s="9" t="str">
        <f t="shared" si="13"/>
        <v>Direct</v>
      </c>
      <c r="G2834" s="7" t="s">
        <v>3523</v>
      </c>
    </row>
    <row r="2835" spans="1:7" x14ac:dyDescent="0.2">
      <c r="A2835" s="6" t="s">
        <v>18</v>
      </c>
      <c r="B2835" s="7" t="s">
        <v>9</v>
      </c>
      <c r="C2835" s="7" t="s">
        <v>3545</v>
      </c>
      <c r="D2835" s="7">
        <v>1.6812533300000001</v>
      </c>
      <c r="E2835" s="7">
        <v>1.0999401499999999</v>
      </c>
      <c r="F2835" s="9" t="str">
        <f t="shared" si="13"/>
        <v>Direct</v>
      </c>
      <c r="G2835" s="7" t="s">
        <v>11</v>
      </c>
    </row>
    <row r="2836" spans="1:7" x14ac:dyDescent="0.2">
      <c r="A2836" s="6" t="s">
        <v>18</v>
      </c>
      <c r="B2836" s="7" t="s">
        <v>9</v>
      </c>
      <c r="C2836" s="7" t="s">
        <v>3546</v>
      </c>
      <c r="D2836" s="7">
        <v>2.0559192099999999</v>
      </c>
      <c r="E2836" s="7">
        <v>1.11052134</v>
      </c>
      <c r="F2836" s="9" t="str">
        <f t="shared" si="13"/>
        <v>Direct</v>
      </c>
      <c r="G2836" s="7" t="s">
        <v>3547</v>
      </c>
    </row>
    <row r="2837" spans="1:7" x14ac:dyDescent="0.2">
      <c r="A2837" s="6" t="s">
        <v>18</v>
      </c>
      <c r="B2837" s="7" t="s">
        <v>9</v>
      </c>
      <c r="C2837" s="7" t="s">
        <v>3548</v>
      </c>
      <c r="D2837" s="7">
        <v>-1.5122842999999999</v>
      </c>
      <c r="E2837" s="7">
        <v>-2.4561145999999998</v>
      </c>
      <c r="F2837" s="9" t="str">
        <f t="shared" si="13"/>
        <v>Direct</v>
      </c>
      <c r="G2837" s="7" t="s">
        <v>11</v>
      </c>
    </row>
    <row r="2838" spans="1:7" x14ac:dyDescent="0.2">
      <c r="A2838" s="6" t="s">
        <v>18</v>
      </c>
      <c r="B2838" s="7" t="s">
        <v>9</v>
      </c>
      <c r="C2838" s="7" t="s">
        <v>3549</v>
      </c>
      <c r="D2838" s="7">
        <v>-1.5571786999999999</v>
      </c>
      <c r="E2838" s="7">
        <v>-1.2556754000000001</v>
      </c>
      <c r="F2838" s="9" t="str">
        <f t="shared" si="13"/>
        <v>Direct</v>
      </c>
      <c r="G2838" s="7" t="s">
        <v>11</v>
      </c>
    </row>
    <row r="2839" spans="1:7" x14ac:dyDescent="0.2">
      <c r="A2839" s="6" t="s">
        <v>18</v>
      </c>
      <c r="B2839" s="7" t="s">
        <v>9</v>
      </c>
      <c r="C2839" s="7" t="s">
        <v>3550</v>
      </c>
      <c r="D2839" s="7">
        <v>-1.3279213000000001</v>
      </c>
      <c r="E2839" s="7">
        <v>-1.6310722</v>
      </c>
      <c r="F2839" s="9" t="str">
        <f t="shared" si="13"/>
        <v>Direct</v>
      </c>
      <c r="G2839" s="7" t="s">
        <v>11</v>
      </c>
    </row>
    <row r="2840" spans="1:7" x14ac:dyDescent="0.2">
      <c r="A2840" s="6" t="s">
        <v>18</v>
      </c>
      <c r="B2840" s="7" t="s">
        <v>9</v>
      </c>
      <c r="C2840" s="7" t="s">
        <v>3551</v>
      </c>
      <c r="D2840" s="7">
        <v>2.3274773199999998</v>
      </c>
      <c r="E2840" s="7">
        <v>1.33668472</v>
      </c>
      <c r="F2840" s="9" t="str">
        <f t="shared" si="13"/>
        <v>Direct</v>
      </c>
      <c r="G2840" s="7" t="s">
        <v>11</v>
      </c>
    </row>
    <row r="2841" spans="1:7" x14ac:dyDescent="0.2">
      <c r="A2841" s="6" t="s">
        <v>18</v>
      </c>
      <c r="B2841" s="7" t="s">
        <v>9</v>
      </c>
      <c r="C2841" s="7" t="s">
        <v>3552</v>
      </c>
      <c r="D2841" s="7">
        <v>-2.1004934999999998</v>
      </c>
      <c r="E2841" s="7">
        <v>-2.0633151000000001</v>
      </c>
      <c r="F2841" s="9" t="str">
        <f t="shared" si="13"/>
        <v>Direct</v>
      </c>
      <c r="G2841" s="7" t="s">
        <v>11</v>
      </c>
    </row>
    <row r="2842" spans="1:7" x14ac:dyDescent="0.2">
      <c r="A2842" s="6" t="s">
        <v>18</v>
      </c>
      <c r="B2842" s="7" t="s">
        <v>9</v>
      </c>
      <c r="C2842" s="7" t="s">
        <v>3553</v>
      </c>
      <c r="D2842" s="7">
        <v>-3.2920712999999999</v>
      </c>
      <c r="E2842" s="7">
        <v>-2.0929741000000002</v>
      </c>
      <c r="F2842" s="9" t="str">
        <f t="shared" si="13"/>
        <v>Direct</v>
      </c>
      <c r="G2842" s="7" t="s">
        <v>2547</v>
      </c>
    </row>
    <row r="2843" spans="1:7" x14ac:dyDescent="0.2">
      <c r="A2843" s="6" t="s">
        <v>18</v>
      </c>
      <c r="B2843" s="7" t="s">
        <v>9</v>
      </c>
      <c r="C2843" s="7" t="s">
        <v>3554</v>
      </c>
      <c r="D2843" s="7">
        <v>1.0770298700000001</v>
      </c>
      <c r="E2843" s="7">
        <v>1.0076705100000001</v>
      </c>
      <c r="F2843" s="9" t="str">
        <f t="shared" si="13"/>
        <v>Direct</v>
      </c>
      <c r="G2843" s="7" t="s">
        <v>11</v>
      </c>
    </row>
    <row r="2844" spans="1:7" x14ac:dyDescent="0.2">
      <c r="A2844" s="6" t="s">
        <v>18</v>
      </c>
      <c r="B2844" s="7" t="s">
        <v>9</v>
      </c>
      <c r="C2844" s="7" t="s">
        <v>3555</v>
      </c>
      <c r="D2844" s="7">
        <v>-1.1553747000000001</v>
      </c>
      <c r="E2844" s="7">
        <v>-2.2958447</v>
      </c>
      <c r="F2844" s="9" t="str">
        <f t="shared" si="13"/>
        <v>Direct</v>
      </c>
      <c r="G2844" s="7" t="s">
        <v>11</v>
      </c>
    </row>
    <row r="2845" spans="1:7" x14ac:dyDescent="0.2">
      <c r="A2845" s="6" t="s">
        <v>18</v>
      </c>
      <c r="B2845" s="7" t="s">
        <v>9</v>
      </c>
      <c r="C2845" s="7" t="s">
        <v>3556</v>
      </c>
      <c r="D2845" s="7">
        <v>-3.3424895999999999</v>
      </c>
      <c r="E2845" s="7">
        <v>-3.4625585999999999</v>
      </c>
      <c r="F2845" s="9" t="str">
        <f t="shared" si="13"/>
        <v>Direct</v>
      </c>
      <c r="G2845" s="7" t="s">
        <v>11</v>
      </c>
    </row>
    <row r="2846" spans="1:7" x14ac:dyDescent="0.2">
      <c r="A2846" s="6" t="s">
        <v>18</v>
      </c>
      <c r="B2846" s="7" t="s">
        <v>9</v>
      </c>
      <c r="C2846" s="7" t="s">
        <v>3557</v>
      </c>
      <c r="D2846" s="7">
        <v>1.82533656</v>
      </c>
      <c r="E2846" s="7">
        <v>1.12707201</v>
      </c>
      <c r="F2846" s="9" t="str">
        <f t="shared" si="13"/>
        <v>Direct</v>
      </c>
      <c r="G2846" s="7" t="s">
        <v>11</v>
      </c>
    </row>
    <row r="2847" spans="1:7" x14ac:dyDescent="0.2">
      <c r="A2847" s="6" t="s">
        <v>18</v>
      </c>
      <c r="B2847" s="7" t="s">
        <v>9</v>
      </c>
      <c r="C2847" s="7" t="s">
        <v>3558</v>
      </c>
      <c r="D2847" s="7">
        <v>2.7211889600000001</v>
      </c>
      <c r="E2847" s="7">
        <v>2.32776687</v>
      </c>
      <c r="F2847" s="9" t="str">
        <f t="shared" si="13"/>
        <v>Direct</v>
      </c>
      <c r="G2847" s="7" t="s">
        <v>11</v>
      </c>
    </row>
    <row r="2848" spans="1:7" x14ac:dyDescent="0.2">
      <c r="A2848" s="6" t="s">
        <v>18</v>
      </c>
      <c r="B2848" s="7" t="s">
        <v>9</v>
      </c>
      <c r="C2848" s="7" t="s">
        <v>3559</v>
      </c>
      <c r="D2848" s="7">
        <v>-1.2093507999999999</v>
      </c>
      <c r="E2848" s="7">
        <v>-1.0393806000000001</v>
      </c>
      <c r="F2848" s="9" t="str">
        <f t="shared" si="13"/>
        <v>Direct</v>
      </c>
      <c r="G2848" s="7" t="s">
        <v>11</v>
      </c>
    </row>
    <row r="2849" spans="1:7" x14ac:dyDescent="0.2">
      <c r="A2849" s="6" t="s">
        <v>18</v>
      </c>
      <c r="B2849" s="7" t="s">
        <v>9</v>
      </c>
      <c r="C2849" s="7" t="s">
        <v>3560</v>
      </c>
      <c r="D2849" s="7">
        <v>1.0473581199999999</v>
      </c>
      <c r="E2849" s="7">
        <v>3.8679835900000001</v>
      </c>
      <c r="F2849" s="9" t="str">
        <f t="shared" si="13"/>
        <v>Direct</v>
      </c>
      <c r="G2849" s="7" t="s">
        <v>11</v>
      </c>
    </row>
    <row r="2850" spans="1:7" x14ac:dyDescent="0.2">
      <c r="A2850" s="6" t="s">
        <v>18</v>
      </c>
      <c r="B2850" s="7" t="s">
        <v>9</v>
      </c>
      <c r="C2850" s="7" t="s">
        <v>3561</v>
      </c>
      <c r="D2850" s="7">
        <v>-2.5656593999999999</v>
      </c>
      <c r="E2850" s="7">
        <v>-1.5911204000000001</v>
      </c>
      <c r="F2850" s="9" t="str">
        <f t="shared" si="13"/>
        <v>Direct</v>
      </c>
      <c r="G2850" s="7" t="s">
        <v>11</v>
      </c>
    </row>
    <row r="2851" spans="1:7" x14ac:dyDescent="0.2">
      <c r="A2851" s="6" t="s">
        <v>18</v>
      </c>
      <c r="B2851" s="7" t="s">
        <v>9</v>
      </c>
      <c r="C2851" s="7" t="s">
        <v>3562</v>
      </c>
      <c r="D2851" s="7">
        <v>1.12507051</v>
      </c>
      <c r="E2851" s="7">
        <v>1.2224273400000001</v>
      </c>
      <c r="F2851" s="9" t="str">
        <f t="shared" si="13"/>
        <v>Direct</v>
      </c>
      <c r="G2851" s="7" t="s">
        <v>11</v>
      </c>
    </row>
    <row r="2852" spans="1:7" x14ac:dyDescent="0.2">
      <c r="A2852" s="6" t="s">
        <v>18</v>
      </c>
      <c r="B2852" s="7" t="s">
        <v>9</v>
      </c>
      <c r="C2852" s="7" t="s">
        <v>3563</v>
      </c>
      <c r="D2852" s="7">
        <v>-2.9091013999999999</v>
      </c>
      <c r="E2852" s="7">
        <v>-2.4274062000000001</v>
      </c>
      <c r="F2852" s="9" t="str">
        <f t="shared" si="13"/>
        <v>Direct</v>
      </c>
      <c r="G2852" s="7" t="s">
        <v>11</v>
      </c>
    </row>
    <row r="2853" spans="1:7" x14ac:dyDescent="0.2">
      <c r="A2853" s="6" t="s">
        <v>18</v>
      </c>
      <c r="B2853" s="7" t="s">
        <v>9</v>
      </c>
      <c r="C2853" s="7" t="s">
        <v>3564</v>
      </c>
      <c r="D2853" s="7">
        <v>2.2148572199999998</v>
      </c>
      <c r="E2853" s="7">
        <v>1.62923117</v>
      </c>
      <c r="F2853" s="9" t="str">
        <f t="shared" si="13"/>
        <v>Direct</v>
      </c>
      <c r="G2853" s="7" t="s">
        <v>11</v>
      </c>
    </row>
    <row r="2854" spans="1:7" x14ac:dyDescent="0.2">
      <c r="A2854" s="6" t="s">
        <v>18</v>
      </c>
      <c r="B2854" s="7" t="s">
        <v>9</v>
      </c>
      <c r="C2854" s="7" t="s">
        <v>3565</v>
      </c>
      <c r="D2854" s="7">
        <v>3.6972916100000002</v>
      </c>
      <c r="E2854" s="7">
        <v>2.5377083699999998</v>
      </c>
      <c r="F2854" s="9" t="str">
        <f t="shared" si="13"/>
        <v>Direct</v>
      </c>
      <c r="G2854" s="7" t="s">
        <v>3566</v>
      </c>
    </row>
    <row r="2855" spans="1:7" x14ac:dyDescent="0.2">
      <c r="A2855" s="6" t="s">
        <v>18</v>
      </c>
      <c r="B2855" s="7" t="s">
        <v>9</v>
      </c>
      <c r="C2855" s="7" t="s">
        <v>3567</v>
      </c>
      <c r="D2855" s="7">
        <v>1.5489347099999999</v>
      </c>
      <c r="E2855" s="7">
        <v>4.4505641799999998</v>
      </c>
      <c r="F2855" s="9" t="str">
        <f t="shared" si="13"/>
        <v>Direct</v>
      </c>
      <c r="G2855" s="7" t="s">
        <v>716</v>
      </c>
    </row>
    <row r="2856" spans="1:7" x14ac:dyDescent="0.2">
      <c r="A2856" s="6" t="s">
        <v>18</v>
      </c>
      <c r="B2856" s="7" t="s">
        <v>9</v>
      </c>
      <c r="C2856" s="7" t="s">
        <v>3568</v>
      </c>
      <c r="D2856" s="7">
        <v>12.112855700000001</v>
      </c>
      <c r="E2856" s="7">
        <v>9.6120558299999992</v>
      </c>
      <c r="F2856" s="9" t="str">
        <f t="shared" si="13"/>
        <v>Direct</v>
      </c>
      <c r="G2856" s="7" t="s">
        <v>3569</v>
      </c>
    </row>
    <row r="2857" spans="1:7" x14ac:dyDescent="0.2">
      <c r="A2857" s="6" t="s">
        <v>18</v>
      </c>
      <c r="B2857" s="7" t="s">
        <v>9</v>
      </c>
      <c r="C2857" s="7" t="s">
        <v>3570</v>
      </c>
      <c r="D2857" s="7">
        <v>-1.0261464</v>
      </c>
      <c r="E2857" s="7">
        <v>-1.3929665</v>
      </c>
      <c r="F2857" s="9" t="str">
        <f t="shared" si="13"/>
        <v>Direct</v>
      </c>
      <c r="G2857" s="7" t="s">
        <v>200</v>
      </c>
    </row>
    <row r="2858" spans="1:7" x14ac:dyDescent="0.2">
      <c r="A2858" s="6" t="s">
        <v>18</v>
      </c>
      <c r="B2858" s="7" t="s">
        <v>9</v>
      </c>
      <c r="C2858" s="7" t="s">
        <v>3571</v>
      </c>
      <c r="D2858" s="7">
        <v>1.21810438</v>
      </c>
      <c r="E2858" s="7">
        <v>1.6903638000000001</v>
      </c>
      <c r="F2858" s="9" t="str">
        <f t="shared" si="13"/>
        <v>Direct</v>
      </c>
      <c r="G2858" s="7" t="s">
        <v>11</v>
      </c>
    </row>
    <row r="2859" spans="1:7" x14ac:dyDescent="0.2">
      <c r="A2859" s="6" t="s">
        <v>18</v>
      </c>
      <c r="B2859" s="7" t="s">
        <v>9</v>
      </c>
      <c r="C2859" s="7" t="s">
        <v>3572</v>
      </c>
      <c r="D2859" s="7">
        <v>-1.8947894999999999</v>
      </c>
      <c r="E2859" s="7">
        <v>-2.0686901</v>
      </c>
      <c r="F2859" s="9" t="str">
        <f t="shared" si="13"/>
        <v>Direct</v>
      </c>
      <c r="G2859" s="7" t="s">
        <v>276</v>
      </c>
    </row>
    <row r="2860" spans="1:7" x14ac:dyDescent="0.2">
      <c r="A2860" s="6" t="s">
        <v>18</v>
      </c>
      <c r="B2860" s="7" t="s">
        <v>9</v>
      </c>
      <c r="C2860" s="7" t="s">
        <v>3573</v>
      </c>
      <c r="D2860" s="7">
        <v>-1.9829626</v>
      </c>
      <c r="E2860" s="7">
        <v>-1.1604606</v>
      </c>
      <c r="F2860" s="9" t="str">
        <f t="shared" si="13"/>
        <v>Direct</v>
      </c>
      <c r="G2860" s="7" t="s">
        <v>1495</v>
      </c>
    </row>
    <row r="2861" spans="1:7" x14ac:dyDescent="0.2">
      <c r="A2861" s="6" t="s">
        <v>18</v>
      </c>
      <c r="B2861" s="7" t="s">
        <v>9</v>
      </c>
      <c r="C2861" s="7" t="s">
        <v>3574</v>
      </c>
      <c r="D2861" s="7">
        <v>1.1843501299999999</v>
      </c>
      <c r="E2861" s="7">
        <v>1.1515966900000001</v>
      </c>
      <c r="F2861" s="9" t="str">
        <f t="shared" si="13"/>
        <v>Direct</v>
      </c>
      <c r="G2861" s="7" t="s">
        <v>3575</v>
      </c>
    </row>
    <row r="2862" spans="1:7" x14ac:dyDescent="0.2">
      <c r="A2862" s="6" t="s">
        <v>18</v>
      </c>
      <c r="B2862" s="7" t="s">
        <v>9</v>
      </c>
      <c r="C2862" s="7" t="s">
        <v>3576</v>
      </c>
      <c r="D2862" s="7">
        <v>-9.9385081999999993</v>
      </c>
      <c r="E2862" s="7">
        <v>-2.3198104000000002</v>
      </c>
      <c r="F2862" s="9" t="str">
        <f t="shared" si="13"/>
        <v>Direct</v>
      </c>
      <c r="G2862" s="7" t="s">
        <v>11</v>
      </c>
    </row>
    <row r="2863" spans="1:7" x14ac:dyDescent="0.2">
      <c r="A2863" s="6" t="s">
        <v>18</v>
      </c>
      <c r="B2863" s="7" t="s">
        <v>9</v>
      </c>
      <c r="C2863" s="7" t="s">
        <v>3577</v>
      </c>
      <c r="D2863" s="7">
        <v>2.1138837399999999</v>
      </c>
      <c r="E2863" s="7">
        <v>1.0262157700000001</v>
      </c>
      <c r="F2863" s="9" t="str">
        <f t="shared" si="13"/>
        <v>Direct</v>
      </c>
      <c r="G2863" s="7" t="s">
        <v>2509</v>
      </c>
    </row>
    <row r="2864" spans="1:7" x14ac:dyDescent="0.2">
      <c r="A2864" s="6" t="s">
        <v>18</v>
      </c>
      <c r="B2864" s="7" t="s">
        <v>9</v>
      </c>
      <c r="C2864" s="7" t="s">
        <v>3578</v>
      </c>
      <c r="D2864" s="7">
        <v>-1.9710266000000001</v>
      </c>
      <c r="E2864" s="7">
        <v>-1.1194666</v>
      </c>
      <c r="F2864" s="9" t="str">
        <f t="shared" si="13"/>
        <v>Direct</v>
      </c>
      <c r="G2864" s="7" t="s">
        <v>11</v>
      </c>
    </row>
    <row r="2865" spans="1:7" x14ac:dyDescent="0.2">
      <c r="A2865" s="6" t="s">
        <v>18</v>
      </c>
      <c r="B2865" s="7" t="s">
        <v>9</v>
      </c>
      <c r="C2865" s="7" t="s">
        <v>3579</v>
      </c>
      <c r="D2865" s="7">
        <v>-1.3150280999999999</v>
      </c>
      <c r="E2865" s="7">
        <v>-1.3255872</v>
      </c>
      <c r="F2865" s="9" t="str">
        <f t="shared" si="13"/>
        <v>Direct</v>
      </c>
      <c r="G2865" s="7" t="s">
        <v>11</v>
      </c>
    </row>
    <row r="2866" spans="1:7" x14ac:dyDescent="0.2">
      <c r="A2866" s="6" t="s">
        <v>18</v>
      </c>
      <c r="B2866" s="7" t="s">
        <v>9</v>
      </c>
      <c r="C2866" s="7" t="s">
        <v>3580</v>
      </c>
      <c r="D2866" s="7">
        <v>-1.6669683</v>
      </c>
      <c r="E2866" s="7">
        <v>-4.3409740000000001</v>
      </c>
      <c r="F2866" s="9" t="str">
        <f t="shared" si="13"/>
        <v>Direct</v>
      </c>
      <c r="G2866" s="7" t="s">
        <v>11</v>
      </c>
    </row>
    <row r="2867" spans="1:7" x14ac:dyDescent="0.2">
      <c r="A2867" s="6" t="s">
        <v>18</v>
      </c>
      <c r="B2867" s="7" t="s">
        <v>9</v>
      </c>
      <c r="C2867" s="7" t="s">
        <v>3581</v>
      </c>
      <c r="D2867" s="7">
        <v>3.0728837699999998</v>
      </c>
      <c r="E2867" s="7">
        <v>2.1363412199999998</v>
      </c>
      <c r="F2867" s="9" t="str">
        <f t="shared" si="13"/>
        <v>Direct</v>
      </c>
      <c r="G2867" s="7" t="s">
        <v>11</v>
      </c>
    </row>
    <row r="2868" spans="1:7" x14ac:dyDescent="0.2">
      <c r="A2868" s="6" t="s">
        <v>18</v>
      </c>
      <c r="B2868" s="7" t="s">
        <v>9</v>
      </c>
      <c r="C2868" s="7" t="s">
        <v>3582</v>
      </c>
      <c r="D2868" s="7">
        <v>-2.3630890999999998</v>
      </c>
      <c r="E2868" s="7">
        <v>-1.6991902000000001</v>
      </c>
      <c r="F2868" s="9" t="str">
        <f t="shared" si="13"/>
        <v>Direct</v>
      </c>
      <c r="G2868" s="7" t="s">
        <v>11</v>
      </c>
    </row>
    <row r="2869" spans="1:7" x14ac:dyDescent="0.2">
      <c r="A2869" s="6" t="s">
        <v>18</v>
      </c>
      <c r="B2869" s="7" t="s">
        <v>9</v>
      </c>
      <c r="C2869" s="7" t="s">
        <v>3583</v>
      </c>
      <c r="D2869" s="7">
        <v>-2.2666284999999999</v>
      </c>
      <c r="E2869" s="7">
        <v>-1.7803498</v>
      </c>
      <c r="F2869" s="9" t="str">
        <f t="shared" si="13"/>
        <v>Direct</v>
      </c>
      <c r="G2869" s="7" t="s">
        <v>11</v>
      </c>
    </row>
    <row r="2870" spans="1:7" x14ac:dyDescent="0.2">
      <c r="A2870" s="6" t="s">
        <v>18</v>
      </c>
      <c r="B2870" s="7" t="s">
        <v>9</v>
      </c>
      <c r="C2870" s="7" t="s">
        <v>3584</v>
      </c>
      <c r="D2870" s="7">
        <v>-1.5375015000000001</v>
      </c>
      <c r="E2870" s="7">
        <v>-1.4665003999999999</v>
      </c>
      <c r="F2870" s="9" t="str">
        <f t="shared" si="13"/>
        <v>Direct</v>
      </c>
      <c r="G2870" s="7" t="s">
        <v>995</v>
      </c>
    </row>
    <row r="2871" spans="1:7" x14ac:dyDescent="0.2">
      <c r="A2871" s="6" t="s">
        <v>18</v>
      </c>
      <c r="B2871" s="7" t="s">
        <v>9</v>
      </c>
      <c r="C2871" s="7" t="s">
        <v>3585</v>
      </c>
      <c r="D2871" s="7">
        <v>1.7143669699999999</v>
      </c>
      <c r="E2871" s="7">
        <v>2.13614675</v>
      </c>
      <c r="F2871" s="9" t="str">
        <f t="shared" si="13"/>
        <v>Direct</v>
      </c>
      <c r="G2871" s="7" t="s">
        <v>11</v>
      </c>
    </row>
    <row r="2872" spans="1:7" x14ac:dyDescent="0.2">
      <c r="A2872" s="6" t="s">
        <v>18</v>
      </c>
      <c r="B2872" s="7" t="s">
        <v>13</v>
      </c>
      <c r="C2872" s="7" t="s">
        <v>3586</v>
      </c>
      <c r="D2872" s="7">
        <v>1.44268873</v>
      </c>
      <c r="E2872" s="7">
        <v>3.3385308600000001</v>
      </c>
      <c r="F2872" s="9" t="str">
        <f t="shared" si="13"/>
        <v>Direct</v>
      </c>
      <c r="G2872" s="7" t="s">
        <v>3587</v>
      </c>
    </row>
    <row r="2873" spans="1:7" x14ac:dyDescent="0.2">
      <c r="A2873" s="6" t="s">
        <v>18</v>
      </c>
      <c r="B2873" s="7" t="s">
        <v>13</v>
      </c>
      <c r="C2873" s="7" t="s">
        <v>3588</v>
      </c>
      <c r="D2873" s="7">
        <v>3.3337191800000001</v>
      </c>
      <c r="E2873" s="7">
        <v>1.7341102100000001</v>
      </c>
      <c r="F2873" s="9" t="str">
        <f t="shared" si="13"/>
        <v>Direct</v>
      </c>
      <c r="G2873" s="7" t="s">
        <v>11</v>
      </c>
    </row>
    <row r="2874" spans="1:7" x14ac:dyDescent="0.2">
      <c r="A2874" s="6" t="s">
        <v>18</v>
      </c>
      <c r="B2874" s="7" t="s">
        <v>13</v>
      </c>
      <c r="C2874" s="7" t="s">
        <v>3589</v>
      </c>
      <c r="D2874" s="7">
        <v>-3.8622784999999999</v>
      </c>
      <c r="E2874" s="7">
        <v>-1.7980585</v>
      </c>
      <c r="F2874" s="9" t="str">
        <f t="shared" si="13"/>
        <v>Direct</v>
      </c>
      <c r="G2874" s="7" t="s">
        <v>11</v>
      </c>
    </row>
    <row r="2875" spans="1:7" x14ac:dyDescent="0.2">
      <c r="A2875" s="6" t="s">
        <v>18</v>
      </c>
      <c r="B2875" s="7" t="s">
        <v>13</v>
      </c>
      <c r="C2875" s="7" t="s">
        <v>3590</v>
      </c>
      <c r="D2875" s="7">
        <v>-2.5189564999999998</v>
      </c>
      <c r="E2875" s="7">
        <v>-1.9535476000000001</v>
      </c>
      <c r="F2875" s="9" t="str">
        <f t="shared" si="13"/>
        <v>Direct</v>
      </c>
      <c r="G2875" s="7" t="s">
        <v>11</v>
      </c>
    </row>
    <row r="2876" spans="1:7" x14ac:dyDescent="0.2">
      <c r="A2876" s="6" t="s">
        <v>18</v>
      </c>
      <c r="B2876" s="7" t="s">
        <v>13</v>
      </c>
      <c r="C2876" s="7" t="s">
        <v>3591</v>
      </c>
      <c r="D2876" s="7">
        <v>2.0362887999999999</v>
      </c>
      <c r="E2876" s="7">
        <v>2.6755734000000002</v>
      </c>
      <c r="F2876" s="9" t="str">
        <f t="shared" si="13"/>
        <v>Direct</v>
      </c>
      <c r="G2876" s="7" t="s">
        <v>11</v>
      </c>
    </row>
    <row r="2877" spans="1:7" x14ac:dyDescent="0.2">
      <c r="A2877" s="6" t="s">
        <v>18</v>
      </c>
      <c r="B2877" s="7" t="s">
        <v>13</v>
      </c>
      <c r="C2877" s="7" t="s">
        <v>3592</v>
      </c>
      <c r="D2877" s="7">
        <v>2.7933288599999999</v>
      </c>
      <c r="E2877" s="7">
        <v>4.3765446499999996</v>
      </c>
      <c r="F2877" s="9" t="str">
        <f t="shared" si="13"/>
        <v>Direct</v>
      </c>
      <c r="G2877" s="7" t="s">
        <v>11</v>
      </c>
    </row>
    <row r="2878" spans="1:7" x14ac:dyDescent="0.2">
      <c r="A2878" s="6" t="s">
        <v>18</v>
      </c>
      <c r="B2878" s="7" t="s">
        <v>13</v>
      </c>
      <c r="C2878" s="7" t="s">
        <v>3593</v>
      </c>
      <c r="D2878" s="7">
        <v>1.3580626499999999</v>
      </c>
      <c r="E2878" s="7">
        <v>4.4694185700000002</v>
      </c>
      <c r="F2878" s="9" t="str">
        <f t="shared" si="13"/>
        <v>Direct</v>
      </c>
      <c r="G2878" s="7" t="s">
        <v>11</v>
      </c>
    </row>
    <row r="2879" spans="1:7" x14ac:dyDescent="0.2">
      <c r="A2879" s="6" t="s">
        <v>18</v>
      </c>
      <c r="B2879" s="7" t="s">
        <v>13</v>
      </c>
      <c r="C2879" s="7" t="s">
        <v>2591</v>
      </c>
      <c r="D2879" s="7">
        <v>1.6385928000000001</v>
      </c>
      <c r="E2879" s="7">
        <v>1.37006695</v>
      </c>
      <c r="F2879" s="9" t="str">
        <f t="shared" si="13"/>
        <v>Direct</v>
      </c>
      <c r="G2879" s="7" t="s">
        <v>2592</v>
      </c>
    </row>
    <row r="2880" spans="1:7" x14ac:dyDescent="0.2">
      <c r="A2880" s="6" t="s">
        <v>18</v>
      </c>
      <c r="B2880" s="7" t="s">
        <v>13</v>
      </c>
      <c r="C2880" s="7" t="s">
        <v>3594</v>
      </c>
      <c r="D2880" s="7">
        <v>1.5036761300000001</v>
      </c>
      <c r="E2880" s="7">
        <v>2.1431858099999999</v>
      </c>
      <c r="F2880" s="9" t="str">
        <f t="shared" si="13"/>
        <v>Direct</v>
      </c>
      <c r="G2880" s="7" t="s">
        <v>3595</v>
      </c>
    </row>
    <row r="2881" spans="1:7" x14ac:dyDescent="0.2">
      <c r="A2881" s="6" t="s">
        <v>18</v>
      </c>
      <c r="B2881" s="7" t="s">
        <v>13</v>
      </c>
      <c r="C2881" s="7" t="s">
        <v>3596</v>
      </c>
      <c r="D2881" s="7">
        <v>1.28928837</v>
      </c>
      <c r="E2881" s="7">
        <v>1.3395185999999999</v>
      </c>
      <c r="F2881" s="9" t="str">
        <f t="shared" si="13"/>
        <v>Direct</v>
      </c>
      <c r="G2881" s="7" t="s">
        <v>11</v>
      </c>
    </row>
    <row r="2882" spans="1:7" x14ac:dyDescent="0.2">
      <c r="A2882" s="6" t="s">
        <v>18</v>
      </c>
      <c r="B2882" s="7" t="s">
        <v>13</v>
      </c>
      <c r="C2882" s="7" t="s">
        <v>3597</v>
      </c>
      <c r="D2882" s="7">
        <v>-1.161572</v>
      </c>
      <c r="E2882" s="7">
        <v>-1.4551939</v>
      </c>
      <c r="F2882" s="9" t="str">
        <f t="shared" si="13"/>
        <v>Direct</v>
      </c>
      <c r="G2882" s="7" t="s">
        <v>3598</v>
      </c>
    </row>
    <row r="2883" spans="1:7" x14ac:dyDescent="0.2">
      <c r="A2883" s="6" t="s">
        <v>18</v>
      </c>
      <c r="B2883" s="7" t="s">
        <v>13</v>
      </c>
      <c r="C2883" s="7" t="s">
        <v>3599</v>
      </c>
      <c r="D2883" s="7">
        <v>-1.7572082</v>
      </c>
      <c r="E2883" s="7">
        <v>-1.0466247</v>
      </c>
      <c r="F2883" s="9" t="str">
        <f t="shared" si="13"/>
        <v>Direct</v>
      </c>
      <c r="G2883" s="7" t="s">
        <v>423</v>
      </c>
    </row>
    <row r="2884" spans="1:7" x14ac:dyDescent="0.2">
      <c r="A2884" s="6" t="s">
        <v>18</v>
      </c>
      <c r="B2884" s="7" t="s">
        <v>13</v>
      </c>
      <c r="C2884" s="7" t="s">
        <v>3600</v>
      </c>
      <c r="D2884" s="7">
        <v>1.96483561</v>
      </c>
      <c r="E2884" s="7">
        <v>2.5489858700000001</v>
      </c>
      <c r="F2884" s="9" t="str">
        <f t="shared" si="13"/>
        <v>Direct</v>
      </c>
      <c r="G2884" s="7" t="s">
        <v>11</v>
      </c>
    </row>
    <row r="2885" spans="1:7" x14ac:dyDescent="0.2">
      <c r="A2885" s="6" t="s">
        <v>18</v>
      </c>
      <c r="B2885" s="7" t="s">
        <v>13</v>
      </c>
      <c r="C2885" s="7" t="s">
        <v>3601</v>
      </c>
      <c r="D2885" s="7">
        <v>2.7933288599999999</v>
      </c>
      <c r="E2885" s="7">
        <v>1.78093368</v>
      </c>
      <c r="F2885" s="9" t="str">
        <f t="shared" si="13"/>
        <v>Direct</v>
      </c>
      <c r="G2885" s="7" t="s">
        <v>58</v>
      </c>
    </row>
    <row r="2886" spans="1:7" x14ac:dyDescent="0.2">
      <c r="A2886" s="6" t="s">
        <v>18</v>
      </c>
      <c r="B2886" s="7" t="s">
        <v>13</v>
      </c>
      <c r="C2886" s="7" t="s">
        <v>3602</v>
      </c>
      <c r="D2886" s="7">
        <v>-1.5344811</v>
      </c>
      <c r="E2886" s="7">
        <v>-1.3734679999999999</v>
      </c>
      <c r="F2886" s="9" t="str">
        <f t="shared" si="13"/>
        <v>Direct</v>
      </c>
      <c r="G2886" s="7" t="s">
        <v>3208</v>
      </c>
    </row>
    <row r="2887" spans="1:7" x14ac:dyDescent="0.2">
      <c r="A2887" s="6" t="s">
        <v>18</v>
      </c>
      <c r="B2887" s="7" t="s">
        <v>13</v>
      </c>
      <c r="C2887" s="7" t="s">
        <v>2606</v>
      </c>
      <c r="D2887" s="7">
        <v>2.56477719</v>
      </c>
      <c r="E2887" s="7">
        <v>2.16557807</v>
      </c>
      <c r="F2887" s="9" t="str">
        <f t="shared" si="13"/>
        <v>Direct</v>
      </c>
      <c r="G2887" s="7" t="s">
        <v>11</v>
      </c>
    </row>
    <row r="2888" spans="1:7" x14ac:dyDescent="0.2">
      <c r="A2888" s="6" t="s">
        <v>18</v>
      </c>
      <c r="B2888" s="7" t="s">
        <v>13</v>
      </c>
      <c r="C2888" s="7" t="s">
        <v>2607</v>
      </c>
      <c r="D2888" s="7">
        <v>-2.9453920999999998</v>
      </c>
      <c r="E2888" s="7">
        <v>-1.4785923000000001</v>
      </c>
      <c r="F2888" s="9" t="str">
        <f t="shared" si="13"/>
        <v>Direct</v>
      </c>
      <c r="G2888" s="7" t="s">
        <v>2605</v>
      </c>
    </row>
    <row r="2889" spans="1:7" x14ac:dyDescent="0.2">
      <c r="A2889" s="6" t="s">
        <v>18</v>
      </c>
      <c r="B2889" s="7" t="s">
        <v>13</v>
      </c>
      <c r="C2889" s="7" t="s">
        <v>3603</v>
      </c>
      <c r="D2889" s="7">
        <v>-2.2183362</v>
      </c>
      <c r="E2889" s="7">
        <v>-4.5550404999999996</v>
      </c>
      <c r="F2889" s="9" t="str">
        <f t="shared" si="13"/>
        <v>Direct</v>
      </c>
      <c r="G2889" s="7" t="s">
        <v>3604</v>
      </c>
    </row>
    <row r="2890" spans="1:7" x14ac:dyDescent="0.2">
      <c r="A2890" s="6" t="s">
        <v>18</v>
      </c>
      <c r="B2890" s="7" t="s">
        <v>13</v>
      </c>
      <c r="C2890" s="7" t="s">
        <v>3605</v>
      </c>
      <c r="D2890" s="7">
        <v>3.0432332</v>
      </c>
      <c r="E2890" s="7">
        <v>2.0575047899999999</v>
      </c>
      <c r="F2890" s="9" t="str">
        <f t="shared" si="13"/>
        <v>Direct</v>
      </c>
      <c r="G2890" s="7" t="s">
        <v>2754</v>
      </c>
    </row>
    <row r="2891" spans="1:7" x14ac:dyDescent="0.2">
      <c r="A2891" s="6" t="s">
        <v>18</v>
      </c>
      <c r="B2891" s="7" t="s">
        <v>13</v>
      </c>
      <c r="C2891" s="7" t="s">
        <v>3606</v>
      </c>
      <c r="D2891" s="7">
        <v>-1.9228649</v>
      </c>
      <c r="E2891" s="7">
        <v>-1.4008763</v>
      </c>
      <c r="F2891" s="9" t="str">
        <f t="shared" si="13"/>
        <v>Direct</v>
      </c>
      <c r="G2891" s="7" t="s">
        <v>3208</v>
      </c>
    </row>
    <row r="2892" spans="1:7" x14ac:dyDescent="0.2">
      <c r="A2892" s="6" t="s">
        <v>18</v>
      </c>
      <c r="B2892" s="7" t="s">
        <v>13</v>
      </c>
      <c r="C2892" s="7" t="s">
        <v>3607</v>
      </c>
      <c r="D2892" s="7">
        <v>1.8052480500000001</v>
      </c>
      <c r="E2892" s="7">
        <v>1.45776236</v>
      </c>
      <c r="F2892" s="9" t="str">
        <f t="shared" si="13"/>
        <v>Direct</v>
      </c>
      <c r="G2892" s="7" t="s">
        <v>11</v>
      </c>
    </row>
    <row r="2893" spans="1:7" x14ac:dyDescent="0.2">
      <c r="A2893" s="6" t="s">
        <v>18</v>
      </c>
      <c r="B2893" s="7" t="s">
        <v>13</v>
      </c>
      <c r="C2893" s="7" t="s">
        <v>2616</v>
      </c>
      <c r="D2893" s="7">
        <v>-2.2040719000000002</v>
      </c>
      <c r="E2893" s="7">
        <v>-1.7313936999999999</v>
      </c>
      <c r="F2893" s="9" t="str">
        <f t="shared" si="13"/>
        <v>Direct</v>
      </c>
      <c r="G2893" s="7" t="s">
        <v>1345</v>
      </c>
    </row>
    <row r="2894" spans="1:7" x14ac:dyDescent="0.2">
      <c r="A2894" s="6" t="s">
        <v>18</v>
      </c>
      <c r="B2894" s="7" t="s">
        <v>13</v>
      </c>
      <c r="C2894" s="7" t="s">
        <v>3608</v>
      </c>
      <c r="D2894" s="7">
        <v>-2.6324953</v>
      </c>
      <c r="E2894" s="7">
        <v>-2.5489858999999999</v>
      </c>
      <c r="F2894" s="9" t="str">
        <f t="shared" si="13"/>
        <v>Direct</v>
      </c>
      <c r="G2894" s="7" t="s">
        <v>11</v>
      </c>
    </row>
    <row r="2895" spans="1:7" x14ac:dyDescent="0.2">
      <c r="A2895" s="6" t="s">
        <v>18</v>
      </c>
      <c r="B2895" s="7" t="s">
        <v>13</v>
      </c>
      <c r="C2895" s="7" t="s">
        <v>3609</v>
      </c>
      <c r="D2895" s="7">
        <v>3.7101464700000002</v>
      </c>
      <c r="E2895" s="7">
        <v>2.3440587900000001</v>
      </c>
      <c r="F2895" s="9" t="str">
        <f t="shared" si="13"/>
        <v>Direct</v>
      </c>
      <c r="G2895" s="7" t="s">
        <v>11</v>
      </c>
    </row>
    <row r="2896" spans="1:7" x14ac:dyDescent="0.2">
      <c r="A2896" s="6" t="s">
        <v>18</v>
      </c>
      <c r="B2896" s="7" t="s">
        <v>13</v>
      </c>
      <c r="C2896" s="7" t="s">
        <v>3610</v>
      </c>
      <c r="D2896" s="7">
        <v>-1.4865512000000001</v>
      </c>
      <c r="E2896" s="7">
        <v>-1.2927001</v>
      </c>
      <c r="F2896" s="9" t="str">
        <f t="shared" si="13"/>
        <v>Direct</v>
      </c>
      <c r="G2896" s="7" t="s">
        <v>2624</v>
      </c>
    </row>
    <row r="2897" spans="1:7" x14ac:dyDescent="0.2">
      <c r="A2897" s="6" t="s">
        <v>18</v>
      </c>
      <c r="B2897" s="7" t="s">
        <v>13</v>
      </c>
      <c r="C2897" s="7" t="s">
        <v>2629</v>
      </c>
      <c r="D2897" s="7">
        <v>-2.2298211999999999</v>
      </c>
      <c r="E2897" s="7">
        <v>-1.7097526999999999</v>
      </c>
      <c r="F2897" s="9" t="str">
        <f t="shared" si="13"/>
        <v>Direct</v>
      </c>
      <c r="G2897" s="7" t="s">
        <v>11</v>
      </c>
    </row>
    <row r="2898" spans="1:7" x14ac:dyDescent="0.2">
      <c r="A2898" s="6" t="s">
        <v>18</v>
      </c>
      <c r="B2898" s="7" t="s">
        <v>13</v>
      </c>
      <c r="C2898" s="7" t="s">
        <v>3611</v>
      </c>
      <c r="D2898" s="7">
        <v>-1.6319543000000001</v>
      </c>
      <c r="E2898" s="7">
        <v>-1.0363777000000001</v>
      </c>
      <c r="F2898" s="9" t="str">
        <f t="shared" si="13"/>
        <v>Direct</v>
      </c>
      <c r="G2898" s="7" t="s">
        <v>11</v>
      </c>
    </row>
    <row r="2899" spans="1:7" x14ac:dyDescent="0.2">
      <c r="A2899" s="6" t="s">
        <v>18</v>
      </c>
      <c r="B2899" s="7" t="s">
        <v>13</v>
      </c>
      <c r="C2899" s="7" t="s">
        <v>3612</v>
      </c>
      <c r="D2899" s="7">
        <v>-2.0971226000000001</v>
      </c>
      <c r="E2899" s="7">
        <v>-1.7398111000000001</v>
      </c>
      <c r="F2899" s="9" t="str">
        <f t="shared" si="13"/>
        <v>Direct</v>
      </c>
      <c r="G2899" s="7" t="s">
        <v>3613</v>
      </c>
    </row>
    <row r="2900" spans="1:7" x14ac:dyDescent="0.2">
      <c r="A2900" s="6" t="s">
        <v>18</v>
      </c>
      <c r="B2900" s="7" t="s">
        <v>13</v>
      </c>
      <c r="C2900" s="7" t="s">
        <v>3614</v>
      </c>
      <c r="D2900" s="7">
        <v>1.4706321099999999</v>
      </c>
      <c r="E2900" s="7">
        <v>1.5108837100000001</v>
      </c>
      <c r="F2900" s="9" t="str">
        <f t="shared" si="13"/>
        <v>Direct</v>
      </c>
      <c r="G2900" s="7" t="s">
        <v>11</v>
      </c>
    </row>
    <row r="2901" spans="1:7" x14ac:dyDescent="0.2">
      <c r="A2901" s="6" t="s">
        <v>18</v>
      </c>
      <c r="B2901" s="7" t="s">
        <v>13</v>
      </c>
      <c r="C2901" s="7" t="s">
        <v>3615</v>
      </c>
      <c r="D2901" s="7">
        <v>1.022759</v>
      </c>
      <c r="E2901" s="7">
        <v>1.5450933899999999</v>
      </c>
      <c r="F2901" s="9" t="str">
        <f t="shared" si="13"/>
        <v>Direct</v>
      </c>
      <c r="G2901" s="7" t="s">
        <v>11</v>
      </c>
    </row>
    <row r="2902" spans="1:7" x14ac:dyDescent="0.2">
      <c r="A2902" s="6" t="s">
        <v>18</v>
      </c>
      <c r="B2902" s="7" t="s">
        <v>13</v>
      </c>
      <c r="C2902" s="7" t="s">
        <v>3616</v>
      </c>
      <c r="D2902" s="7">
        <v>-3.2534575999999999</v>
      </c>
      <c r="E2902" s="7">
        <v>-1.7450618</v>
      </c>
      <c r="F2902" s="9" t="str">
        <f t="shared" si="13"/>
        <v>Direct</v>
      </c>
      <c r="G2902" s="7" t="s">
        <v>3617</v>
      </c>
    </row>
    <row r="2903" spans="1:7" x14ac:dyDescent="0.2">
      <c r="A2903" s="6" t="s">
        <v>18</v>
      </c>
      <c r="B2903" s="7" t="s">
        <v>13</v>
      </c>
      <c r="C2903" s="7" t="s">
        <v>3618</v>
      </c>
      <c r="D2903" s="7">
        <v>1.32925513</v>
      </c>
      <c r="E2903" s="7">
        <v>1.0013500099999999</v>
      </c>
      <c r="F2903" s="9" t="str">
        <f t="shared" si="13"/>
        <v>Direct</v>
      </c>
      <c r="G2903" s="7" t="s">
        <v>3619</v>
      </c>
    </row>
    <row r="2904" spans="1:7" x14ac:dyDescent="0.2">
      <c r="A2904" s="6" t="s">
        <v>18</v>
      </c>
      <c r="B2904" s="7" t="s">
        <v>13</v>
      </c>
      <c r="C2904" s="7" t="s">
        <v>2655</v>
      </c>
      <c r="D2904" s="7">
        <v>1.4232348399999999</v>
      </c>
      <c r="E2904" s="7">
        <v>1.4533174799999999</v>
      </c>
      <c r="F2904" s="9" t="str">
        <f t="shared" si="13"/>
        <v>Direct</v>
      </c>
      <c r="G2904" s="7" t="s">
        <v>2656</v>
      </c>
    </row>
    <row r="2905" spans="1:7" x14ac:dyDescent="0.2">
      <c r="A2905" s="6" t="s">
        <v>18</v>
      </c>
      <c r="B2905" s="7" t="s">
        <v>13</v>
      </c>
      <c r="C2905" s="7" t="s">
        <v>3620</v>
      </c>
      <c r="D2905" s="7">
        <v>2.7933288599999999</v>
      </c>
      <c r="E2905" s="7">
        <v>4.0448426900000003</v>
      </c>
      <c r="F2905" s="9" t="str">
        <f t="shared" si="13"/>
        <v>Direct</v>
      </c>
      <c r="G2905" s="7" t="s">
        <v>11</v>
      </c>
    </row>
    <row r="2906" spans="1:7" x14ac:dyDescent="0.2">
      <c r="A2906" s="6" t="s">
        <v>18</v>
      </c>
      <c r="B2906" s="7" t="s">
        <v>13</v>
      </c>
      <c r="C2906" s="7" t="s">
        <v>3621</v>
      </c>
      <c r="D2906" s="7">
        <v>-2.6766740000000002</v>
      </c>
      <c r="E2906" s="7">
        <v>-1.7477529000000001</v>
      </c>
      <c r="F2906" s="9" t="str">
        <f t="shared" si="13"/>
        <v>Direct</v>
      </c>
      <c r="G2906" s="7" t="s">
        <v>2483</v>
      </c>
    </row>
    <row r="2907" spans="1:7" x14ac:dyDescent="0.2">
      <c r="A2907" s="6" t="s">
        <v>18</v>
      </c>
      <c r="B2907" s="7" t="s">
        <v>13</v>
      </c>
      <c r="C2907" s="7" t="s">
        <v>3622</v>
      </c>
      <c r="D2907" s="7">
        <v>-2.3033286999999998</v>
      </c>
      <c r="E2907" s="7">
        <v>-1.8662071</v>
      </c>
      <c r="F2907" s="9" t="str">
        <f t="shared" si="13"/>
        <v>Direct</v>
      </c>
      <c r="G2907" s="7" t="s">
        <v>11</v>
      </c>
    </row>
    <row r="2908" spans="1:7" x14ac:dyDescent="0.2">
      <c r="A2908" s="6" t="s">
        <v>18</v>
      </c>
      <c r="B2908" s="7" t="s">
        <v>13</v>
      </c>
      <c r="C2908" s="7" t="s">
        <v>3623</v>
      </c>
      <c r="D2908" s="7">
        <v>-1.4761124999999999</v>
      </c>
      <c r="E2908" s="7">
        <v>-1.6579347</v>
      </c>
      <c r="F2908" s="9" t="str">
        <f t="shared" si="13"/>
        <v>Direct</v>
      </c>
      <c r="G2908" s="7" t="s">
        <v>3624</v>
      </c>
    </row>
    <row r="2909" spans="1:7" x14ac:dyDescent="0.2">
      <c r="A2909" s="6" t="s">
        <v>18</v>
      </c>
      <c r="B2909" s="7" t="s">
        <v>13</v>
      </c>
      <c r="C2909" s="7" t="s">
        <v>3625</v>
      </c>
      <c r="D2909" s="7">
        <v>-2.1925577999999999</v>
      </c>
      <c r="E2909" s="7">
        <v>-1.4036915999999999</v>
      </c>
      <c r="F2909" s="9" t="str">
        <f t="shared" si="13"/>
        <v>Direct</v>
      </c>
      <c r="G2909" s="7" t="s">
        <v>11</v>
      </c>
    </row>
    <row r="2910" spans="1:7" x14ac:dyDescent="0.2">
      <c r="A2910" s="6" t="s">
        <v>18</v>
      </c>
      <c r="B2910" s="7" t="s">
        <v>13</v>
      </c>
      <c r="C2910" s="7" t="s">
        <v>2686</v>
      </c>
      <c r="D2910" s="7">
        <v>-1.6097052000000001</v>
      </c>
      <c r="E2910" s="7">
        <v>-2.4223425000000001</v>
      </c>
      <c r="F2910" s="9" t="str">
        <f t="shared" si="13"/>
        <v>Direct</v>
      </c>
      <c r="G2910" s="7" t="s">
        <v>2687</v>
      </c>
    </row>
    <row r="2911" spans="1:7" x14ac:dyDescent="0.2">
      <c r="A2911" s="6" t="s">
        <v>18</v>
      </c>
      <c r="B2911" s="7" t="s">
        <v>13</v>
      </c>
      <c r="C2911" s="7" t="s">
        <v>2689</v>
      </c>
      <c r="D2911" s="7">
        <v>1.0034481200000001</v>
      </c>
      <c r="E2911" s="7">
        <v>2.5489858700000001</v>
      </c>
      <c r="F2911" s="9" t="str">
        <f t="shared" si="13"/>
        <v>Direct</v>
      </c>
      <c r="G2911" s="7" t="s">
        <v>11</v>
      </c>
    </row>
    <row r="2912" spans="1:7" x14ac:dyDescent="0.2">
      <c r="A2912" s="6" t="s">
        <v>18</v>
      </c>
      <c r="B2912" s="7" t="s">
        <v>13</v>
      </c>
      <c r="C2912" s="7" t="s">
        <v>3626</v>
      </c>
      <c r="D2912" s="7">
        <v>4.8507012500000002</v>
      </c>
      <c r="E2912" s="7">
        <v>1.65991556</v>
      </c>
      <c r="F2912" s="9" t="str">
        <f t="shared" si="13"/>
        <v>Direct</v>
      </c>
      <c r="G2912" s="7" t="s">
        <v>3627</v>
      </c>
    </row>
    <row r="2913" spans="1:7" x14ac:dyDescent="0.2">
      <c r="A2913" s="6" t="s">
        <v>18</v>
      </c>
      <c r="B2913" s="7" t="s">
        <v>13</v>
      </c>
      <c r="C2913" s="7" t="s">
        <v>3628</v>
      </c>
      <c r="D2913" s="7">
        <v>2.4031651599999999</v>
      </c>
      <c r="E2913" s="7">
        <v>1.4060029599999999</v>
      </c>
      <c r="F2913" s="9" t="str">
        <f t="shared" si="13"/>
        <v>Direct</v>
      </c>
      <c r="G2913" s="7" t="s">
        <v>58</v>
      </c>
    </row>
    <row r="2914" spans="1:7" x14ac:dyDescent="0.2">
      <c r="A2914" s="6" t="s">
        <v>18</v>
      </c>
      <c r="B2914" s="7" t="s">
        <v>13</v>
      </c>
      <c r="C2914" s="7" t="s">
        <v>3629</v>
      </c>
      <c r="D2914" s="7">
        <v>-1.3132956</v>
      </c>
      <c r="E2914" s="7">
        <v>-1.1282937</v>
      </c>
      <c r="F2914" s="9" t="str">
        <f t="shared" si="13"/>
        <v>Direct</v>
      </c>
      <c r="G2914" s="7" t="s">
        <v>11</v>
      </c>
    </row>
    <row r="2915" spans="1:7" x14ac:dyDescent="0.2">
      <c r="A2915" s="6" t="s">
        <v>18</v>
      </c>
      <c r="B2915" s="7" t="s">
        <v>13</v>
      </c>
      <c r="C2915" s="7" t="s">
        <v>3630</v>
      </c>
      <c r="D2915" s="7">
        <v>-2.1710636999999999</v>
      </c>
      <c r="E2915" s="7">
        <v>-1.0779175999999999</v>
      </c>
      <c r="F2915" s="9" t="str">
        <f t="shared" si="13"/>
        <v>Direct</v>
      </c>
      <c r="G2915" s="7" t="s">
        <v>693</v>
      </c>
    </row>
    <row r="2916" spans="1:7" x14ac:dyDescent="0.2">
      <c r="A2916" s="6" t="s">
        <v>18</v>
      </c>
      <c r="B2916" s="7" t="s">
        <v>13</v>
      </c>
      <c r="C2916" s="7" t="s">
        <v>3631</v>
      </c>
      <c r="D2916" s="7">
        <v>3.8600427000000002</v>
      </c>
      <c r="E2916" s="7">
        <v>1.24478399</v>
      </c>
      <c r="F2916" s="9" t="str">
        <f t="shared" si="13"/>
        <v>Direct</v>
      </c>
      <c r="G2916" s="7" t="s">
        <v>11</v>
      </c>
    </row>
    <row r="2917" spans="1:7" x14ac:dyDescent="0.2">
      <c r="A2917" s="6" t="s">
        <v>18</v>
      </c>
      <c r="B2917" s="7" t="s">
        <v>13</v>
      </c>
      <c r="C2917" s="7" t="s">
        <v>3632</v>
      </c>
      <c r="D2917" s="7">
        <v>1.73128444</v>
      </c>
      <c r="E2917" s="7">
        <v>1.7968864099999999</v>
      </c>
      <c r="F2917" s="9" t="str">
        <f t="shared" si="13"/>
        <v>Direct</v>
      </c>
      <c r="G2917" s="7" t="s">
        <v>11</v>
      </c>
    </row>
    <row r="2918" spans="1:7" x14ac:dyDescent="0.2">
      <c r="A2918" s="6" t="s">
        <v>18</v>
      </c>
      <c r="B2918" s="7" t="s">
        <v>13</v>
      </c>
      <c r="C2918" s="7" t="s">
        <v>3633</v>
      </c>
      <c r="D2918" s="7">
        <v>-1.9638059000000001</v>
      </c>
      <c r="E2918" s="7">
        <v>-1.7391300000000001</v>
      </c>
      <c r="F2918" s="9" t="str">
        <f t="shared" si="13"/>
        <v>Direct</v>
      </c>
      <c r="G2918" s="7" t="s">
        <v>3634</v>
      </c>
    </row>
    <row r="2919" spans="1:7" x14ac:dyDescent="0.2">
      <c r="A2919" s="6" t="s">
        <v>18</v>
      </c>
      <c r="B2919" s="7" t="s">
        <v>13</v>
      </c>
      <c r="C2919" s="7" t="s">
        <v>3635</v>
      </c>
      <c r="D2919" s="7">
        <v>-1.4255798</v>
      </c>
      <c r="E2919" s="7">
        <v>-1.9277595999999999</v>
      </c>
      <c r="F2919" s="9" t="str">
        <f t="shared" si="13"/>
        <v>Direct</v>
      </c>
      <c r="G2919" s="7" t="s">
        <v>3636</v>
      </c>
    </row>
    <row r="2920" spans="1:7" x14ac:dyDescent="0.2">
      <c r="A2920" s="6" t="s">
        <v>18</v>
      </c>
      <c r="B2920" s="7" t="s">
        <v>13</v>
      </c>
      <c r="C2920" s="7" t="s">
        <v>3637</v>
      </c>
      <c r="D2920" s="7">
        <v>2.92513376</v>
      </c>
      <c r="E2920" s="7">
        <v>1.0184279899999999</v>
      </c>
      <c r="F2920" s="9" t="str">
        <f t="shared" si="13"/>
        <v>Direct</v>
      </c>
      <c r="G2920" s="7" t="s">
        <v>11</v>
      </c>
    </row>
    <row r="2921" spans="1:7" x14ac:dyDescent="0.2">
      <c r="A2921" s="6" t="s">
        <v>18</v>
      </c>
      <c r="B2921" s="7" t="s">
        <v>13</v>
      </c>
      <c r="C2921" s="7" t="s">
        <v>3638</v>
      </c>
      <c r="D2921" s="7">
        <v>1.40938031</v>
      </c>
      <c r="E2921" s="7">
        <v>1.0076870499999999</v>
      </c>
      <c r="F2921" s="9" t="str">
        <f t="shared" si="13"/>
        <v>Direct</v>
      </c>
      <c r="G2921" s="7" t="s">
        <v>11</v>
      </c>
    </row>
    <row r="2922" spans="1:7" x14ac:dyDescent="0.2">
      <c r="A2922" s="6" t="s">
        <v>18</v>
      </c>
      <c r="B2922" s="7" t="s">
        <v>13</v>
      </c>
      <c r="C2922" s="7" t="s">
        <v>3639</v>
      </c>
      <c r="D2922" s="7">
        <v>1.56321383</v>
      </c>
      <c r="E2922" s="7">
        <v>1.64532243</v>
      </c>
      <c r="F2922" s="9" t="str">
        <f t="shared" si="13"/>
        <v>Direct</v>
      </c>
      <c r="G2922" s="7" t="s">
        <v>11</v>
      </c>
    </row>
    <row r="2923" spans="1:7" x14ac:dyDescent="0.2">
      <c r="A2923" s="6" t="s">
        <v>18</v>
      </c>
      <c r="B2923" s="7" t="s">
        <v>13</v>
      </c>
      <c r="C2923" s="7" t="s">
        <v>3640</v>
      </c>
      <c r="D2923" s="7">
        <v>-2.2102865</v>
      </c>
      <c r="E2923" s="7">
        <v>-2.9431753999999999</v>
      </c>
      <c r="F2923" s="9" t="str">
        <f t="shared" si="13"/>
        <v>Direct</v>
      </c>
      <c r="G2923" s="7" t="s">
        <v>3641</v>
      </c>
    </row>
    <row r="2924" spans="1:7" x14ac:dyDescent="0.2">
      <c r="A2924" s="6" t="s">
        <v>18</v>
      </c>
      <c r="B2924" s="7" t="s">
        <v>13</v>
      </c>
      <c r="C2924" s="7" t="s">
        <v>3642</v>
      </c>
      <c r="D2924" s="7">
        <v>-3.3441429999999999</v>
      </c>
      <c r="E2924" s="7">
        <v>-1.8407351999999999</v>
      </c>
      <c r="F2924" s="9" t="str">
        <f t="shared" si="13"/>
        <v>Direct</v>
      </c>
      <c r="G2924" s="7" t="s">
        <v>11</v>
      </c>
    </row>
    <row r="2925" spans="1:7" x14ac:dyDescent="0.2">
      <c r="A2925" s="6" t="s">
        <v>18</v>
      </c>
      <c r="B2925" s="7" t="s">
        <v>13</v>
      </c>
      <c r="C2925" s="7" t="s">
        <v>3643</v>
      </c>
      <c r="D2925" s="7">
        <v>-2.1285175999999999</v>
      </c>
      <c r="E2925" s="7">
        <v>-1.1405061999999999</v>
      </c>
      <c r="F2925" s="9" t="str">
        <f t="shared" si="13"/>
        <v>Direct</v>
      </c>
      <c r="G2925" s="7" t="s">
        <v>11</v>
      </c>
    </row>
    <row r="2926" spans="1:7" x14ac:dyDescent="0.2">
      <c r="A2926" s="6" t="s">
        <v>18</v>
      </c>
      <c r="B2926" s="7" t="s">
        <v>13</v>
      </c>
      <c r="C2926" s="7" t="s">
        <v>3644</v>
      </c>
      <c r="D2926" s="7">
        <v>-1.1887931</v>
      </c>
      <c r="E2926" s="7">
        <v>-1.3238981000000001</v>
      </c>
      <c r="F2926" s="9" t="str">
        <f t="shared" si="13"/>
        <v>Direct</v>
      </c>
      <c r="G2926" s="7" t="s">
        <v>11</v>
      </c>
    </row>
    <row r="2927" spans="1:7" x14ac:dyDescent="0.2">
      <c r="A2927" s="6" t="s">
        <v>18</v>
      </c>
      <c r="B2927" s="7" t="s">
        <v>13</v>
      </c>
      <c r="C2927" s="7" t="s">
        <v>3645</v>
      </c>
      <c r="D2927" s="7">
        <v>-1.0170482000000001</v>
      </c>
      <c r="E2927" s="7">
        <v>-1.8286800000000001</v>
      </c>
      <c r="F2927" s="9" t="str">
        <f t="shared" si="13"/>
        <v>Direct</v>
      </c>
      <c r="G2927" s="7" t="s">
        <v>2026</v>
      </c>
    </row>
    <row r="2928" spans="1:7" x14ac:dyDescent="0.2">
      <c r="A2928" s="6" t="s">
        <v>18</v>
      </c>
      <c r="B2928" s="7" t="s">
        <v>13</v>
      </c>
      <c r="C2928" s="7" t="s">
        <v>3646</v>
      </c>
      <c r="D2928" s="7">
        <v>-2.6436709</v>
      </c>
      <c r="E2928" s="7">
        <v>-4.5629531999999999</v>
      </c>
      <c r="F2928" s="9" t="str">
        <f t="shared" si="13"/>
        <v>Direct</v>
      </c>
      <c r="G2928" s="7" t="s">
        <v>11</v>
      </c>
    </row>
    <row r="2929" spans="1:7" x14ac:dyDescent="0.2">
      <c r="A2929" s="6" t="s">
        <v>18</v>
      </c>
      <c r="B2929" s="7" t="s">
        <v>13</v>
      </c>
      <c r="C2929" s="7" t="s">
        <v>3647</v>
      </c>
      <c r="D2929" s="7">
        <v>-1.4007122000000001</v>
      </c>
      <c r="E2929" s="7">
        <v>-1.0890271</v>
      </c>
      <c r="F2929" s="9" t="str">
        <f t="shared" si="13"/>
        <v>Direct</v>
      </c>
      <c r="G2929" s="7" t="s">
        <v>11</v>
      </c>
    </row>
    <row r="2930" spans="1:7" x14ac:dyDescent="0.2">
      <c r="A2930" s="6" t="s">
        <v>18</v>
      </c>
      <c r="B2930" s="7" t="s">
        <v>13</v>
      </c>
      <c r="C2930" s="7" t="s">
        <v>2696</v>
      </c>
      <c r="D2930" s="7">
        <v>3.7552646900000002</v>
      </c>
      <c r="E2930" s="7">
        <v>2.8431070799999998</v>
      </c>
      <c r="F2930" s="9" t="str">
        <f t="shared" si="13"/>
        <v>Direct</v>
      </c>
      <c r="G2930" s="7" t="s">
        <v>11</v>
      </c>
    </row>
    <row r="2931" spans="1:7" x14ac:dyDescent="0.2">
      <c r="A2931" s="6" t="s">
        <v>18</v>
      </c>
      <c r="B2931" s="7" t="s">
        <v>13</v>
      </c>
      <c r="C2931" s="7" t="s">
        <v>3648</v>
      </c>
      <c r="D2931" s="7">
        <v>2.0699209600000001</v>
      </c>
      <c r="E2931" s="7">
        <v>1.4171543799999999</v>
      </c>
      <c r="F2931" s="9" t="str">
        <f t="shared" si="13"/>
        <v>Direct</v>
      </c>
      <c r="G2931" s="7" t="s">
        <v>248</v>
      </c>
    </row>
    <row r="2932" spans="1:7" x14ac:dyDescent="0.2">
      <c r="A2932" s="6" t="s">
        <v>18</v>
      </c>
      <c r="B2932" s="7" t="s">
        <v>13</v>
      </c>
      <c r="C2932" s="7" t="s">
        <v>3649</v>
      </c>
      <c r="D2932" s="7">
        <v>-1.4221615000000001</v>
      </c>
      <c r="E2932" s="7">
        <v>-1.8486343000000001</v>
      </c>
      <c r="F2932" s="9" t="str">
        <f t="shared" si="13"/>
        <v>Direct</v>
      </c>
      <c r="G2932" s="7" t="s">
        <v>11</v>
      </c>
    </row>
    <row r="2933" spans="1:7" x14ac:dyDescent="0.2">
      <c r="A2933" s="6" t="s">
        <v>18</v>
      </c>
      <c r="B2933" s="7" t="s">
        <v>13</v>
      </c>
      <c r="C2933" s="7" t="s">
        <v>3650</v>
      </c>
      <c r="D2933" s="7">
        <v>-1.8668283999999999</v>
      </c>
      <c r="E2933" s="7">
        <v>-3.2340165000000001</v>
      </c>
      <c r="F2933" s="9" t="str">
        <f t="shared" si="13"/>
        <v>Direct</v>
      </c>
      <c r="G2933" s="7" t="s">
        <v>35</v>
      </c>
    </row>
    <row r="2934" spans="1:7" x14ac:dyDescent="0.2">
      <c r="A2934" s="6" t="s">
        <v>18</v>
      </c>
      <c r="B2934" s="7" t="s">
        <v>13</v>
      </c>
      <c r="C2934" s="7" t="s">
        <v>3651</v>
      </c>
      <c r="D2934" s="7">
        <v>1.85748329</v>
      </c>
      <c r="E2934" s="7">
        <v>1.7068428</v>
      </c>
      <c r="F2934" s="9" t="str">
        <f t="shared" si="13"/>
        <v>Direct</v>
      </c>
      <c r="G2934" s="7" t="s">
        <v>11</v>
      </c>
    </row>
    <row r="2935" spans="1:7" x14ac:dyDescent="0.2">
      <c r="A2935" s="6" t="s">
        <v>18</v>
      </c>
      <c r="B2935" s="7" t="s">
        <v>13</v>
      </c>
      <c r="C2935" s="7" t="s">
        <v>3652</v>
      </c>
      <c r="D2935" s="7">
        <v>-1.9051156</v>
      </c>
      <c r="E2935" s="7">
        <v>-1.2382834</v>
      </c>
      <c r="F2935" s="9" t="str">
        <f t="shared" si="13"/>
        <v>Direct</v>
      </c>
      <c r="G2935" s="7" t="s">
        <v>2544</v>
      </c>
    </row>
    <row r="2936" spans="1:7" x14ac:dyDescent="0.2">
      <c r="A2936" s="6" t="s">
        <v>18</v>
      </c>
      <c r="B2936" s="7" t="s">
        <v>13</v>
      </c>
      <c r="C2936" s="7" t="s">
        <v>3653</v>
      </c>
      <c r="D2936" s="7">
        <v>1.20249976</v>
      </c>
      <c r="E2936" s="7">
        <v>1.1280764999999999</v>
      </c>
      <c r="F2936" s="9" t="str">
        <f t="shared" si="13"/>
        <v>Direct</v>
      </c>
      <c r="G2936" s="7" t="s">
        <v>1927</v>
      </c>
    </row>
    <row r="2937" spans="1:7" x14ac:dyDescent="0.2">
      <c r="A2937" s="6" t="s">
        <v>18</v>
      </c>
      <c r="B2937" s="7" t="s">
        <v>13</v>
      </c>
      <c r="C2937" s="7" t="s">
        <v>2710</v>
      </c>
      <c r="D2937" s="7">
        <v>1.58373735</v>
      </c>
      <c r="E2937" s="7">
        <v>1.7803366899999999</v>
      </c>
      <c r="F2937" s="9" t="str">
        <f t="shared" si="13"/>
        <v>Direct</v>
      </c>
      <c r="G2937" s="7" t="s">
        <v>2711</v>
      </c>
    </row>
    <row r="2938" spans="1:7" x14ac:dyDescent="0.2">
      <c r="A2938" s="6" t="s">
        <v>18</v>
      </c>
      <c r="B2938" s="7" t="s">
        <v>13</v>
      </c>
      <c r="C2938" s="7" t="s">
        <v>3654</v>
      </c>
      <c r="D2938" s="7">
        <v>-2.0286742000000002</v>
      </c>
      <c r="E2938" s="7">
        <v>-1.7691011999999999</v>
      </c>
      <c r="F2938" s="9" t="str">
        <f t="shared" si="13"/>
        <v>Direct</v>
      </c>
      <c r="G2938" s="7" t="s">
        <v>11</v>
      </c>
    </row>
    <row r="2939" spans="1:7" x14ac:dyDescent="0.2">
      <c r="A2939" s="6" t="s">
        <v>18</v>
      </c>
      <c r="B2939" s="7" t="s">
        <v>13</v>
      </c>
      <c r="C2939" s="7" t="s">
        <v>3655</v>
      </c>
      <c r="D2939" s="7">
        <v>-2.7413292999999999</v>
      </c>
      <c r="E2939" s="7">
        <v>-1.5223435999999999</v>
      </c>
      <c r="F2939" s="9" t="str">
        <f t="shared" si="13"/>
        <v>Direct</v>
      </c>
      <c r="G2939" s="7" t="s">
        <v>292</v>
      </c>
    </row>
    <row r="2940" spans="1:7" x14ac:dyDescent="0.2">
      <c r="A2940" s="6" t="s">
        <v>18</v>
      </c>
      <c r="B2940" s="7" t="s">
        <v>13</v>
      </c>
      <c r="C2940" s="7" t="s">
        <v>3656</v>
      </c>
      <c r="D2940" s="7">
        <v>-1.7350184</v>
      </c>
      <c r="E2940" s="7">
        <v>-2.0901855</v>
      </c>
      <c r="F2940" s="9" t="str">
        <f t="shared" si="13"/>
        <v>Direct</v>
      </c>
      <c r="G2940" s="7" t="s">
        <v>11</v>
      </c>
    </row>
    <row r="2941" spans="1:7" x14ac:dyDescent="0.2">
      <c r="A2941" s="6" t="s">
        <v>18</v>
      </c>
      <c r="B2941" s="7" t="s">
        <v>13</v>
      </c>
      <c r="C2941" s="7" t="s">
        <v>3657</v>
      </c>
      <c r="D2941" s="7">
        <v>1.54270252</v>
      </c>
      <c r="E2941" s="7">
        <v>1.0101442700000001</v>
      </c>
      <c r="F2941" s="9" t="str">
        <f t="shared" si="13"/>
        <v>Direct</v>
      </c>
      <c r="G2941" s="7" t="s">
        <v>3658</v>
      </c>
    </row>
    <row r="2942" spans="1:7" x14ac:dyDescent="0.2">
      <c r="A2942" s="6" t="s">
        <v>18</v>
      </c>
      <c r="B2942" s="7" t="s">
        <v>13</v>
      </c>
      <c r="C2942" s="7" t="s">
        <v>3659</v>
      </c>
      <c r="D2942" s="7">
        <v>2.1422439199999999</v>
      </c>
      <c r="E2942" s="7">
        <v>2.0440075100000001</v>
      </c>
      <c r="F2942" s="9" t="str">
        <f t="shared" si="13"/>
        <v>Direct</v>
      </c>
      <c r="G2942" s="7" t="s">
        <v>716</v>
      </c>
    </row>
    <row r="2943" spans="1:7" x14ac:dyDescent="0.2">
      <c r="A2943" s="6" t="s">
        <v>18</v>
      </c>
      <c r="B2943" s="7" t="s">
        <v>13</v>
      </c>
      <c r="C2943" s="7" t="s">
        <v>3660</v>
      </c>
      <c r="D2943" s="7">
        <v>1.3553841</v>
      </c>
      <c r="E2943" s="7">
        <v>2.1768439100000001</v>
      </c>
      <c r="F2943" s="9" t="str">
        <f t="shared" si="13"/>
        <v>Direct</v>
      </c>
      <c r="G2943" s="7" t="s">
        <v>716</v>
      </c>
    </row>
    <row r="2944" spans="1:7" x14ac:dyDescent="0.2">
      <c r="A2944" s="6" t="s">
        <v>18</v>
      </c>
      <c r="B2944" s="7" t="s">
        <v>13</v>
      </c>
      <c r="C2944" s="7" t="s">
        <v>3661</v>
      </c>
      <c r="D2944" s="7">
        <v>1.88943689</v>
      </c>
      <c r="E2944" s="7">
        <v>1.4826306499999999</v>
      </c>
      <c r="F2944" s="9" t="str">
        <f t="shared" si="13"/>
        <v>Direct</v>
      </c>
      <c r="G2944" s="7" t="s">
        <v>3662</v>
      </c>
    </row>
    <row r="2945" spans="1:7" x14ac:dyDescent="0.2">
      <c r="A2945" s="6" t="s">
        <v>18</v>
      </c>
      <c r="B2945" s="7" t="s">
        <v>13</v>
      </c>
      <c r="C2945" s="7" t="s">
        <v>3663</v>
      </c>
      <c r="D2945" s="7">
        <v>3.9938072199999999</v>
      </c>
      <c r="E2945" s="7">
        <v>1.50385817</v>
      </c>
      <c r="F2945" s="9" t="str">
        <f t="shared" si="13"/>
        <v>Direct</v>
      </c>
      <c r="G2945" s="7" t="s">
        <v>716</v>
      </c>
    </row>
    <row r="2946" spans="1:7" x14ac:dyDescent="0.2">
      <c r="A2946" s="6" t="s">
        <v>18</v>
      </c>
      <c r="B2946" s="7" t="s">
        <v>13</v>
      </c>
      <c r="C2946" s="7" t="s">
        <v>3664</v>
      </c>
      <c r="D2946" s="7">
        <v>4.1950233199999998</v>
      </c>
      <c r="E2946" s="7">
        <v>2.8234053600000002</v>
      </c>
      <c r="F2946" s="9" t="str">
        <f t="shared" si="13"/>
        <v>Direct</v>
      </c>
      <c r="G2946" s="7" t="s">
        <v>3569</v>
      </c>
    </row>
    <row r="2947" spans="1:7" x14ac:dyDescent="0.2">
      <c r="A2947" s="6" t="s">
        <v>18</v>
      </c>
      <c r="B2947" s="7" t="s">
        <v>13</v>
      </c>
      <c r="C2947" s="7" t="s">
        <v>2723</v>
      </c>
      <c r="D2947" s="7">
        <v>4.2246431900000001</v>
      </c>
      <c r="E2947" s="7">
        <v>4.1114605800000001</v>
      </c>
      <c r="F2947" s="9" t="str">
        <f t="shared" si="13"/>
        <v>Direct</v>
      </c>
      <c r="G2947" s="7" t="s">
        <v>1560</v>
      </c>
    </row>
    <row r="2948" spans="1:7" x14ac:dyDescent="0.2">
      <c r="A2948" s="6" t="s">
        <v>18</v>
      </c>
      <c r="B2948" s="7" t="s">
        <v>13</v>
      </c>
      <c r="C2948" s="7" t="s">
        <v>3665</v>
      </c>
      <c r="D2948" s="7">
        <v>-1.2546085</v>
      </c>
      <c r="E2948" s="7">
        <v>-2.9687382000000002</v>
      </c>
      <c r="F2948" s="9" t="str">
        <f t="shared" si="13"/>
        <v>Direct</v>
      </c>
      <c r="G2948" s="7" t="s">
        <v>11</v>
      </c>
    </row>
    <row r="2949" spans="1:7" x14ac:dyDescent="0.2">
      <c r="A2949" s="6" t="s">
        <v>18</v>
      </c>
      <c r="B2949" s="7" t="s">
        <v>13</v>
      </c>
      <c r="C2949" s="7" t="s">
        <v>3666</v>
      </c>
      <c r="D2949" s="7">
        <v>2.4416111900000002</v>
      </c>
      <c r="E2949" s="7">
        <v>1.0962469500000001</v>
      </c>
      <c r="F2949" s="9" t="str">
        <f t="shared" si="13"/>
        <v>Direct</v>
      </c>
      <c r="G2949" s="7" t="s">
        <v>3667</v>
      </c>
    </row>
    <row r="2950" spans="1:7" x14ac:dyDescent="0.2">
      <c r="A2950" s="6" t="s">
        <v>18</v>
      </c>
      <c r="B2950" s="7" t="s">
        <v>13</v>
      </c>
      <c r="C2950" s="7" t="s">
        <v>3668</v>
      </c>
      <c r="D2950" s="7">
        <v>3.89554563</v>
      </c>
      <c r="E2950" s="7">
        <v>2.04387154</v>
      </c>
      <c r="F2950" s="9" t="str">
        <f t="shared" si="13"/>
        <v>Direct</v>
      </c>
      <c r="G2950" s="7" t="s">
        <v>11</v>
      </c>
    </row>
    <row r="2951" spans="1:7" x14ac:dyDescent="0.2">
      <c r="A2951" s="6" t="s">
        <v>18</v>
      </c>
      <c r="B2951" s="7" t="s">
        <v>13</v>
      </c>
      <c r="C2951" s="7" t="s">
        <v>3669</v>
      </c>
      <c r="D2951" s="7">
        <v>1.8974935100000001</v>
      </c>
      <c r="E2951" s="7">
        <v>2.8240664500000001</v>
      </c>
      <c r="F2951" s="9" t="str">
        <f t="shared" si="13"/>
        <v>Direct</v>
      </c>
      <c r="G2951" s="7" t="s">
        <v>11</v>
      </c>
    </row>
    <row r="2952" spans="1:7" x14ac:dyDescent="0.2">
      <c r="A2952" s="6" t="s">
        <v>18</v>
      </c>
      <c r="B2952" s="7" t="s">
        <v>13</v>
      </c>
      <c r="C2952" s="7" t="s">
        <v>3670</v>
      </c>
      <c r="D2952" s="7">
        <v>2.3070384499999999</v>
      </c>
      <c r="E2952" s="7">
        <v>1.7846662499999999</v>
      </c>
      <c r="F2952" s="9" t="str">
        <f t="shared" si="13"/>
        <v>Direct</v>
      </c>
      <c r="G2952" s="7" t="s">
        <v>11</v>
      </c>
    </row>
    <row r="2953" spans="1:7" x14ac:dyDescent="0.2">
      <c r="A2953" s="6" t="s">
        <v>18</v>
      </c>
      <c r="B2953" s="7" t="s">
        <v>13</v>
      </c>
      <c r="C2953" s="7" t="s">
        <v>3671</v>
      </c>
      <c r="D2953" s="7">
        <v>-2.0281775</v>
      </c>
      <c r="E2953" s="7">
        <v>-1.7969032</v>
      </c>
      <c r="F2953" s="9" t="str">
        <f t="shared" si="13"/>
        <v>Direct</v>
      </c>
      <c r="G2953" s="7" t="s">
        <v>3672</v>
      </c>
    </row>
    <row r="2954" spans="1:7" x14ac:dyDescent="0.2">
      <c r="A2954" s="6" t="s">
        <v>18</v>
      </c>
      <c r="B2954" s="7" t="s">
        <v>13</v>
      </c>
      <c r="C2954" s="7" t="s">
        <v>3673</v>
      </c>
      <c r="D2954" s="7">
        <v>1.0784704899999999</v>
      </c>
      <c r="E2954" s="7">
        <v>1.0393866899999999</v>
      </c>
      <c r="F2954" s="9" t="str">
        <f t="shared" si="13"/>
        <v>Direct</v>
      </c>
      <c r="G2954" s="7" t="s">
        <v>3674</v>
      </c>
    </row>
    <row r="2955" spans="1:7" x14ac:dyDescent="0.2">
      <c r="A2955" s="6" t="s">
        <v>18</v>
      </c>
      <c r="B2955" s="7" t="s">
        <v>13</v>
      </c>
      <c r="C2955" s="7" t="s">
        <v>3675</v>
      </c>
      <c r="D2955" s="7">
        <v>-2.2485588999999999</v>
      </c>
      <c r="E2955" s="7">
        <v>-2.8033728999999998</v>
      </c>
      <c r="F2955" s="9" t="str">
        <f t="shared" si="13"/>
        <v>Direct</v>
      </c>
      <c r="G2955" s="7" t="s">
        <v>11</v>
      </c>
    </row>
    <row r="2956" spans="1:7" x14ac:dyDescent="0.2">
      <c r="A2956" s="6" t="s">
        <v>18</v>
      </c>
      <c r="B2956" s="7" t="s">
        <v>13</v>
      </c>
      <c r="C2956" s="7" t="s">
        <v>3676</v>
      </c>
      <c r="D2956" s="7">
        <v>-1.1142418000000001</v>
      </c>
      <c r="E2956" s="7">
        <v>-1.0019479</v>
      </c>
      <c r="F2956" s="9" t="str">
        <f t="shared" si="13"/>
        <v>Direct</v>
      </c>
      <c r="G2956" s="7" t="s">
        <v>11</v>
      </c>
    </row>
    <row r="2957" spans="1:7" x14ac:dyDescent="0.2">
      <c r="A2957" s="6" t="s">
        <v>18</v>
      </c>
      <c r="B2957" s="7" t="s">
        <v>13</v>
      </c>
      <c r="C2957" s="7" t="s">
        <v>3677</v>
      </c>
      <c r="D2957" s="7">
        <v>-3.0432332</v>
      </c>
      <c r="E2957" s="7">
        <v>-3.9327046999999999</v>
      </c>
      <c r="F2957" s="9" t="str">
        <f t="shared" si="13"/>
        <v>Direct</v>
      </c>
      <c r="G2957" s="7" t="s">
        <v>3678</v>
      </c>
    </row>
    <row r="2958" spans="1:7" x14ac:dyDescent="0.2">
      <c r="A2958" s="6" t="s">
        <v>18</v>
      </c>
      <c r="B2958" s="7" t="s">
        <v>13</v>
      </c>
      <c r="C2958" s="7" t="s">
        <v>3679</v>
      </c>
      <c r="D2958" s="7">
        <v>2.6515016400000002</v>
      </c>
      <c r="E2958" s="7">
        <v>1.2282466999999999</v>
      </c>
      <c r="F2958" s="9" t="str">
        <f t="shared" si="13"/>
        <v>Direct</v>
      </c>
      <c r="G2958" s="7" t="s">
        <v>3678</v>
      </c>
    </row>
    <row r="2959" spans="1:7" x14ac:dyDescent="0.2">
      <c r="A2959" s="6" t="s">
        <v>18</v>
      </c>
      <c r="B2959" s="7" t="s">
        <v>13</v>
      </c>
      <c r="C2959" s="7" t="s">
        <v>3680</v>
      </c>
      <c r="D2959" s="7">
        <v>3.03606146</v>
      </c>
      <c r="E2959" s="7">
        <v>1.3936350399999999</v>
      </c>
      <c r="F2959" s="9" t="str">
        <f t="shared" si="13"/>
        <v>Direct</v>
      </c>
      <c r="G2959" s="7" t="s">
        <v>3681</v>
      </c>
    </row>
    <row r="2960" spans="1:7" x14ac:dyDescent="0.2">
      <c r="A2960" s="6" t="s">
        <v>18</v>
      </c>
      <c r="B2960" s="7" t="s">
        <v>13</v>
      </c>
      <c r="C2960" s="7" t="s">
        <v>3682</v>
      </c>
      <c r="D2960" s="7">
        <v>1.87487618</v>
      </c>
      <c r="E2960" s="7">
        <v>1.55248959</v>
      </c>
      <c r="F2960" s="9" t="str">
        <f t="shared" si="13"/>
        <v>Direct</v>
      </c>
      <c r="G2960" s="7" t="s">
        <v>11</v>
      </c>
    </row>
    <row r="2961" spans="1:7" x14ac:dyDescent="0.2">
      <c r="A2961" s="6" t="s">
        <v>18</v>
      </c>
      <c r="B2961" s="7" t="s">
        <v>13</v>
      </c>
      <c r="C2961" s="7" t="s">
        <v>2729</v>
      </c>
      <c r="D2961" s="7">
        <v>1.58940383</v>
      </c>
      <c r="E2961" s="7">
        <v>2.1263088200000002</v>
      </c>
      <c r="F2961" s="9" t="str">
        <f t="shared" si="13"/>
        <v>Direct</v>
      </c>
      <c r="G2961" s="7" t="s">
        <v>11</v>
      </c>
    </row>
    <row r="2962" spans="1:7" x14ac:dyDescent="0.2">
      <c r="A2962" s="6" t="s">
        <v>18</v>
      </c>
      <c r="B2962" s="7" t="s">
        <v>13</v>
      </c>
      <c r="C2962" s="7" t="s">
        <v>2732</v>
      </c>
      <c r="D2962" s="7">
        <v>1.6029078400000001</v>
      </c>
      <c r="E2962" s="7">
        <v>2.1768439100000001</v>
      </c>
      <c r="F2962" s="9" t="str">
        <f t="shared" si="13"/>
        <v>Direct</v>
      </c>
      <c r="G2962" s="7" t="s">
        <v>2733</v>
      </c>
    </row>
    <row r="2963" spans="1:7" x14ac:dyDescent="0.2">
      <c r="A2963" s="6" t="s">
        <v>18</v>
      </c>
      <c r="B2963" s="7" t="s">
        <v>13</v>
      </c>
      <c r="C2963" s="7" t="s">
        <v>3683</v>
      </c>
      <c r="D2963" s="7">
        <v>-1.3661243999999999</v>
      </c>
      <c r="E2963" s="7">
        <v>-1.4004428</v>
      </c>
      <c r="F2963" s="9" t="str">
        <f t="shared" si="13"/>
        <v>Direct</v>
      </c>
      <c r="G2963" s="7" t="s">
        <v>11</v>
      </c>
    </row>
    <row r="2964" spans="1:7" x14ac:dyDescent="0.2">
      <c r="A2964" s="6" t="s">
        <v>18</v>
      </c>
      <c r="B2964" s="7" t="s">
        <v>13</v>
      </c>
      <c r="C2964" s="7" t="s">
        <v>3684</v>
      </c>
      <c r="D2964" s="7">
        <v>2.5658697699999999</v>
      </c>
      <c r="E2964" s="7">
        <v>3.9235126199999999</v>
      </c>
      <c r="F2964" s="9" t="str">
        <f t="shared" si="13"/>
        <v>Direct</v>
      </c>
      <c r="G2964" s="7" t="s">
        <v>11</v>
      </c>
    </row>
    <row r="2965" spans="1:7" x14ac:dyDescent="0.2">
      <c r="A2965" s="6" t="s">
        <v>18</v>
      </c>
      <c r="B2965" s="7" t="s">
        <v>13</v>
      </c>
      <c r="C2965" s="7" t="s">
        <v>2748</v>
      </c>
      <c r="D2965" s="7">
        <v>-1.9325848999999999</v>
      </c>
      <c r="E2965" s="7">
        <v>-2.7017340000000001</v>
      </c>
      <c r="F2965" s="9" t="str">
        <f t="shared" si="13"/>
        <v>Direct</v>
      </c>
      <c r="G2965" s="7" t="s">
        <v>2749</v>
      </c>
    </row>
    <row r="2966" spans="1:7" x14ac:dyDescent="0.2">
      <c r="A2966" s="6" t="s">
        <v>18</v>
      </c>
      <c r="B2966" s="7" t="s">
        <v>13</v>
      </c>
      <c r="C2966" s="7" t="s">
        <v>3685</v>
      </c>
      <c r="D2966" s="7">
        <v>1.0509774000000001</v>
      </c>
      <c r="E2966" s="7">
        <v>2.11820765</v>
      </c>
      <c r="F2966" s="9" t="str">
        <f t="shared" si="13"/>
        <v>Direct</v>
      </c>
      <c r="G2966" s="7" t="s">
        <v>11</v>
      </c>
    </row>
    <row r="2967" spans="1:7" x14ac:dyDescent="0.2">
      <c r="A2967" s="6" t="s">
        <v>18</v>
      </c>
      <c r="B2967" s="7" t="s">
        <v>13</v>
      </c>
      <c r="C2967" s="7" t="s">
        <v>3686</v>
      </c>
      <c r="D2967" s="7">
        <v>-6.0868289999999998</v>
      </c>
      <c r="E2967" s="7">
        <v>-5.1080864000000004</v>
      </c>
      <c r="F2967" s="9" t="str">
        <f t="shared" si="13"/>
        <v>Direct</v>
      </c>
      <c r="G2967" s="7" t="s">
        <v>11</v>
      </c>
    </row>
    <row r="2968" spans="1:7" x14ac:dyDescent="0.2">
      <c r="A2968" s="6" t="s">
        <v>18</v>
      </c>
      <c r="B2968" s="7" t="s">
        <v>13</v>
      </c>
      <c r="C2968" s="7" t="s">
        <v>3687</v>
      </c>
      <c r="D2968" s="7">
        <v>1.2927687800000001</v>
      </c>
      <c r="E2968" s="7">
        <v>1.3201590000000001</v>
      </c>
      <c r="F2968" s="9" t="str">
        <f t="shared" si="13"/>
        <v>Direct</v>
      </c>
      <c r="G2968" s="7" t="s">
        <v>11</v>
      </c>
    </row>
    <row r="2969" spans="1:7" x14ac:dyDescent="0.2">
      <c r="A2969" s="6" t="s">
        <v>18</v>
      </c>
      <c r="B2969" s="7" t="s">
        <v>13</v>
      </c>
      <c r="C2969" s="7" t="s">
        <v>3688</v>
      </c>
      <c r="D2969" s="7">
        <v>-1.0803221000000001</v>
      </c>
      <c r="E2969" s="7">
        <v>-1.0929342</v>
      </c>
      <c r="F2969" s="9" t="str">
        <f t="shared" si="13"/>
        <v>Direct</v>
      </c>
      <c r="G2969" s="7" t="s">
        <v>3689</v>
      </c>
    </row>
    <row r="2970" spans="1:7" x14ac:dyDescent="0.2">
      <c r="A2970" s="6" t="s">
        <v>18</v>
      </c>
      <c r="B2970" s="7" t="s">
        <v>13</v>
      </c>
      <c r="C2970" s="7" t="s">
        <v>3690</v>
      </c>
      <c r="D2970" s="7">
        <v>1.9228649099999999</v>
      </c>
      <c r="E2970" s="7">
        <v>2.8879739099999999</v>
      </c>
      <c r="F2970" s="9" t="str">
        <f t="shared" si="13"/>
        <v>Direct</v>
      </c>
      <c r="G2970" s="7" t="s">
        <v>11</v>
      </c>
    </row>
    <row r="2971" spans="1:7" x14ac:dyDescent="0.2">
      <c r="A2971" s="6" t="s">
        <v>18</v>
      </c>
      <c r="B2971" s="7" t="s">
        <v>13</v>
      </c>
      <c r="C2971" s="7" t="s">
        <v>3691</v>
      </c>
      <c r="D2971" s="7">
        <v>-2.6436709</v>
      </c>
      <c r="E2971" s="7">
        <v>-1.53959</v>
      </c>
      <c r="F2971" s="9" t="str">
        <f t="shared" si="13"/>
        <v>Direct</v>
      </c>
      <c r="G2971" s="7" t="s">
        <v>3692</v>
      </c>
    </row>
    <row r="2972" spans="1:7" x14ac:dyDescent="0.2">
      <c r="A2972" s="6" t="s">
        <v>18</v>
      </c>
      <c r="B2972" s="7" t="s">
        <v>13</v>
      </c>
      <c r="C2972" s="7" t="s">
        <v>3693</v>
      </c>
      <c r="D2972" s="7">
        <v>-7.5470195999999996</v>
      </c>
      <c r="E2972" s="7">
        <v>-5.4015711</v>
      </c>
      <c r="F2972" s="9" t="str">
        <f t="shared" si="13"/>
        <v>Direct</v>
      </c>
      <c r="G2972" s="7" t="s">
        <v>2612</v>
      </c>
    </row>
    <row r="2973" spans="1:7" x14ac:dyDescent="0.2">
      <c r="A2973" s="6" t="s">
        <v>18</v>
      </c>
      <c r="B2973" s="7" t="s">
        <v>13</v>
      </c>
      <c r="C2973" s="7" t="s">
        <v>3694</v>
      </c>
      <c r="D2973" s="7">
        <v>1.6625063200000001</v>
      </c>
      <c r="E2973" s="7">
        <v>2.1350278600000001</v>
      </c>
      <c r="F2973" s="9" t="str">
        <f t="shared" si="13"/>
        <v>Direct</v>
      </c>
      <c r="G2973" s="7" t="s">
        <v>11</v>
      </c>
    </row>
    <row r="2974" spans="1:7" x14ac:dyDescent="0.2">
      <c r="A2974" s="6" t="s">
        <v>18</v>
      </c>
      <c r="B2974" s="7" t="s">
        <v>13</v>
      </c>
      <c r="C2974" s="7" t="s">
        <v>2770</v>
      </c>
      <c r="D2974" s="7">
        <v>4.8887710100000001</v>
      </c>
      <c r="E2974" s="7">
        <v>4.5629531600000002</v>
      </c>
      <c r="F2974" s="9" t="str">
        <f t="shared" si="13"/>
        <v>Direct</v>
      </c>
      <c r="G2974" s="7" t="s">
        <v>11</v>
      </c>
    </row>
    <row r="2975" spans="1:7" x14ac:dyDescent="0.2">
      <c r="A2975" s="6" t="s">
        <v>18</v>
      </c>
      <c r="B2975" s="7" t="s">
        <v>13</v>
      </c>
      <c r="C2975" s="7" t="s">
        <v>2776</v>
      </c>
      <c r="D2975" s="7">
        <v>1.09073848</v>
      </c>
      <c r="E2975" s="7">
        <v>3.0818876400000002</v>
      </c>
      <c r="F2975" s="9" t="str">
        <f t="shared" si="13"/>
        <v>Direct</v>
      </c>
      <c r="G2975" s="7" t="s">
        <v>11</v>
      </c>
    </row>
    <row r="2976" spans="1:7" x14ac:dyDescent="0.2">
      <c r="A2976" s="6" t="s">
        <v>18</v>
      </c>
      <c r="B2976" s="7" t="s">
        <v>13</v>
      </c>
      <c r="C2976" s="7" t="s">
        <v>3695</v>
      </c>
      <c r="D2976" s="7">
        <v>2.07962808</v>
      </c>
      <c r="E2976" s="7">
        <v>6.8548592399999997</v>
      </c>
      <c r="F2976" s="9" t="str">
        <f t="shared" si="13"/>
        <v>Direct</v>
      </c>
      <c r="G2976" s="7" t="s">
        <v>11</v>
      </c>
    </row>
    <row r="2977" spans="1:7" x14ac:dyDescent="0.2">
      <c r="A2977" s="6" t="s">
        <v>18</v>
      </c>
      <c r="B2977" s="7" t="s">
        <v>13</v>
      </c>
      <c r="C2977" s="7" t="s">
        <v>3696</v>
      </c>
      <c r="D2977" s="7">
        <v>-1.4602328</v>
      </c>
      <c r="E2977" s="7">
        <v>-1.4999762000000001</v>
      </c>
      <c r="F2977" s="9" t="str">
        <f t="shared" si="13"/>
        <v>Direct</v>
      </c>
      <c r="G2977" s="7" t="s">
        <v>3697</v>
      </c>
    </row>
    <row r="2978" spans="1:7" x14ac:dyDescent="0.2">
      <c r="A2978" s="6" t="s">
        <v>18</v>
      </c>
      <c r="B2978" s="7" t="s">
        <v>13</v>
      </c>
      <c r="C2978" s="7" t="s">
        <v>3698</v>
      </c>
      <c r="D2978" s="7">
        <v>-1.0555604000000001</v>
      </c>
      <c r="E2978" s="7">
        <v>-4.5629531999999999</v>
      </c>
      <c r="F2978" s="9" t="str">
        <f t="shared" si="13"/>
        <v>Direct</v>
      </c>
      <c r="G2978" s="7" t="s">
        <v>11</v>
      </c>
    </row>
    <row r="2979" spans="1:7" x14ac:dyDescent="0.2">
      <c r="A2979" s="6" t="s">
        <v>18</v>
      </c>
      <c r="B2979" s="7" t="s">
        <v>13</v>
      </c>
      <c r="C2979" s="7" t="s">
        <v>3699</v>
      </c>
      <c r="D2979" s="7">
        <v>-1.1917693</v>
      </c>
      <c r="E2979" s="7">
        <v>-1.7152917999999999</v>
      </c>
      <c r="F2979" s="9" t="str">
        <f t="shared" si="13"/>
        <v>Direct</v>
      </c>
      <c r="G2979" s="7" t="s">
        <v>3700</v>
      </c>
    </row>
    <row r="2980" spans="1:7" x14ac:dyDescent="0.2">
      <c r="A2980" s="6" t="s">
        <v>18</v>
      </c>
      <c r="B2980" s="7" t="s">
        <v>13</v>
      </c>
      <c r="C2980" s="7" t="s">
        <v>3701</v>
      </c>
      <c r="D2980" s="7">
        <v>1.50078051</v>
      </c>
      <c r="E2980" s="7">
        <v>1.7803366899999999</v>
      </c>
      <c r="F2980" s="9" t="str">
        <f t="shared" si="13"/>
        <v>Direct</v>
      </c>
      <c r="G2980" s="7" t="s">
        <v>3702</v>
      </c>
    </row>
    <row r="2981" spans="1:7" x14ac:dyDescent="0.2">
      <c r="A2981" s="6" t="s">
        <v>18</v>
      </c>
      <c r="B2981" s="7" t="s">
        <v>13</v>
      </c>
      <c r="C2981" s="7" t="s">
        <v>3703</v>
      </c>
      <c r="D2981" s="7">
        <v>1.38081356</v>
      </c>
      <c r="E2981" s="7">
        <v>1.01973259</v>
      </c>
      <c r="F2981" s="9" t="str">
        <f t="shared" si="13"/>
        <v>Direct</v>
      </c>
      <c r="G2981" s="7" t="s">
        <v>3704</v>
      </c>
    </row>
    <row r="2982" spans="1:7" x14ac:dyDescent="0.2">
      <c r="A2982" s="6" t="s">
        <v>18</v>
      </c>
      <c r="B2982" s="7" t="s">
        <v>13</v>
      </c>
      <c r="C2982" s="7" t="s">
        <v>2787</v>
      </c>
      <c r="D2982" s="7">
        <v>4.1013601399999997</v>
      </c>
      <c r="E2982" s="7">
        <v>5.3891007399999999</v>
      </c>
      <c r="F2982" s="9" t="str">
        <f t="shared" si="13"/>
        <v>Direct</v>
      </c>
      <c r="G2982" s="7" t="s">
        <v>2788</v>
      </c>
    </row>
    <row r="2983" spans="1:7" x14ac:dyDescent="0.2">
      <c r="A2983" s="6" t="s">
        <v>18</v>
      </c>
      <c r="B2983" s="7" t="s">
        <v>13</v>
      </c>
      <c r="C2983" s="7" t="s">
        <v>3705</v>
      </c>
      <c r="D2983" s="7">
        <v>3.8287984399999999</v>
      </c>
      <c r="E2983" s="7">
        <v>1.9727104099999999</v>
      </c>
      <c r="F2983" s="9" t="str">
        <f t="shared" si="13"/>
        <v>Direct</v>
      </c>
      <c r="G2983" s="7" t="s">
        <v>11</v>
      </c>
    </row>
    <row r="2984" spans="1:7" x14ac:dyDescent="0.2">
      <c r="A2984" s="6" t="s">
        <v>18</v>
      </c>
      <c r="B2984" s="7" t="s">
        <v>13</v>
      </c>
      <c r="C2984" s="7" t="s">
        <v>3706</v>
      </c>
      <c r="D2984" s="7">
        <v>-1.7254119000000001</v>
      </c>
      <c r="E2984" s="7">
        <v>-1.1343673999999999</v>
      </c>
      <c r="F2984" s="9" t="str">
        <f t="shared" si="13"/>
        <v>Direct</v>
      </c>
      <c r="G2984" s="7" t="s">
        <v>11</v>
      </c>
    </row>
    <row r="2985" spans="1:7" x14ac:dyDescent="0.2">
      <c r="A2985" s="6" t="s">
        <v>18</v>
      </c>
      <c r="B2985" s="7" t="s">
        <v>13</v>
      </c>
      <c r="C2985" s="7" t="s">
        <v>3707</v>
      </c>
      <c r="D2985" s="7">
        <v>-1.0820633</v>
      </c>
      <c r="E2985" s="7">
        <v>-1.8817155999999999</v>
      </c>
      <c r="F2985" s="9" t="str">
        <f t="shared" si="13"/>
        <v>Direct</v>
      </c>
      <c r="G2985" s="7" t="s">
        <v>3708</v>
      </c>
    </row>
    <row r="2986" spans="1:7" x14ac:dyDescent="0.2">
      <c r="A2986" s="6" t="s">
        <v>18</v>
      </c>
      <c r="B2986" s="7" t="s">
        <v>13</v>
      </c>
      <c r="C2986" s="7" t="s">
        <v>3709</v>
      </c>
      <c r="D2986" s="7">
        <v>1.7523587199999999</v>
      </c>
      <c r="E2986" s="7">
        <v>2.0803257300000002</v>
      </c>
      <c r="F2986" s="9" t="str">
        <f t="shared" si="13"/>
        <v>Direct</v>
      </c>
      <c r="G2986" s="7" t="s">
        <v>11</v>
      </c>
    </row>
    <row r="2987" spans="1:7" x14ac:dyDescent="0.2">
      <c r="A2987" s="6" t="s">
        <v>18</v>
      </c>
      <c r="B2987" s="7" t="s">
        <v>13</v>
      </c>
      <c r="C2987" s="7" t="s">
        <v>3710</v>
      </c>
      <c r="D2987" s="7">
        <v>-1.026489</v>
      </c>
      <c r="E2987" s="7">
        <v>-1.4715876999999999</v>
      </c>
      <c r="F2987" s="9" t="str">
        <f t="shared" si="13"/>
        <v>Direct</v>
      </c>
      <c r="G2987" s="7" t="s">
        <v>11</v>
      </c>
    </row>
    <row r="2988" spans="1:7" x14ac:dyDescent="0.2">
      <c r="A2988" s="6" t="s">
        <v>18</v>
      </c>
      <c r="B2988" s="7" t="s">
        <v>13</v>
      </c>
      <c r="C2988" s="7" t="s">
        <v>3711</v>
      </c>
      <c r="D2988" s="7">
        <v>-2.6766740000000002</v>
      </c>
      <c r="E2988" s="7">
        <v>-3.0616409999999998</v>
      </c>
      <c r="F2988" s="9" t="str">
        <f t="shared" si="13"/>
        <v>Direct</v>
      </c>
      <c r="G2988" s="7" t="s">
        <v>3712</v>
      </c>
    </row>
    <row r="2989" spans="1:7" x14ac:dyDescent="0.2">
      <c r="A2989" s="6" t="s">
        <v>18</v>
      </c>
      <c r="B2989" s="7" t="s">
        <v>13</v>
      </c>
      <c r="C2989" s="7" t="s">
        <v>3713</v>
      </c>
      <c r="D2989" s="7">
        <v>1.60578033</v>
      </c>
      <c r="E2989" s="7">
        <v>2.24463744</v>
      </c>
      <c r="F2989" s="9" t="str">
        <f t="shared" si="13"/>
        <v>Direct</v>
      </c>
      <c r="G2989" s="7" t="s">
        <v>3714</v>
      </c>
    </row>
    <row r="2990" spans="1:7" x14ac:dyDescent="0.2">
      <c r="A2990" s="6" t="s">
        <v>18</v>
      </c>
      <c r="B2990" s="7" t="s">
        <v>13</v>
      </c>
      <c r="C2990" s="7" t="s">
        <v>2798</v>
      </c>
      <c r="D2990" s="7">
        <v>-1.3221274999999999</v>
      </c>
      <c r="E2990" s="7">
        <v>-1.4600712</v>
      </c>
      <c r="F2990" s="9" t="str">
        <f t="shared" si="13"/>
        <v>Direct</v>
      </c>
      <c r="G2990" s="7" t="s">
        <v>11</v>
      </c>
    </row>
    <row r="2991" spans="1:7" x14ac:dyDescent="0.2">
      <c r="A2991" s="6" t="s">
        <v>18</v>
      </c>
      <c r="B2991" s="7" t="s">
        <v>13</v>
      </c>
      <c r="C2991" s="7" t="s">
        <v>3715</v>
      </c>
      <c r="D2991" s="7">
        <v>1.40234345</v>
      </c>
      <c r="E2991" s="7">
        <v>-1.2282466999999999</v>
      </c>
      <c r="F2991" s="9" t="str">
        <f t="shared" si="13"/>
        <v>Inverse</v>
      </c>
      <c r="G2991" s="7" t="s">
        <v>11</v>
      </c>
    </row>
    <row r="2992" spans="1:7" x14ac:dyDescent="0.2">
      <c r="A2992" s="6" t="s">
        <v>18</v>
      </c>
      <c r="B2992" s="7" t="s">
        <v>13</v>
      </c>
      <c r="C2992" s="7" t="s">
        <v>2808</v>
      </c>
      <c r="D2992" s="7">
        <v>1.8423563199999999</v>
      </c>
      <c r="E2992" s="7">
        <v>3.2314235899999999</v>
      </c>
      <c r="F2992" s="9" t="str">
        <f t="shared" si="13"/>
        <v>Direct</v>
      </c>
      <c r="G2992" s="7" t="s">
        <v>2809</v>
      </c>
    </row>
    <row r="2993" spans="1:7" x14ac:dyDescent="0.2">
      <c r="A2993" s="6" t="s">
        <v>18</v>
      </c>
      <c r="B2993" s="7" t="s">
        <v>13</v>
      </c>
      <c r="C2993" s="7" t="s">
        <v>3716</v>
      </c>
      <c r="D2993" s="7">
        <v>-1.8748762000000001</v>
      </c>
      <c r="E2993" s="7">
        <v>-1.8589420999999999</v>
      </c>
      <c r="F2993" s="9" t="str">
        <f t="shared" si="13"/>
        <v>Direct</v>
      </c>
      <c r="G2993" s="7" t="s">
        <v>3717</v>
      </c>
    </row>
    <row r="2994" spans="1:7" x14ac:dyDescent="0.2">
      <c r="A2994" s="6" t="s">
        <v>18</v>
      </c>
      <c r="B2994" s="7" t="s">
        <v>13</v>
      </c>
      <c r="C2994" s="7" t="s">
        <v>3718</v>
      </c>
      <c r="D2994" s="7">
        <v>-2.6436709</v>
      </c>
      <c r="E2994" s="7">
        <v>-2.3416465</v>
      </c>
      <c r="F2994" s="9" t="str">
        <f t="shared" si="13"/>
        <v>Direct</v>
      </c>
      <c r="G2994" s="7" t="s">
        <v>11</v>
      </c>
    </row>
    <row r="2995" spans="1:7" x14ac:dyDescent="0.2">
      <c r="A2995" s="6" t="s">
        <v>18</v>
      </c>
      <c r="B2995" s="7" t="s">
        <v>13</v>
      </c>
      <c r="C2995" s="7" t="s">
        <v>2822</v>
      </c>
      <c r="D2995" s="7">
        <v>1.13963748</v>
      </c>
      <c r="E2995" s="7">
        <v>1.5604819700000001</v>
      </c>
      <c r="F2995" s="9" t="str">
        <f t="shared" si="13"/>
        <v>Direct</v>
      </c>
      <c r="G2995" s="7" t="s">
        <v>11</v>
      </c>
    </row>
    <row r="2996" spans="1:7" x14ac:dyDescent="0.2">
      <c r="A2996" s="6" t="s">
        <v>18</v>
      </c>
      <c r="B2996" s="7" t="s">
        <v>13</v>
      </c>
      <c r="C2996" s="7" t="s">
        <v>3719</v>
      </c>
      <c r="D2996" s="7">
        <v>-2.2422841999999998</v>
      </c>
      <c r="E2996" s="7">
        <v>-1.5209424</v>
      </c>
      <c r="F2996" s="9" t="str">
        <f t="shared" si="13"/>
        <v>Direct</v>
      </c>
      <c r="G2996" s="7" t="s">
        <v>1990</v>
      </c>
    </row>
    <row r="2997" spans="1:7" x14ac:dyDescent="0.2">
      <c r="A2997" s="6" t="s">
        <v>18</v>
      </c>
      <c r="B2997" s="7" t="s">
        <v>13</v>
      </c>
      <c r="C2997" s="7" t="s">
        <v>3720</v>
      </c>
      <c r="D2997" s="7">
        <v>1.90010656</v>
      </c>
      <c r="E2997" s="7">
        <v>1.7068428</v>
      </c>
      <c r="F2997" s="9" t="str">
        <f t="shared" si="13"/>
        <v>Direct</v>
      </c>
      <c r="G2997" s="7" t="s">
        <v>1299</v>
      </c>
    </row>
    <row r="2998" spans="1:7" x14ac:dyDescent="0.2">
      <c r="A2998" s="6" t="s">
        <v>18</v>
      </c>
      <c r="B2998" s="7" t="s">
        <v>13</v>
      </c>
      <c r="C2998" s="7" t="s">
        <v>2828</v>
      </c>
      <c r="D2998" s="7">
        <v>-1.0130682</v>
      </c>
      <c r="E2998" s="7">
        <v>-1.7592399999999999</v>
      </c>
      <c r="F2998" s="9" t="str">
        <f t="shared" si="13"/>
        <v>Direct</v>
      </c>
      <c r="G2998" s="7" t="s">
        <v>1794</v>
      </c>
    </row>
    <row r="2999" spans="1:7" x14ac:dyDescent="0.2">
      <c r="A2999" s="6" t="s">
        <v>18</v>
      </c>
      <c r="B2999" s="7" t="s">
        <v>13</v>
      </c>
      <c r="C2999" s="7" t="s">
        <v>2832</v>
      </c>
      <c r="D2999" s="7">
        <v>-2.3070385</v>
      </c>
      <c r="E2999" s="7">
        <v>-2.1267987000000002</v>
      </c>
      <c r="F2999" s="9" t="str">
        <f t="shared" si="13"/>
        <v>Direct</v>
      </c>
      <c r="G2999" s="7" t="s">
        <v>2833</v>
      </c>
    </row>
    <row r="3000" spans="1:7" x14ac:dyDescent="0.2">
      <c r="A3000" s="6" t="s">
        <v>18</v>
      </c>
      <c r="B3000" s="7" t="s">
        <v>13</v>
      </c>
      <c r="C3000" s="7" t="s">
        <v>3721</v>
      </c>
      <c r="D3000" s="7">
        <v>1.8435925</v>
      </c>
      <c r="E3000" s="7">
        <v>2.11820765</v>
      </c>
      <c r="F3000" s="9" t="str">
        <f t="shared" si="13"/>
        <v>Direct</v>
      </c>
      <c r="G3000" s="7" t="s">
        <v>3722</v>
      </c>
    </row>
    <row r="3001" spans="1:7" x14ac:dyDescent="0.2">
      <c r="A3001" s="6" t="s">
        <v>18</v>
      </c>
      <c r="B3001" s="7" t="s">
        <v>13</v>
      </c>
      <c r="C3001" s="7" t="s">
        <v>3723</v>
      </c>
      <c r="D3001" s="7">
        <v>-1.4928060999999999</v>
      </c>
      <c r="E3001" s="7">
        <v>-3.3823460999999999</v>
      </c>
      <c r="F3001" s="9" t="str">
        <f t="shared" si="13"/>
        <v>Direct</v>
      </c>
      <c r="G3001" s="7" t="s">
        <v>11</v>
      </c>
    </row>
    <row r="3002" spans="1:7" x14ac:dyDescent="0.2">
      <c r="A3002" s="6" t="s">
        <v>18</v>
      </c>
      <c r="B3002" s="7" t="s">
        <v>13</v>
      </c>
      <c r="C3002" s="7" t="s">
        <v>3724</v>
      </c>
      <c r="D3002" s="7">
        <v>1.5500712400000001</v>
      </c>
      <c r="E3002" s="7">
        <v>1.7477529199999999</v>
      </c>
      <c r="F3002" s="9" t="str">
        <f t="shared" si="13"/>
        <v>Direct</v>
      </c>
      <c r="G3002" s="7" t="s">
        <v>11</v>
      </c>
    </row>
    <row r="3003" spans="1:7" x14ac:dyDescent="0.2">
      <c r="A3003" s="6" t="s">
        <v>18</v>
      </c>
      <c r="B3003" s="7" t="s">
        <v>13</v>
      </c>
      <c r="C3003" s="7" t="s">
        <v>3725</v>
      </c>
      <c r="D3003" s="7">
        <v>1.0705809900000001</v>
      </c>
      <c r="E3003" s="7">
        <v>2.4724918100000002</v>
      </c>
      <c r="F3003" s="9" t="str">
        <f t="shared" si="13"/>
        <v>Direct</v>
      </c>
      <c r="G3003" s="7" t="s">
        <v>11</v>
      </c>
    </row>
    <row r="3004" spans="1:7" x14ac:dyDescent="0.2">
      <c r="A3004" s="6" t="s">
        <v>18</v>
      </c>
      <c r="B3004" s="7" t="s">
        <v>13</v>
      </c>
      <c r="C3004" s="7" t="s">
        <v>3726</v>
      </c>
      <c r="D3004" s="7">
        <v>-4.3485870000000002</v>
      </c>
      <c r="E3004" s="7">
        <v>-1.7649870000000001</v>
      </c>
      <c r="F3004" s="9" t="str">
        <f t="shared" si="13"/>
        <v>Direct</v>
      </c>
      <c r="G3004" s="7" t="s">
        <v>3280</v>
      </c>
    </row>
    <row r="3005" spans="1:7" x14ac:dyDescent="0.2">
      <c r="A3005" s="6" t="s">
        <v>18</v>
      </c>
      <c r="B3005" s="7" t="s">
        <v>13</v>
      </c>
      <c r="C3005" s="7" t="s">
        <v>2848</v>
      </c>
      <c r="D3005" s="7">
        <v>1.20834928</v>
      </c>
      <c r="E3005" s="7">
        <v>1.76498701</v>
      </c>
      <c r="F3005" s="9" t="str">
        <f t="shared" si="13"/>
        <v>Direct</v>
      </c>
      <c r="G3005" s="7" t="s">
        <v>2849</v>
      </c>
    </row>
    <row r="3006" spans="1:7" x14ac:dyDescent="0.2">
      <c r="A3006" s="6" t="s">
        <v>18</v>
      </c>
      <c r="B3006" s="7" t="s">
        <v>13</v>
      </c>
      <c r="C3006" s="7" t="s">
        <v>3727</v>
      </c>
      <c r="D3006" s="7">
        <v>-1.6030863</v>
      </c>
      <c r="E3006" s="7">
        <v>-2.1939516000000001</v>
      </c>
      <c r="F3006" s="9" t="str">
        <f t="shared" si="13"/>
        <v>Direct</v>
      </c>
      <c r="G3006" s="7" t="s">
        <v>1592</v>
      </c>
    </row>
    <row r="3007" spans="1:7" x14ac:dyDescent="0.2">
      <c r="A3007" s="6" t="s">
        <v>18</v>
      </c>
      <c r="B3007" s="7" t="s">
        <v>13</v>
      </c>
      <c r="C3007" s="7" t="s">
        <v>3728</v>
      </c>
      <c r="D3007" s="7">
        <v>4.0348971599999999</v>
      </c>
      <c r="E3007" s="7">
        <v>1.42480125</v>
      </c>
      <c r="F3007" s="9" t="str">
        <f t="shared" si="13"/>
        <v>Direct</v>
      </c>
      <c r="G3007" s="7" t="s">
        <v>3729</v>
      </c>
    </row>
    <row r="3008" spans="1:7" x14ac:dyDescent="0.2">
      <c r="A3008" s="6" t="s">
        <v>18</v>
      </c>
      <c r="B3008" s="7" t="s">
        <v>13</v>
      </c>
      <c r="C3008" s="7" t="s">
        <v>3730</v>
      </c>
      <c r="D3008" s="7">
        <v>-4.5120494999999998</v>
      </c>
      <c r="E3008" s="7">
        <v>-2.5806784</v>
      </c>
      <c r="F3008" s="9" t="str">
        <f t="shared" si="13"/>
        <v>Direct</v>
      </c>
      <c r="G3008" s="7" t="s">
        <v>11</v>
      </c>
    </row>
    <row r="3009" spans="1:7" x14ac:dyDescent="0.2">
      <c r="A3009" s="6" t="s">
        <v>18</v>
      </c>
      <c r="B3009" s="7" t="s">
        <v>13</v>
      </c>
      <c r="C3009" s="7" t="s">
        <v>3731</v>
      </c>
      <c r="D3009" s="7">
        <v>-6.1129443999999999</v>
      </c>
      <c r="E3009" s="7">
        <v>-4.1085269000000002</v>
      </c>
      <c r="F3009" s="9" t="str">
        <f t="shared" si="13"/>
        <v>Direct</v>
      </c>
      <c r="G3009" s="7" t="s">
        <v>11</v>
      </c>
    </row>
    <row r="3010" spans="1:7" x14ac:dyDescent="0.2">
      <c r="A3010" s="6" t="s">
        <v>18</v>
      </c>
      <c r="B3010" s="7" t="s">
        <v>13</v>
      </c>
      <c r="C3010" s="7" t="s">
        <v>3732</v>
      </c>
      <c r="D3010" s="7">
        <v>-4.1013601</v>
      </c>
      <c r="E3010" s="7">
        <v>-2.6539571</v>
      </c>
      <c r="F3010" s="9" t="str">
        <f t="shared" si="13"/>
        <v>Direct</v>
      </c>
      <c r="G3010" s="7" t="s">
        <v>11</v>
      </c>
    </row>
    <row r="3011" spans="1:7" x14ac:dyDescent="0.2">
      <c r="A3011" s="6" t="s">
        <v>18</v>
      </c>
      <c r="B3011" s="7" t="s">
        <v>13</v>
      </c>
      <c r="C3011" s="7" t="s">
        <v>3733</v>
      </c>
      <c r="D3011" s="7">
        <v>1.0833611400000001</v>
      </c>
      <c r="E3011" s="7">
        <v>2.9251877899999998</v>
      </c>
      <c r="F3011" s="9" t="str">
        <f t="shared" si="13"/>
        <v>Direct</v>
      </c>
      <c r="G3011" s="7" t="s">
        <v>11</v>
      </c>
    </row>
    <row r="3012" spans="1:7" x14ac:dyDescent="0.2">
      <c r="A3012" s="6" t="s">
        <v>18</v>
      </c>
      <c r="B3012" s="7" t="s">
        <v>13</v>
      </c>
      <c r="C3012" s="7" t="s">
        <v>3734</v>
      </c>
      <c r="D3012" s="7">
        <v>-2.0035145999999999</v>
      </c>
      <c r="E3012" s="7">
        <v>-1.5569591</v>
      </c>
      <c r="F3012" s="9" t="str">
        <f t="shared" si="13"/>
        <v>Direct</v>
      </c>
      <c r="G3012" s="7" t="s">
        <v>2177</v>
      </c>
    </row>
    <row r="3013" spans="1:7" x14ac:dyDescent="0.2">
      <c r="A3013" s="6" t="s">
        <v>18</v>
      </c>
      <c r="B3013" s="7" t="s">
        <v>13</v>
      </c>
      <c r="C3013" s="7" t="s">
        <v>3735</v>
      </c>
      <c r="D3013" s="7">
        <v>-2.0860623</v>
      </c>
      <c r="E3013" s="7">
        <v>-2.3407512000000001</v>
      </c>
      <c r="F3013" s="9" t="str">
        <f t="shared" si="13"/>
        <v>Direct</v>
      </c>
      <c r="G3013" s="7" t="s">
        <v>3736</v>
      </c>
    </row>
    <row r="3014" spans="1:7" x14ac:dyDescent="0.2">
      <c r="A3014" s="6" t="s">
        <v>18</v>
      </c>
      <c r="B3014" s="7" t="s">
        <v>13</v>
      </c>
      <c r="C3014" s="7" t="s">
        <v>3737</v>
      </c>
      <c r="D3014" s="7">
        <v>-2.5428218</v>
      </c>
      <c r="E3014" s="7">
        <v>-1.7189783000000001</v>
      </c>
      <c r="F3014" s="9" t="str">
        <f t="shared" si="13"/>
        <v>Direct</v>
      </c>
      <c r="G3014" s="7" t="s">
        <v>11</v>
      </c>
    </row>
    <row r="3015" spans="1:7" x14ac:dyDescent="0.2">
      <c r="A3015" s="6" t="s">
        <v>18</v>
      </c>
      <c r="B3015" s="7" t="s">
        <v>13</v>
      </c>
      <c r="C3015" s="7" t="s">
        <v>3738</v>
      </c>
      <c r="D3015" s="7">
        <v>1.4910565499999999</v>
      </c>
      <c r="E3015" s="7">
        <v>1.81847994</v>
      </c>
      <c r="F3015" s="9" t="str">
        <f t="shared" si="13"/>
        <v>Direct</v>
      </c>
      <c r="G3015" s="7" t="s">
        <v>11</v>
      </c>
    </row>
    <row r="3016" spans="1:7" x14ac:dyDescent="0.2">
      <c r="A3016" s="6" t="s">
        <v>18</v>
      </c>
      <c r="B3016" s="7" t="s">
        <v>13</v>
      </c>
      <c r="C3016" s="7" t="s">
        <v>3739</v>
      </c>
      <c r="D3016" s="7">
        <v>-1.0642792000000001</v>
      </c>
      <c r="E3016" s="7">
        <v>-1.5421573</v>
      </c>
      <c r="F3016" s="9" t="str">
        <f t="shared" si="13"/>
        <v>Direct</v>
      </c>
      <c r="G3016" s="7" t="s">
        <v>3740</v>
      </c>
    </row>
    <row r="3017" spans="1:7" x14ac:dyDescent="0.2">
      <c r="A3017" s="6" t="s">
        <v>18</v>
      </c>
      <c r="B3017" s="7" t="s">
        <v>13</v>
      </c>
      <c r="C3017" s="7" t="s">
        <v>3741</v>
      </c>
      <c r="D3017" s="7">
        <v>-1.5036761000000001</v>
      </c>
      <c r="E3017" s="7">
        <v>-1.4569749999999999</v>
      </c>
      <c r="F3017" s="9" t="str">
        <f t="shared" si="13"/>
        <v>Direct</v>
      </c>
      <c r="G3017" s="7" t="s">
        <v>11</v>
      </c>
    </row>
    <row r="3018" spans="1:7" x14ac:dyDescent="0.2">
      <c r="A3018" s="6" t="s">
        <v>18</v>
      </c>
      <c r="B3018" s="7" t="s">
        <v>13</v>
      </c>
      <c r="C3018" s="7" t="s">
        <v>3742</v>
      </c>
      <c r="D3018" s="7">
        <v>2.8217405200000001</v>
      </c>
      <c r="E3018" s="7">
        <v>2.7018484200000001</v>
      </c>
      <c r="F3018" s="9" t="str">
        <f t="shared" si="13"/>
        <v>Direct</v>
      </c>
      <c r="G3018" s="7" t="s">
        <v>3743</v>
      </c>
    </row>
    <row r="3019" spans="1:7" x14ac:dyDescent="0.2">
      <c r="A3019" s="6" t="s">
        <v>18</v>
      </c>
      <c r="B3019" s="7" t="s">
        <v>13</v>
      </c>
      <c r="C3019" s="7" t="s">
        <v>3744</v>
      </c>
      <c r="D3019" s="7">
        <v>1.8893196400000001</v>
      </c>
      <c r="E3019" s="7">
        <v>1.85505012</v>
      </c>
      <c r="F3019" s="9" t="str">
        <f t="shared" si="13"/>
        <v>Direct</v>
      </c>
      <c r="G3019" s="7" t="s">
        <v>1264</v>
      </c>
    </row>
    <row r="3020" spans="1:7" x14ac:dyDescent="0.2">
      <c r="A3020" s="6" t="s">
        <v>18</v>
      </c>
      <c r="B3020" s="7" t="s">
        <v>13</v>
      </c>
      <c r="C3020" s="7" t="s">
        <v>3745</v>
      </c>
      <c r="D3020" s="7">
        <v>1.2897510400000001</v>
      </c>
      <c r="E3020" s="7">
        <v>2.0589819899999999</v>
      </c>
      <c r="F3020" s="9" t="str">
        <f t="shared" si="13"/>
        <v>Direct</v>
      </c>
      <c r="G3020" s="7" t="s">
        <v>3746</v>
      </c>
    </row>
    <row r="3021" spans="1:7" x14ac:dyDescent="0.2">
      <c r="A3021" s="6" t="s">
        <v>18</v>
      </c>
      <c r="B3021" s="7" t="s">
        <v>13</v>
      </c>
      <c r="C3021" s="7" t="s">
        <v>3747</v>
      </c>
      <c r="D3021" s="7">
        <v>-1.5870116000000001</v>
      </c>
      <c r="E3021" s="7">
        <v>-1.2580119000000001</v>
      </c>
      <c r="F3021" s="9" t="str">
        <f t="shared" si="13"/>
        <v>Direct</v>
      </c>
      <c r="G3021" s="7" t="s">
        <v>3748</v>
      </c>
    </row>
    <row r="3022" spans="1:7" x14ac:dyDescent="0.2">
      <c r="A3022" s="6" t="s">
        <v>18</v>
      </c>
      <c r="B3022" s="7" t="s">
        <v>13</v>
      </c>
      <c r="C3022" s="7" t="s">
        <v>3749</v>
      </c>
      <c r="D3022" s="7">
        <v>1.2905653800000001</v>
      </c>
      <c r="E3022" s="7">
        <v>1.46484024</v>
      </c>
      <c r="F3022" s="9" t="str">
        <f t="shared" si="13"/>
        <v>Direct</v>
      </c>
      <c r="G3022" s="7" t="s">
        <v>2717</v>
      </c>
    </row>
    <row r="3023" spans="1:7" x14ac:dyDescent="0.2">
      <c r="A3023" s="6" t="s">
        <v>18</v>
      </c>
      <c r="B3023" s="7" t="s">
        <v>13</v>
      </c>
      <c r="C3023" s="7" t="s">
        <v>3750</v>
      </c>
      <c r="D3023" s="7">
        <v>-2.0885517999999998</v>
      </c>
      <c r="E3023" s="7">
        <v>-1.7313936999999999</v>
      </c>
      <c r="F3023" s="9" t="str">
        <f t="shared" si="13"/>
        <v>Direct</v>
      </c>
      <c r="G3023" s="7" t="s">
        <v>3751</v>
      </c>
    </row>
    <row r="3024" spans="1:7" x14ac:dyDescent="0.2">
      <c r="A3024" s="6" t="s">
        <v>18</v>
      </c>
      <c r="B3024" s="7" t="s">
        <v>13</v>
      </c>
      <c r="C3024" s="7" t="s">
        <v>3752</v>
      </c>
      <c r="D3024" s="7">
        <v>-1.7091958</v>
      </c>
      <c r="E3024" s="7">
        <v>-1.9006997000000001</v>
      </c>
      <c r="F3024" s="9" t="str">
        <f t="shared" si="13"/>
        <v>Direct</v>
      </c>
      <c r="G3024" s="7" t="s">
        <v>11</v>
      </c>
    </row>
    <row r="3025" spans="1:7" x14ac:dyDescent="0.2">
      <c r="A3025" s="6" t="s">
        <v>18</v>
      </c>
      <c r="B3025" s="7" t="s">
        <v>13</v>
      </c>
      <c r="C3025" s="7" t="s">
        <v>3753</v>
      </c>
      <c r="D3025" s="7">
        <v>2.9017029700000001</v>
      </c>
      <c r="E3025" s="7">
        <v>1.42480125</v>
      </c>
      <c r="F3025" s="9" t="str">
        <f t="shared" si="13"/>
        <v>Direct</v>
      </c>
      <c r="G3025" s="7" t="s">
        <v>465</v>
      </c>
    </row>
    <row r="3026" spans="1:7" x14ac:dyDescent="0.2">
      <c r="A3026" s="6" t="s">
        <v>18</v>
      </c>
      <c r="B3026" s="7" t="s">
        <v>13</v>
      </c>
      <c r="C3026" s="7" t="s">
        <v>2877</v>
      </c>
      <c r="D3026" s="7">
        <v>1.1638484099999999</v>
      </c>
      <c r="E3026" s="7">
        <v>1.0345782800000001</v>
      </c>
      <c r="F3026" s="9" t="str">
        <f t="shared" si="13"/>
        <v>Direct</v>
      </c>
      <c r="G3026" s="7" t="s">
        <v>11</v>
      </c>
    </row>
    <row r="3027" spans="1:7" x14ac:dyDescent="0.2">
      <c r="A3027" s="6" t="s">
        <v>18</v>
      </c>
      <c r="B3027" s="7" t="s">
        <v>13</v>
      </c>
      <c r="C3027" s="7" t="s">
        <v>2884</v>
      </c>
      <c r="D3027" s="7">
        <v>-1.8081971999999999</v>
      </c>
      <c r="E3027" s="7">
        <v>-1.3864099999999999</v>
      </c>
      <c r="F3027" s="9" t="str">
        <f t="shared" si="13"/>
        <v>Direct</v>
      </c>
      <c r="G3027" s="7" t="s">
        <v>2885</v>
      </c>
    </row>
    <row r="3028" spans="1:7" x14ac:dyDescent="0.2">
      <c r="A3028" s="6" t="s">
        <v>18</v>
      </c>
      <c r="B3028" s="7" t="s">
        <v>13</v>
      </c>
      <c r="C3028" s="7" t="s">
        <v>2886</v>
      </c>
      <c r="D3028" s="7">
        <v>-2.6436709</v>
      </c>
      <c r="E3028" s="7">
        <v>-1.9271525</v>
      </c>
      <c r="F3028" s="9" t="str">
        <f t="shared" si="13"/>
        <v>Direct</v>
      </c>
      <c r="G3028" s="7" t="s">
        <v>11</v>
      </c>
    </row>
    <row r="3029" spans="1:7" x14ac:dyDescent="0.2">
      <c r="A3029" s="6" t="s">
        <v>18</v>
      </c>
      <c r="B3029" s="7" t="s">
        <v>13</v>
      </c>
      <c r="C3029" s="7" t="s">
        <v>3754</v>
      </c>
      <c r="D3029" s="7">
        <v>1.0040608900000001</v>
      </c>
      <c r="E3029" s="7">
        <v>1.1730210599999999</v>
      </c>
      <c r="F3029" s="9" t="str">
        <f t="shared" si="13"/>
        <v>Direct</v>
      </c>
      <c r="G3029" s="7" t="s">
        <v>3755</v>
      </c>
    </row>
    <row r="3030" spans="1:7" x14ac:dyDescent="0.2">
      <c r="A3030" s="6" t="s">
        <v>18</v>
      </c>
      <c r="B3030" s="7" t="s">
        <v>13</v>
      </c>
      <c r="C3030" s="7" t="s">
        <v>3756</v>
      </c>
      <c r="D3030" s="7">
        <v>-1.5372368000000001</v>
      </c>
      <c r="E3030" s="7">
        <v>-1.4491949</v>
      </c>
      <c r="F3030" s="9" t="str">
        <f t="shared" si="13"/>
        <v>Direct</v>
      </c>
      <c r="G3030" s="7" t="s">
        <v>11</v>
      </c>
    </row>
    <row r="3031" spans="1:7" x14ac:dyDescent="0.2">
      <c r="A3031" s="6" t="s">
        <v>18</v>
      </c>
      <c r="B3031" s="7" t="s">
        <v>13</v>
      </c>
      <c r="C3031" s="7" t="s">
        <v>3757</v>
      </c>
      <c r="D3031" s="7">
        <v>-1.139211</v>
      </c>
      <c r="E3031" s="7">
        <v>-1.0466247</v>
      </c>
      <c r="F3031" s="9" t="str">
        <f t="shared" si="13"/>
        <v>Direct</v>
      </c>
      <c r="G3031" s="7" t="s">
        <v>56</v>
      </c>
    </row>
    <row r="3032" spans="1:7" x14ac:dyDescent="0.2">
      <c r="A3032" s="6" t="s">
        <v>18</v>
      </c>
      <c r="B3032" s="7" t="s">
        <v>13</v>
      </c>
      <c r="C3032" s="7" t="s">
        <v>3758</v>
      </c>
      <c r="D3032" s="7">
        <v>-1.6088758000000001</v>
      </c>
      <c r="E3032" s="7">
        <v>-1.5618247999999999</v>
      </c>
      <c r="F3032" s="9" t="str">
        <f t="shared" si="13"/>
        <v>Direct</v>
      </c>
      <c r="G3032" s="7" t="s">
        <v>11</v>
      </c>
    </row>
    <row r="3033" spans="1:7" x14ac:dyDescent="0.2">
      <c r="A3033" s="6" t="s">
        <v>18</v>
      </c>
      <c r="B3033" s="7" t="s">
        <v>13</v>
      </c>
      <c r="C3033" s="7" t="s">
        <v>2889</v>
      </c>
      <c r="D3033" s="7">
        <v>-4.1650469000000001</v>
      </c>
      <c r="E3033" s="7">
        <v>2.27051479</v>
      </c>
      <c r="F3033" s="9" t="str">
        <f t="shared" si="13"/>
        <v>Inverse</v>
      </c>
      <c r="G3033" s="7" t="s">
        <v>11</v>
      </c>
    </row>
    <row r="3034" spans="1:7" x14ac:dyDescent="0.2">
      <c r="A3034" s="6" t="s">
        <v>18</v>
      </c>
      <c r="B3034" s="7" t="s">
        <v>13</v>
      </c>
      <c r="C3034" s="7" t="s">
        <v>3759</v>
      </c>
      <c r="D3034" s="7">
        <v>-1.0853931000000001</v>
      </c>
      <c r="E3034" s="7">
        <v>-1.6008062000000001</v>
      </c>
      <c r="F3034" s="9" t="str">
        <f t="shared" si="13"/>
        <v>Direct</v>
      </c>
      <c r="G3034" s="7" t="s">
        <v>11</v>
      </c>
    </row>
    <row r="3035" spans="1:7" x14ac:dyDescent="0.2">
      <c r="A3035" s="6" t="s">
        <v>18</v>
      </c>
      <c r="B3035" s="7" t="s">
        <v>13</v>
      </c>
      <c r="C3035" s="7" t="s">
        <v>2890</v>
      </c>
      <c r="D3035" s="7">
        <v>4.9455422599999999</v>
      </c>
      <c r="E3035" s="7">
        <v>5.1734530300000001</v>
      </c>
      <c r="F3035" s="9" t="str">
        <f t="shared" si="13"/>
        <v>Direct</v>
      </c>
      <c r="G3035" s="7" t="s">
        <v>11</v>
      </c>
    </row>
    <row r="3036" spans="1:7" x14ac:dyDescent="0.2">
      <c r="A3036" s="6" t="s">
        <v>18</v>
      </c>
      <c r="B3036" s="7" t="s">
        <v>13</v>
      </c>
      <c r="C3036" s="7" t="s">
        <v>3760</v>
      </c>
      <c r="D3036" s="7">
        <v>-2.9464706999999999</v>
      </c>
      <c r="E3036" s="7">
        <v>-1.1342808</v>
      </c>
      <c r="F3036" s="9" t="str">
        <f t="shared" si="13"/>
        <v>Direct</v>
      </c>
      <c r="G3036" s="7" t="s">
        <v>3354</v>
      </c>
    </row>
    <row r="3037" spans="1:7" x14ac:dyDescent="0.2">
      <c r="A3037" s="6" t="s">
        <v>18</v>
      </c>
      <c r="B3037" s="7" t="s">
        <v>13</v>
      </c>
      <c r="C3037" s="7" t="s">
        <v>3761</v>
      </c>
      <c r="D3037" s="7">
        <v>-6.7502709000000003</v>
      </c>
      <c r="E3037" s="7">
        <v>-2.1943595</v>
      </c>
      <c r="F3037" s="9" t="str">
        <f t="shared" si="13"/>
        <v>Direct</v>
      </c>
      <c r="G3037" s="7" t="s">
        <v>2259</v>
      </c>
    </row>
    <row r="3038" spans="1:7" x14ac:dyDescent="0.2">
      <c r="A3038" s="6" t="s">
        <v>18</v>
      </c>
      <c r="B3038" s="7" t="s">
        <v>13</v>
      </c>
      <c r="C3038" s="7" t="s">
        <v>3762</v>
      </c>
      <c r="D3038" s="7">
        <v>2.11257246</v>
      </c>
      <c r="E3038" s="7">
        <v>3.4996323299999998</v>
      </c>
      <c r="F3038" s="9" t="str">
        <f t="shared" si="13"/>
        <v>Direct</v>
      </c>
      <c r="G3038" s="7" t="s">
        <v>693</v>
      </c>
    </row>
    <row r="3039" spans="1:7" x14ac:dyDescent="0.2">
      <c r="A3039" s="6" t="s">
        <v>18</v>
      </c>
      <c r="B3039" s="7" t="s">
        <v>13</v>
      </c>
      <c r="C3039" s="7" t="s">
        <v>3763</v>
      </c>
      <c r="D3039" s="7">
        <v>3.1837356899999998</v>
      </c>
      <c r="E3039" s="7">
        <v>6.0268808900000002</v>
      </c>
      <c r="F3039" s="9" t="str">
        <f t="shared" si="13"/>
        <v>Direct</v>
      </c>
      <c r="G3039" s="7" t="s">
        <v>11</v>
      </c>
    </row>
    <row r="3040" spans="1:7" x14ac:dyDescent="0.2">
      <c r="A3040" s="6" t="s">
        <v>18</v>
      </c>
      <c r="B3040" s="7" t="s">
        <v>13</v>
      </c>
      <c r="C3040" s="7" t="s">
        <v>2898</v>
      </c>
      <c r="D3040" s="7">
        <v>-2.1404722</v>
      </c>
      <c r="E3040" s="7">
        <v>-1.8550500999999999</v>
      </c>
      <c r="F3040" s="9" t="str">
        <f t="shared" si="13"/>
        <v>Direct</v>
      </c>
      <c r="G3040" s="7" t="s">
        <v>2899</v>
      </c>
    </row>
    <row r="3041" spans="1:7" x14ac:dyDescent="0.2">
      <c r="A3041" s="6" t="s">
        <v>18</v>
      </c>
      <c r="B3041" s="7" t="s">
        <v>13</v>
      </c>
      <c r="C3041" s="7" t="s">
        <v>2901</v>
      </c>
      <c r="D3041" s="7">
        <v>1.6017829100000001</v>
      </c>
      <c r="E3041" s="7">
        <v>3.0474344100000001</v>
      </c>
      <c r="F3041" s="9" t="str">
        <f t="shared" si="13"/>
        <v>Direct</v>
      </c>
      <c r="G3041" s="7" t="s">
        <v>2902</v>
      </c>
    </row>
    <row r="3042" spans="1:7" x14ac:dyDescent="0.2">
      <c r="A3042" s="6" t="s">
        <v>18</v>
      </c>
      <c r="B3042" s="7" t="s">
        <v>13</v>
      </c>
      <c r="C3042" s="7" t="s">
        <v>2903</v>
      </c>
      <c r="D3042" s="7">
        <v>-1.3789902000000001</v>
      </c>
      <c r="E3042" s="7">
        <v>-1.4026536000000001</v>
      </c>
      <c r="F3042" s="9" t="str">
        <f t="shared" si="13"/>
        <v>Direct</v>
      </c>
      <c r="G3042" s="7" t="s">
        <v>977</v>
      </c>
    </row>
    <row r="3043" spans="1:7" x14ac:dyDescent="0.2">
      <c r="A3043" s="6" t="s">
        <v>18</v>
      </c>
      <c r="B3043" s="7" t="s">
        <v>13</v>
      </c>
      <c r="C3043" s="7" t="s">
        <v>3764</v>
      </c>
      <c r="D3043" s="7">
        <v>1.1197437800000001</v>
      </c>
      <c r="E3043" s="7">
        <v>2.0428072099999999</v>
      </c>
      <c r="F3043" s="9" t="str">
        <f t="shared" si="13"/>
        <v>Direct</v>
      </c>
      <c r="G3043" s="7" t="s">
        <v>3765</v>
      </c>
    </row>
    <row r="3044" spans="1:7" x14ac:dyDescent="0.2">
      <c r="A3044" s="6" t="s">
        <v>18</v>
      </c>
      <c r="B3044" s="7" t="s">
        <v>13</v>
      </c>
      <c r="C3044" s="7" t="s">
        <v>3766</v>
      </c>
      <c r="D3044" s="7">
        <v>2.20265719</v>
      </c>
      <c r="E3044" s="7">
        <v>2.0968383099999999</v>
      </c>
      <c r="F3044" s="9" t="str">
        <f t="shared" si="13"/>
        <v>Direct</v>
      </c>
      <c r="G3044" s="7" t="s">
        <v>886</v>
      </c>
    </row>
    <row r="3045" spans="1:7" x14ac:dyDescent="0.2">
      <c r="A3045" s="6" t="s">
        <v>18</v>
      </c>
      <c r="B3045" s="7" t="s">
        <v>13</v>
      </c>
      <c r="C3045" s="7" t="s">
        <v>3767</v>
      </c>
      <c r="D3045" s="7">
        <v>1.42067345</v>
      </c>
      <c r="E3045" s="7">
        <v>4.5238255299999999</v>
      </c>
      <c r="F3045" s="9" t="str">
        <f t="shared" si="13"/>
        <v>Direct</v>
      </c>
      <c r="G3045" s="7" t="s">
        <v>11</v>
      </c>
    </row>
    <row r="3046" spans="1:7" x14ac:dyDescent="0.2">
      <c r="A3046" s="6" t="s">
        <v>18</v>
      </c>
      <c r="B3046" s="7" t="s">
        <v>13</v>
      </c>
      <c r="C3046" s="7" t="s">
        <v>3768</v>
      </c>
      <c r="D3046" s="7">
        <v>3.0212153599999998</v>
      </c>
      <c r="E3046" s="7">
        <v>6.55689134</v>
      </c>
      <c r="F3046" s="9" t="str">
        <f t="shared" si="13"/>
        <v>Direct</v>
      </c>
      <c r="G3046" s="7" t="s">
        <v>11</v>
      </c>
    </row>
    <row r="3047" spans="1:7" x14ac:dyDescent="0.2">
      <c r="A3047" s="6" t="s">
        <v>18</v>
      </c>
      <c r="B3047" s="7" t="s">
        <v>13</v>
      </c>
      <c r="C3047" s="7" t="s">
        <v>3769</v>
      </c>
      <c r="D3047" s="7">
        <v>-4.5177541999999997</v>
      </c>
      <c r="E3047" s="7">
        <v>-2.6539571</v>
      </c>
      <c r="F3047" s="9" t="str">
        <f t="shared" si="13"/>
        <v>Direct</v>
      </c>
      <c r="G3047" s="7" t="s">
        <v>11</v>
      </c>
    </row>
    <row r="3048" spans="1:7" x14ac:dyDescent="0.2">
      <c r="A3048" s="6" t="s">
        <v>18</v>
      </c>
      <c r="B3048" s="7" t="s">
        <v>13</v>
      </c>
      <c r="C3048" s="7" t="s">
        <v>3770</v>
      </c>
      <c r="D3048" s="7">
        <v>-4.9455422999999996</v>
      </c>
      <c r="E3048" s="7">
        <v>-1.2781476000000001</v>
      </c>
      <c r="F3048" s="9" t="str">
        <f t="shared" si="13"/>
        <v>Direct</v>
      </c>
      <c r="G3048" s="7" t="s">
        <v>11</v>
      </c>
    </row>
    <row r="3049" spans="1:7" x14ac:dyDescent="0.2">
      <c r="A3049" s="6" t="s">
        <v>18</v>
      </c>
      <c r="B3049" s="7" t="s">
        <v>13</v>
      </c>
      <c r="C3049" s="7" t="s">
        <v>3771</v>
      </c>
      <c r="D3049" s="7">
        <v>1.2970447599999999</v>
      </c>
      <c r="E3049" s="7">
        <v>1.77401739</v>
      </c>
      <c r="F3049" s="9" t="str">
        <f t="shared" si="13"/>
        <v>Direct</v>
      </c>
      <c r="G3049" s="7" t="s">
        <v>106</v>
      </c>
    </row>
    <row r="3050" spans="1:7" x14ac:dyDescent="0.2">
      <c r="A3050" s="6" t="s">
        <v>18</v>
      </c>
      <c r="B3050" s="7" t="s">
        <v>13</v>
      </c>
      <c r="C3050" s="7" t="s">
        <v>3772</v>
      </c>
      <c r="D3050" s="7">
        <v>-1.1142266000000001</v>
      </c>
      <c r="E3050" s="7">
        <v>1.5780364099999999</v>
      </c>
      <c r="F3050" s="9" t="str">
        <f t="shared" si="13"/>
        <v>Inverse</v>
      </c>
      <c r="G3050" s="7" t="s">
        <v>58</v>
      </c>
    </row>
    <row r="3051" spans="1:7" x14ac:dyDescent="0.2">
      <c r="A3051" s="6" t="s">
        <v>18</v>
      </c>
      <c r="B3051" s="7" t="s">
        <v>13</v>
      </c>
      <c r="C3051" s="7" t="s">
        <v>3773</v>
      </c>
      <c r="D3051" s="7">
        <v>1.5297795700000001</v>
      </c>
      <c r="E3051" s="7">
        <v>2.3853449900000001</v>
      </c>
      <c r="F3051" s="9" t="str">
        <f t="shared" si="13"/>
        <v>Direct</v>
      </c>
      <c r="G3051" s="7" t="s">
        <v>11</v>
      </c>
    </row>
    <row r="3052" spans="1:7" x14ac:dyDescent="0.2">
      <c r="A3052" s="6" t="s">
        <v>18</v>
      </c>
      <c r="B3052" s="7" t="s">
        <v>13</v>
      </c>
      <c r="C3052" s="7" t="s">
        <v>3774</v>
      </c>
      <c r="D3052" s="7">
        <v>1.2800088300000001</v>
      </c>
      <c r="E3052" s="7">
        <v>1.5553629499999999</v>
      </c>
      <c r="F3052" s="9" t="str">
        <f t="shared" si="13"/>
        <v>Direct</v>
      </c>
      <c r="G3052" s="7" t="s">
        <v>11</v>
      </c>
    </row>
    <row r="3053" spans="1:7" x14ac:dyDescent="0.2">
      <c r="A3053" s="6" t="s">
        <v>18</v>
      </c>
      <c r="B3053" s="7" t="s">
        <v>13</v>
      </c>
      <c r="C3053" s="7" t="s">
        <v>3775</v>
      </c>
      <c r="D3053" s="7">
        <v>1.37119455</v>
      </c>
      <c r="E3053" s="7">
        <v>2.0589819899999999</v>
      </c>
      <c r="F3053" s="9" t="str">
        <f t="shared" si="13"/>
        <v>Direct</v>
      </c>
      <c r="G3053" s="7" t="s">
        <v>3776</v>
      </c>
    </row>
    <row r="3054" spans="1:7" x14ac:dyDescent="0.2">
      <c r="A3054" s="6" t="s">
        <v>18</v>
      </c>
      <c r="B3054" s="7" t="s">
        <v>13</v>
      </c>
      <c r="C3054" s="7" t="s">
        <v>3777</v>
      </c>
      <c r="D3054" s="7">
        <v>-3.7225101999999999</v>
      </c>
      <c r="E3054" s="7">
        <v>-1.4576374000000001</v>
      </c>
      <c r="F3054" s="9" t="str">
        <f t="shared" si="13"/>
        <v>Direct</v>
      </c>
      <c r="G3054" s="7" t="s">
        <v>11</v>
      </c>
    </row>
    <row r="3055" spans="1:7" x14ac:dyDescent="0.2">
      <c r="A3055" s="6" t="s">
        <v>18</v>
      </c>
      <c r="B3055" s="7" t="s">
        <v>13</v>
      </c>
      <c r="C3055" s="7" t="s">
        <v>3778</v>
      </c>
      <c r="D3055" s="7">
        <v>1.30090061</v>
      </c>
      <c r="E3055" s="7">
        <v>2.0700602199999998</v>
      </c>
      <c r="F3055" s="9" t="str">
        <f t="shared" si="13"/>
        <v>Direct</v>
      </c>
      <c r="G3055" s="7" t="s">
        <v>3779</v>
      </c>
    </row>
    <row r="3056" spans="1:7" x14ac:dyDescent="0.2">
      <c r="A3056" s="6" t="s">
        <v>18</v>
      </c>
      <c r="B3056" s="7" t="s">
        <v>13</v>
      </c>
      <c r="C3056" s="7" t="s">
        <v>3780</v>
      </c>
      <c r="D3056" s="7">
        <v>-1.3198707000000001</v>
      </c>
      <c r="E3056" s="7">
        <v>-1.9218667</v>
      </c>
      <c r="F3056" s="9" t="str">
        <f t="shared" si="13"/>
        <v>Direct</v>
      </c>
      <c r="G3056" s="7" t="s">
        <v>3781</v>
      </c>
    </row>
    <row r="3057" spans="1:7" x14ac:dyDescent="0.2">
      <c r="A3057" s="6" t="s">
        <v>18</v>
      </c>
      <c r="B3057" s="7" t="s">
        <v>13</v>
      </c>
      <c r="C3057" s="7" t="s">
        <v>3782</v>
      </c>
      <c r="D3057" s="7">
        <v>-2.7933289000000001</v>
      </c>
      <c r="E3057" s="7">
        <v>-6.4642621</v>
      </c>
      <c r="F3057" s="9" t="str">
        <f t="shared" si="13"/>
        <v>Direct</v>
      </c>
      <c r="G3057" s="7" t="s">
        <v>11</v>
      </c>
    </row>
    <row r="3058" spans="1:7" x14ac:dyDescent="0.2">
      <c r="A3058" s="6" t="s">
        <v>18</v>
      </c>
      <c r="B3058" s="7" t="s">
        <v>13</v>
      </c>
      <c r="C3058" s="7" t="s">
        <v>3783</v>
      </c>
      <c r="D3058" s="7">
        <v>2.8990071199999998</v>
      </c>
      <c r="E3058" s="7">
        <v>1.1791703499999999</v>
      </c>
      <c r="F3058" s="9" t="str">
        <f t="shared" si="13"/>
        <v>Direct</v>
      </c>
      <c r="G3058" s="7" t="s">
        <v>11</v>
      </c>
    </row>
    <row r="3059" spans="1:7" x14ac:dyDescent="0.2">
      <c r="A3059" s="6" t="s">
        <v>18</v>
      </c>
      <c r="B3059" s="7" t="s">
        <v>13</v>
      </c>
      <c r="C3059" s="7" t="s">
        <v>3784</v>
      </c>
      <c r="D3059" s="7">
        <v>-1.0605907999999999</v>
      </c>
      <c r="E3059" s="7">
        <v>-1.0560448</v>
      </c>
      <c r="F3059" s="9" t="str">
        <f t="shared" si="13"/>
        <v>Direct</v>
      </c>
      <c r="G3059" s="7" t="s">
        <v>3785</v>
      </c>
    </row>
    <row r="3060" spans="1:7" x14ac:dyDescent="0.2">
      <c r="A3060" s="6" t="s">
        <v>18</v>
      </c>
      <c r="B3060" s="7" t="s">
        <v>13</v>
      </c>
      <c r="C3060" s="7" t="s">
        <v>3786</v>
      </c>
      <c r="D3060" s="7">
        <v>2.1241311399999998</v>
      </c>
      <c r="E3060" s="7">
        <v>1.4104586699999999</v>
      </c>
      <c r="F3060" s="9" t="str">
        <f t="shared" si="13"/>
        <v>Direct</v>
      </c>
      <c r="G3060" s="7" t="s">
        <v>3787</v>
      </c>
    </row>
    <row r="3061" spans="1:7" x14ac:dyDescent="0.2">
      <c r="A3061" s="6" t="s">
        <v>18</v>
      </c>
      <c r="B3061" s="7" t="s">
        <v>13</v>
      </c>
      <c r="C3061" s="7" t="s">
        <v>3788</v>
      </c>
      <c r="D3061" s="7">
        <v>-1.2161493999999999</v>
      </c>
      <c r="E3061" s="7">
        <v>-1.2902601</v>
      </c>
      <c r="F3061" s="9" t="str">
        <f t="shared" si="13"/>
        <v>Direct</v>
      </c>
      <c r="G3061" s="7" t="s">
        <v>11</v>
      </c>
    </row>
    <row r="3062" spans="1:7" x14ac:dyDescent="0.2">
      <c r="A3062" s="6" t="s">
        <v>18</v>
      </c>
      <c r="B3062" s="7" t="s">
        <v>13</v>
      </c>
      <c r="C3062" s="7" t="s">
        <v>2952</v>
      </c>
      <c r="D3062" s="7">
        <v>-3.7848111000000002</v>
      </c>
      <c r="E3062" s="7">
        <v>-4.0854166000000003</v>
      </c>
      <c r="F3062" s="9" t="str">
        <f t="shared" ref="F3062:F3316" si="14">IF(OR(AND(D3062&gt;0,E3062&gt;0),AND(D3062&lt;0,E3062&lt;0)),"Direct","Inverse")</f>
        <v>Direct</v>
      </c>
      <c r="G3062" s="7" t="s">
        <v>11</v>
      </c>
    </row>
    <row r="3063" spans="1:7" x14ac:dyDescent="0.2">
      <c r="A3063" s="6" t="s">
        <v>18</v>
      </c>
      <c r="B3063" s="7" t="s">
        <v>13</v>
      </c>
      <c r="C3063" s="7" t="s">
        <v>2962</v>
      </c>
      <c r="D3063" s="7">
        <v>1.09073848</v>
      </c>
      <c r="E3063" s="7">
        <v>1.79186541</v>
      </c>
      <c r="F3063" s="9" t="str">
        <f t="shared" si="14"/>
        <v>Direct</v>
      </c>
      <c r="G3063" s="7" t="s">
        <v>11</v>
      </c>
    </row>
    <row r="3064" spans="1:7" x14ac:dyDescent="0.2">
      <c r="A3064" s="6" t="s">
        <v>18</v>
      </c>
      <c r="B3064" s="7" t="s">
        <v>13</v>
      </c>
      <c r="C3064" s="7" t="s">
        <v>3789</v>
      </c>
      <c r="D3064" s="7">
        <v>-1.4570955999999999</v>
      </c>
      <c r="E3064" s="7">
        <v>-1.0184280000000001</v>
      </c>
      <c r="F3064" s="9" t="str">
        <f t="shared" si="14"/>
        <v>Direct</v>
      </c>
      <c r="G3064" s="7" t="s">
        <v>3790</v>
      </c>
    </row>
    <row r="3065" spans="1:7" x14ac:dyDescent="0.2">
      <c r="A3065" s="6" t="s">
        <v>18</v>
      </c>
      <c r="B3065" s="7" t="s">
        <v>13</v>
      </c>
      <c r="C3065" s="7" t="s">
        <v>3791</v>
      </c>
      <c r="D3065" s="7">
        <v>-1.1856096</v>
      </c>
      <c r="E3065" s="7">
        <v>-1.8870323</v>
      </c>
      <c r="F3065" s="9" t="str">
        <f t="shared" si="14"/>
        <v>Direct</v>
      </c>
      <c r="G3065" s="7" t="s">
        <v>3792</v>
      </c>
    </row>
    <row r="3066" spans="1:7" x14ac:dyDescent="0.2">
      <c r="A3066" s="6" t="s">
        <v>18</v>
      </c>
      <c r="B3066" s="7" t="s">
        <v>13</v>
      </c>
      <c r="C3066" s="7" t="s">
        <v>2968</v>
      </c>
      <c r="D3066" s="7">
        <v>-4.3050939000000001</v>
      </c>
      <c r="E3066" s="7">
        <v>-1.2817826000000001</v>
      </c>
      <c r="F3066" s="9" t="str">
        <f t="shared" si="14"/>
        <v>Direct</v>
      </c>
      <c r="G3066" s="7" t="s">
        <v>11</v>
      </c>
    </row>
    <row r="3067" spans="1:7" x14ac:dyDescent="0.2">
      <c r="A3067" s="6" t="s">
        <v>18</v>
      </c>
      <c r="B3067" s="7" t="s">
        <v>13</v>
      </c>
      <c r="C3067" s="7" t="s">
        <v>2969</v>
      </c>
      <c r="D3067" s="7">
        <v>-5.6730698000000004</v>
      </c>
      <c r="E3067" s="7">
        <v>-1.2816856999999999</v>
      </c>
      <c r="F3067" s="9" t="str">
        <f t="shared" si="14"/>
        <v>Direct</v>
      </c>
      <c r="G3067" s="7" t="s">
        <v>11</v>
      </c>
    </row>
    <row r="3068" spans="1:7" x14ac:dyDescent="0.2">
      <c r="A3068" s="6" t="s">
        <v>18</v>
      </c>
      <c r="B3068" s="7" t="s">
        <v>13</v>
      </c>
      <c r="C3068" s="7" t="s">
        <v>3793</v>
      </c>
      <c r="D3068" s="7">
        <v>1.0146455599999999</v>
      </c>
      <c r="E3068" s="7">
        <v>1.1718857899999999</v>
      </c>
      <c r="F3068" s="9" t="str">
        <f t="shared" si="14"/>
        <v>Direct</v>
      </c>
      <c r="G3068" s="7" t="s">
        <v>3794</v>
      </c>
    </row>
    <row r="3069" spans="1:7" x14ac:dyDescent="0.2">
      <c r="A3069" s="6" t="s">
        <v>18</v>
      </c>
      <c r="B3069" s="7" t="s">
        <v>13</v>
      </c>
      <c r="C3069" s="7" t="s">
        <v>2973</v>
      </c>
      <c r="D3069" s="7">
        <v>-1.9947689</v>
      </c>
      <c r="E3069" s="7">
        <v>-1.4100349999999999</v>
      </c>
      <c r="F3069" s="9" t="str">
        <f t="shared" si="14"/>
        <v>Direct</v>
      </c>
      <c r="G3069" s="7" t="s">
        <v>2974</v>
      </c>
    </row>
    <row r="3070" spans="1:7" x14ac:dyDescent="0.2">
      <c r="A3070" s="6" t="s">
        <v>18</v>
      </c>
      <c r="B3070" s="7" t="s">
        <v>13</v>
      </c>
      <c r="C3070" s="7" t="s">
        <v>3795</v>
      </c>
      <c r="D3070" s="7">
        <v>10.9593799</v>
      </c>
      <c r="E3070" s="7">
        <v>7.0239617299999999</v>
      </c>
      <c r="F3070" s="9" t="str">
        <f t="shared" si="14"/>
        <v>Direct</v>
      </c>
      <c r="G3070" s="7" t="s">
        <v>11</v>
      </c>
    </row>
    <row r="3071" spans="1:7" x14ac:dyDescent="0.2">
      <c r="A3071" s="6" t="s">
        <v>18</v>
      </c>
      <c r="B3071" s="7" t="s">
        <v>13</v>
      </c>
      <c r="C3071" s="7" t="s">
        <v>3796</v>
      </c>
      <c r="D3071" s="7">
        <v>-4.0307918999999997</v>
      </c>
      <c r="E3071" s="7">
        <v>-1.2497720999999999</v>
      </c>
      <c r="F3071" s="9" t="str">
        <f t="shared" si="14"/>
        <v>Direct</v>
      </c>
      <c r="G3071" s="7" t="s">
        <v>3797</v>
      </c>
    </row>
    <row r="3072" spans="1:7" x14ac:dyDescent="0.2">
      <c r="A3072" s="6" t="s">
        <v>18</v>
      </c>
      <c r="B3072" s="7" t="s">
        <v>13</v>
      </c>
      <c r="C3072" s="7" t="s">
        <v>2983</v>
      </c>
      <c r="D3072" s="7">
        <v>2.8584070100000001</v>
      </c>
      <c r="E3072" s="7">
        <v>5.5631052399999996</v>
      </c>
      <c r="F3072" s="9" t="str">
        <f t="shared" si="14"/>
        <v>Direct</v>
      </c>
      <c r="G3072" s="7" t="s">
        <v>2984</v>
      </c>
    </row>
    <row r="3073" spans="1:7" x14ac:dyDescent="0.2">
      <c r="A3073" s="6" t="s">
        <v>18</v>
      </c>
      <c r="B3073" s="7" t="s">
        <v>13</v>
      </c>
      <c r="C3073" s="7" t="s">
        <v>3798</v>
      </c>
      <c r="D3073" s="7">
        <v>-1.1004423000000001</v>
      </c>
      <c r="E3073" s="7">
        <v>-1.0551702000000001</v>
      </c>
      <c r="F3073" s="9" t="str">
        <f t="shared" si="14"/>
        <v>Direct</v>
      </c>
      <c r="G3073" s="7" t="s">
        <v>3799</v>
      </c>
    </row>
    <row r="3074" spans="1:7" x14ac:dyDescent="0.2">
      <c r="A3074" s="6" t="s">
        <v>18</v>
      </c>
      <c r="B3074" s="7" t="s">
        <v>13</v>
      </c>
      <c r="C3074" s="7" t="s">
        <v>2989</v>
      </c>
      <c r="D3074" s="7">
        <v>-1.8635656</v>
      </c>
      <c r="E3074" s="7">
        <v>-2.0773107</v>
      </c>
      <c r="F3074" s="9" t="str">
        <f t="shared" si="14"/>
        <v>Direct</v>
      </c>
      <c r="G3074" s="7" t="s">
        <v>2990</v>
      </c>
    </row>
    <row r="3075" spans="1:7" x14ac:dyDescent="0.2">
      <c r="A3075" s="6" t="s">
        <v>18</v>
      </c>
      <c r="B3075" s="7" t="s">
        <v>13</v>
      </c>
      <c r="C3075" s="7" t="s">
        <v>2994</v>
      </c>
      <c r="D3075" s="7">
        <v>3.4791505599999999</v>
      </c>
      <c r="E3075" s="7">
        <v>-1.0931394000000001</v>
      </c>
      <c r="F3075" s="9" t="str">
        <f t="shared" si="14"/>
        <v>Inverse</v>
      </c>
      <c r="G3075" s="7" t="s">
        <v>693</v>
      </c>
    </row>
    <row r="3076" spans="1:7" x14ac:dyDescent="0.2">
      <c r="A3076" s="6" t="s">
        <v>18</v>
      </c>
      <c r="B3076" s="7" t="s">
        <v>13</v>
      </c>
      <c r="C3076" s="7" t="s">
        <v>3800</v>
      </c>
      <c r="D3076" s="7">
        <v>2.7908525000000002</v>
      </c>
      <c r="E3076" s="7">
        <v>2.6922902400000002</v>
      </c>
      <c r="F3076" s="9" t="str">
        <f t="shared" si="14"/>
        <v>Direct</v>
      </c>
      <c r="G3076" s="7" t="s">
        <v>3801</v>
      </c>
    </row>
    <row r="3077" spans="1:7" x14ac:dyDescent="0.2">
      <c r="A3077" s="6" t="s">
        <v>18</v>
      </c>
      <c r="B3077" s="7" t="s">
        <v>13</v>
      </c>
      <c r="C3077" s="7" t="s">
        <v>3802</v>
      </c>
      <c r="D3077" s="7">
        <v>-2.4183859999999999</v>
      </c>
      <c r="E3077" s="7">
        <v>-1.1282937</v>
      </c>
      <c r="F3077" s="9" t="str">
        <f t="shared" si="14"/>
        <v>Direct</v>
      </c>
      <c r="G3077" s="7" t="s">
        <v>814</v>
      </c>
    </row>
    <row r="3078" spans="1:7" x14ac:dyDescent="0.2">
      <c r="A3078" s="6" t="s">
        <v>18</v>
      </c>
      <c r="B3078" s="7" t="s">
        <v>13</v>
      </c>
      <c r="C3078" s="7" t="s">
        <v>3803</v>
      </c>
      <c r="D3078" s="7">
        <v>2.1144149300000001</v>
      </c>
      <c r="E3078" s="7">
        <v>1.95497645</v>
      </c>
      <c r="F3078" s="9" t="str">
        <f t="shared" si="14"/>
        <v>Direct</v>
      </c>
      <c r="G3078" s="7" t="s">
        <v>3804</v>
      </c>
    </row>
    <row r="3079" spans="1:7" x14ac:dyDescent="0.2">
      <c r="A3079" s="6" t="s">
        <v>18</v>
      </c>
      <c r="B3079" s="7" t="s">
        <v>13</v>
      </c>
      <c r="C3079" s="7" t="s">
        <v>3805</v>
      </c>
      <c r="D3079" s="7">
        <v>1.4034310000000001</v>
      </c>
      <c r="E3079" s="7">
        <v>1.1320006</v>
      </c>
      <c r="F3079" s="9" t="str">
        <f t="shared" si="14"/>
        <v>Direct</v>
      </c>
      <c r="G3079" s="7" t="s">
        <v>401</v>
      </c>
    </row>
    <row r="3080" spans="1:7" x14ac:dyDescent="0.2">
      <c r="A3080" s="6" t="s">
        <v>18</v>
      </c>
      <c r="B3080" s="7" t="s">
        <v>13</v>
      </c>
      <c r="C3080" s="7" t="s">
        <v>3806</v>
      </c>
      <c r="D3080" s="7">
        <v>-1.1684175000000001</v>
      </c>
      <c r="E3080" s="7">
        <v>-2.2770250999999999</v>
      </c>
      <c r="F3080" s="9" t="str">
        <f t="shared" si="14"/>
        <v>Direct</v>
      </c>
      <c r="G3080" s="7" t="s">
        <v>11</v>
      </c>
    </row>
    <row r="3081" spans="1:7" x14ac:dyDescent="0.2">
      <c r="A3081" s="6" t="s">
        <v>18</v>
      </c>
      <c r="B3081" s="7" t="s">
        <v>13</v>
      </c>
      <c r="C3081" s="7" t="s">
        <v>3807</v>
      </c>
      <c r="D3081" s="7">
        <v>1.6720233600000001</v>
      </c>
      <c r="E3081" s="7">
        <v>2.1703950299999999</v>
      </c>
      <c r="F3081" s="9" t="str">
        <f t="shared" si="14"/>
        <v>Direct</v>
      </c>
      <c r="G3081" s="7" t="s">
        <v>11</v>
      </c>
    </row>
    <row r="3082" spans="1:7" x14ac:dyDescent="0.2">
      <c r="A3082" s="6" t="s">
        <v>18</v>
      </c>
      <c r="B3082" s="7" t="s">
        <v>13</v>
      </c>
      <c r="C3082" s="7" t="s">
        <v>3006</v>
      </c>
      <c r="D3082" s="7">
        <v>-1.4257869999999999</v>
      </c>
      <c r="E3082" s="7">
        <v>-3.5413806999999999</v>
      </c>
      <c r="F3082" s="9" t="str">
        <f t="shared" si="14"/>
        <v>Direct</v>
      </c>
      <c r="G3082" s="7" t="s">
        <v>3007</v>
      </c>
    </row>
    <row r="3083" spans="1:7" x14ac:dyDescent="0.2">
      <c r="A3083" s="6" t="s">
        <v>18</v>
      </c>
      <c r="B3083" s="7" t="s">
        <v>13</v>
      </c>
      <c r="C3083" s="7" t="s">
        <v>3808</v>
      </c>
      <c r="D3083" s="7">
        <v>-1.3199320000000001</v>
      </c>
      <c r="E3083" s="7">
        <v>-1.8575363</v>
      </c>
      <c r="F3083" s="9" t="str">
        <f t="shared" si="14"/>
        <v>Direct</v>
      </c>
      <c r="G3083" s="7" t="s">
        <v>11</v>
      </c>
    </row>
    <row r="3084" spans="1:7" x14ac:dyDescent="0.2">
      <c r="A3084" s="6" t="s">
        <v>18</v>
      </c>
      <c r="B3084" s="7" t="s">
        <v>13</v>
      </c>
      <c r="C3084" s="7" t="s">
        <v>3012</v>
      </c>
      <c r="D3084" s="7">
        <v>1.1888102</v>
      </c>
      <c r="E3084" s="7">
        <v>2.01323981</v>
      </c>
      <c r="F3084" s="9" t="str">
        <f t="shared" si="14"/>
        <v>Direct</v>
      </c>
      <c r="G3084" s="7" t="s">
        <v>2177</v>
      </c>
    </row>
    <row r="3085" spans="1:7" x14ac:dyDescent="0.2">
      <c r="A3085" s="6" t="s">
        <v>18</v>
      </c>
      <c r="B3085" s="7" t="s">
        <v>13</v>
      </c>
      <c r="C3085" s="7" t="s">
        <v>3809</v>
      </c>
      <c r="D3085" s="7">
        <v>-3.1086816000000002</v>
      </c>
      <c r="E3085" s="7">
        <v>-3.2771292000000001</v>
      </c>
      <c r="F3085" s="9" t="str">
        <f t="shared" si="14"/>
        <v>Direct</v>
      </c>
      <c r="G3085" s="7" t="s">
        <v>11</v>
      </c>
    </row>
    <row r="3086" spans="1:7" x14ac:dyDescent="0.2">
      <c r="A3086" s="6" t="s">
        <v>18</v>
      </c>
      <c r="B3086" s="7" t="s">
        <v>13</v>
      </c>
      <c r="C3086" s="7" t="s">
        <v>3810</v>
      </c>
      <c r="D3086" s="7">
        <v>2.9484369099999999</v>
      </c>
      <c r="E3086" s="7">
        <v>2.3056789000000002</v>
      </c>
      <c r="F3086" s="9" t="str">
        <f t="shared" si="14"/>
        <v>Direct</v>
      </c>
      <c r="G3086" s="7" t="s">
        <v>2177</v>
      </c>
    </row>
    <row r="3087" spans="1:7" x14ac:dyDescent="0.2">
      <c r="A3087" s="6" t="s">
        <v>18</v>
      </c>
      <c r="B3087" s="7" t="s">
        <v>13</v>
      </c>
      <c r="C3087" s="7" t="s">
        <v>3811</v>
      </c>
      <c r="D3087" s="7">
        <v>-3.9983905000000002</v>
      </c>
      <c r="E3087" s="7">
        <v>-2.4741787</v>
      </c>
      <c r="F3087" s="9" t="str">
        <f t="shared" si="14"/>
        <v>Direct</v>
      </c>
      <c r="G3087" s="7" t="s">
        <v>11</v>
      </c>
    </row>
    <row r="3088" spans="1:7" x14ac:dyDescent="0.2">
      <c r="A3088" s="6" t="s">
        <v>18</v>
      </c>
      <c r="B3088" s="7" t="s">
        <v>13</v>
      </c>
      <c r="C3088" s="7" t="s">
        <v>3812</v>
      </c>
      <c r="D3088" s="7">
        <v>-2.7831467000000001</v>
      </c>
      <c r="E3088" s="7">
        <v>-1.3367036000000001</v>
      </c>
      <c r="F3088" s="9" t="str">
        <f t="shared" si="14"/>
        <v>Direct</v>
      </c>
      <c r="G3088" s="7" t="s">
        <v>11</v>
      </c>
    </row>
    <row r="3089" spans="1:7" x14ac:dyDescent="0.2">
      <c r="A3089" s="6" t="s">
        <v>18</v>
      </c>
      <c r="B3089" s="7" t="s">
        <v>13</v>
      </c>
      <c r="C3089" s="7" t="s">
        <v>3813</v>
      </c>
      <c r="D3089" s="7">
        <v>2.60471122</v>
      </c>
      <c r="E3089" s="7">
        <v>3.0470030000000001</v>
      </c>
      <c r="F3089" s="9" t="str">
        <f t="shared" si="14"/>
        <v>Direct</v>
      </c>
      <c r="G3089" s="7" t="s">
        <v>11</v>
      </c>
    </row>
    <row r="3090" spans="1:7" x14ac:dyDescent="0.2">
      <c r="A3090" s="6" t="s">
        <v>18</v>
      </c>
      <c r="B3090" s="7" t="s">
        <v>13</v>
      </c>
      <c r="C3090" s="7" t="s">
        <v>3814</v>
      </c>
      <c r="D3090" s="7">
        <v>1.19762089</v>
      </c>
      <c r="E3090" s="7">
        <v>1.5613078300000001</v>
      </c>
      <c r="F3090" s="9" t="str">
        <f t="shared" si="14"/>
        <v>Direct</v>
      </c>
      <c r="G3090" s="7" t="s">
        <v>11</v>
      </c>
    </row>
    <row r="3091" spans="1:7" x14ac:dyDescent="0.2">
      <c r="A3091" s="6" t="s">
        <v>18</v>
      </c>
      <c r="B3091" s="7" t="s">
        <v>13</v>
      </c>
      <c r="C3091" s="7" t="s">
        <v>3815</v>
      </c>
      <c r="D3091" s="7">
        <v>-3.6973862</v>
      </c>
      <c r="E3091" s="7">
        <v>-1.8486343000000001</v>
      </c>
      <c r="F3091" s="9" t="str">
        <f t="shared" si="14"/>
        <v>Direct</v>
      </c>
      <c r="G3091" s="7" t="s">
        <v>11</v>
      </c>
    </row>
    <row r="3092" spans="1:7" x14ac:dyDescent="0.2">
      <c r="A3092" s="6" t="s">
        <v>18</v>
      </c>
      <c r="B3092" s="7" t="s">
        <v>13</v>
      </c>
      <c r="C3092" s="7" t="s">
        <v>3816</v>
      </c>
      <c r="D3092" s="7">
        <v>-1.2948421000000001</v>
      </c>
      <c r="E3092" s="7">
        <v>-1.2110148000000001</v>
      </c>
      <c r="F3092" s="9" t="str">
        <f t="shared" si="14"/>
        <v>Direct</v>
      </c>
      <c r="G3092" s="7" t="s">
        <v>3817</v>
      </c>
    </row>
    <row r="3093" spans="1:7" x14ac:dyDescent="0.2">
      <c r="A3093" s="6" t="s">
        <v>18</v>
      </c>
      <c r="B3093" s="7" t="s">
        <v>13</v>
      </c>
      <c r="C3093" s="7" t="s">
        <v>3818</v>
      </c>
      <c r="D3093" s="7">
        <v>1.54455937</v>
      </c>
      <c r="E3093" s="7">
        <v>1.95718511</v>
      </c>
      <c r="F3093" s="9" t="str">
        <f t="shared" si="14"/>
        <v>Direct</v>
      </c>
      <c r="G3093" s="7" t="s">
        <v>11</v>
      </c>
    </row>
    <row r="3094" spans="1:7" x14ac:dyDescent="0.2">
      <c r="A3094" s="6" t="s">
        <v>18</v>
      </c>
      <c r="B3094" s="7" t="s">
        <v>13</v>
      </c>
      <c r="C3094" s="7" t="s">
        <v>3819</v>
      </c>
      <c r="D3094" s="7">
        <v>-1.2760039000000001</v>
      </c>
      <c r="E3094" s="7">
        <v>-1.7968864</v>
      </c>
      <c r="F3094" s="9" t="str">
        <f t="shared" si="14"/>
        <v>Direct</v>
      </c>
      <c r="G3094" s="7" t="s">
        <v>3820</v>
      </c>
    </row>
    <row r="3095" spans="1:7" x14ac:dyDescent="0.2">
      <c r="A3095" s="6" t="s">
        <v>18</v>
      </c>
      <c r="B3095" s="7" t="s">
        <v>13</v>
      </c>
      <c r="C3095" s="7" t="s">
        <v>3821</v>
      </c>
      <c r="D3095" s="7">
        <v>-1.3667351999999999</v>
      </c>
      <c r="E3095" s="7">
        <v>-1.0811077</v>
      </c>
      <c r="F3095" s="9" t="str">
        <f t="shared" si="14"/>
        <v>Direct</v>
      </c>
      <c r="G3095" s="7" t="s">
        <v>11</v>
      </c>
    </row>
    <row r="3096" spans="1:7" x14ac:dyDescent="0.2">
      <c r="A3096" s="6" t="s">
        <v>18</v>
      </c>
      <c r="B3096" s="7" t="s">
        <v>13</v>
      </c>
      <c r="C3096" s="7" t="s">
        <v>3822</v>
      </c>
      <c r="D3096" s="7">
        <v>-1.3186138000000001</v>
      </c>
      <c r="E3096" s="7">
        <v>-1.0742018</v>
      </c>
      <c r="F3096" s="9" t="str">
        <f t="shared" si="14"/>
        <v>Direct</v>
      </c>
      <c r="G3096" s="7" t="s">
        <v>11</v>
      </c>
    </row>
    <row r="3097" spans="1:7" x14ac:dyDescent="0.2">
      <c r="A3097" s="6" t="s">
        <v>18</v>
      </c>
      <c r="B3097" s="7" t="s">
        <v>13</v>
      </c>
      <c r="C3097" s="7" t="s">
        <v>3823</v>
      </c>
      <c r="D3097" s="7">
        <v>-2.3711492999999999</v>
      </c>
      <c r="E3097" s="7">
        <v>-2.5485720999999999</v>
      </c>
      <c r="F3097" s="9" t="str">
        <f t="shared" si="14"/>
        <v>Direct</v>
      </c>
      <c r="G3097" s="7" t="s">
        <v>423</v>
      </c>
    </row>
    <row r="3098" spans="1:7" x14ac:dyDescent="0.2">
      <c r="A3098" s="6" t="s">
        <v>18</v>
      </c>
      <c r="B3098" s="7" t="s">
        <v>13</v>
      </c>
      <c r="C3098" s="7" t="s">
        <v>3824</v>
      </c>
      <c r="D3098" s="7">
        <v>1.38081356</v>
      </c>
      <c r="E3098" s="7">
        <v>1.2228409</v>
      </c>
      <c r="F3098" s="9" t="str">
        <f t="shared" si="14"/>
        <v>Direct</v>
      </c>
      <c r="G3098" s="7" t="s">
        <v>3825</v>
      </c>
    </row>
    <row r="3099" spans="1:7" x14ac:dyDescent="0.2">
      <c r="A3099" s="6" t="s">
        <v>18</v>
      </c>
      <c r="B3099" s="7" t="s">
        <v>13</v>
      </c>
      <c r="C3099" s="7" t="s">
        <v>3826</v>
      </c>
      <c r="D3099" s="7">
        <v>-1.1414202</v>
      </c>
      <c r="E3099" s="7">
        <v>-1.1805687</v>
      </c>
      <c r="F3099" s="9" t="str">
        <f t="shared" si="14"/>
        <v>Direct</v>
      </c>
      <c r="G3099" s="7" t="s">
        <v>11</v>
      </c>
    </row>
    <row r="3100" spans="1:7" x14ac:dyDescent="0.2">
      <c r="A3100" s="6" t="s">
        <v>18</v>
      </c>
      <c r="B3100" s="7" t="s">
        <v>13</v>
      </c>
      <c r="C3100" s="7" t="s">
        <v>3044</v>
      </c>
      <c r="D3100" s="7">
        <v>-2.7933289000000001</v>
      </c>
      <c r="E3100" s="7">
        <v>-2.1349589</v>
      </c>
      <c r="F3100" s="9" t="str">
        <f t="shared" si="14"/>
        <v>Direct</v>
      </c>
      <c r="G3100" s="7" t="s">
        <v>11</v>
      </c>
    </row>
    <row r="3101" spans="1:7" x14ac:dyDescent="0.2">
      <c r="A3101" s="6" t="s">
        <v>18</v>
      </c>
      <c r="B3101" s="7" t="s">
        <v>13</v>
      </c>
      <c r="C3101" s="7" t="s">
        <v>3827</v>
      </c>
      <c r="D3101" s="7">
        <v>2.9925260800000002</v>
      </c>
      <c r="E3101" s="7">
        <v>4.3765446499999996</v>
      </c>
      <c r="F3101" s="9" t="str">
        <f t="shared" si="14"/>
        <v>Direct</v>
      </c>
      <c r="G3101" s="7" t="s">
        <v>3828</v>
      </c>
    </row>
    <row r="3102" spans="1:7" x14ac:dyDescent="0.2">
      <c r="A3102" s="6" t="s">
        <v>18</v>
      </c>
      <c r="B3102" s="7" t="s">
        <v>13</v>
      </c>
      <c r="C3102" s="7" t="s">
        <v>3829</v>
      </c>
      <c r="D3102" s="7">
        <v>3.49842239</v>
      </c>
      <c r="E3102" s="7">
        <v>4.3883352499999999</v>
      </c>
      <c r="F3102" s="9" t="str">
        <f t="shared" si="14"/>
        <v>Direct</v>
      </c>
      <c r="G3102" s="7" t="s">
        <v>11</v>
      </c>
    </row>
    <row r="3103" spans="1:7" x14ac:dyDescent="0.2">
      <c r="A3103" s="6" t="s">
        <v>18</v>
      </c>
      <c r="B3103" s="7" t="s">
        <v>13</v>
      </c>
      <c r="C3103" s="7" t="s">
        <v>3052</v>
      </c>
      <c r="D3103" s="7">
        <v>2.8015523</v>
      </c>
      <c r="E3103" s="7">
        <v>1.85505012</v>
      </c>
      <c r="F3103" s="9" t="str">
        <f t="shared" si="14"/>
        <v>Direct</v>
      </c>
      <c r="G3103" s="7" t="s">
        <v>3053</v>
      </c>
    </row>
    <row r="3104" spans="1:7" x14ac:dyDescent="0.2">
      <c r="A3104" s="6" t="s">
        <v>18</v>
      </c>
      <c r="B3104" s="7" t="s">
        <v>13</v>
      </c>
      <c r="C3104" s="7" t="s">
        <v>3830</v>
      </c>
      <c r="D3104" s="7">
        <v>-1.1119627999999999</v>
      </c>
      <c r="E3104" s="7">
        <v>-1.4910817000000001</v>
      </c>
      <c r="F3104" s="9" t="str">
        <f t="shared" si="14"/>
        <v>Direct</v>
      </c>
      <c r="G3104" s="7" t="s">
        <v>11</v>
      </c>
    </row>
    <row r="3105" spans="1:7" x14ac:dyDescent="0.2">
      <c r="A3105" s="6" t="s">
        <v>18</v>
      </c>
      <c r="B3105" s="7" t="s">
        <v>13</v>
      </c>
      <c r="C3105" s="7" t="s">
        <v>3056</v>
      </c>
      <c r="D3105" s="7">
        <v>2.79458311</v>
      </c>
      <c r="E3105" s="7">
        <v>1.5618247999999999</v>
      </c>
      <c r="F3105" s="9" t="str">
        <f t="shared" si="14"/>
        <v>Direct</v>
      </c>
      <c r="G3105" s="7" t="s">
        <v>11</v>
      </c>
    </row>
    <row r="3106" spans="1:7" x14ac:dyDescent="0.2">
      <c r="A3106" s="6" t="s">
        <v>18</v>
      </c>
      <c r="B3106" s="7" t="s">
        <v>13</v>
      </c>
      <c r="C3106" s="7" t="s">
        <v>3831</v>
      </c>
      <c r="D3106" s="7">
        <v>-1.0669002000000001</v>
      </c>
      <c r="E3106" s="7">
        <v>-1.3376621</v>
      </c>
      <c r="F3106" s="9" t="str">
        <f t="shared" si="14"/>
        <v>Direct</v>
      </c>
      <c r="G3106" s="7" t="s">
        <v>11</v>
      </c>
    </row>
    <row r="3107" spans="1:7" x14ac:dyDescent="0.2">
      <c r="A3107" s="6" t="s">
        <v>18</v>
      </c>
      <c r="B3107" s="7" t="s">
        <v>13</v>
      </c>
      <c r="C3107" s="7" t="s">
        <v>3065</v>
      </c>
      <c r="D3107" s="7">
        <v>1.83940287</v>
      </c>
      <c r="E3107" s="7">
        <v>1.64947033</v>
      </c>
      <c r="F3107" s="9" t="str">
        <f t="shared" si="14"/>
        <v>Direct</v>
      </c>
      <c r="G3107" s="7" t="s">
        <v>11</v>
      </c>
    </row>
    <row r="3108" spans="1:7" x14ac:dyDescent="0.2">
      <c r="A3108" s="6" t="s">
        <v>18</v>
      </c>
      <c r="B3108" s="7" t="s">
        <v>13</v>
      </c>
      <c r="C3108" s="7" t="s">
        <v>3832</v>
      </c>
      <c r="D3108" s="7">
        <v>1.3053326599999999</v>
      </c>
      <c r="E3108" s="7">
        <v>1.6385004999999999</v>
      </c>
      <c r="F3108" s="9" t="str">
        <f t="shared" si="14"/>
        <v>Direct</v>
      </c>
      <c r="G3108" s="7" t="s">
        <v>11</v>
      </c>
    </row>
    <row r="3109" spans="1:7" x14ac:dyDescent="0.2">
      <c r="A3109" s="6" t="s">
        <v>18</v>
      </c>
      <c r="B3109" s="7" t="s">
        <v>13</v>
      </c>
      <c r="C3109" s="7" t="s">
        <v>3833</v>
      </c>
      <c r="D3109" s="7">
        <v>1.22183686</v>
      </c>
      <c r="E3109" s="7">
        <v>1.12829366</v>
      </c>
      <c r="F3109" s="9" t="str">
        <f t="shared" si="14"/>
        <v>Direct</v>
      </c>
      <c r="G3109" s="7" t="s">
        <v>3151</v>
      </c>
    </row>
    <row r="3110" spans="1:7" x14ac:dyDescent="0.2">
      <c r="A3110" s="6" t="s">
        <v>18</v>
      </c>
      <c r="B3110" s="7" t="s">
        <v>13</v>
      </c>
      <c r="C3110" s="7" t="s">
        <v>3066</v>
      </c>
      <c r="D3110" s="7">
        <v>1.34770608</v>
      </c>
      <c r="E3110" s="7">
        <v>1.7880968399999999</v>
      </c>
      <c r="F3110" s="9" t="str">
        <f t="shared" si="14"/>
        <v>Direct</v>
      </c>
      <c r="G3110" s="7" t="s">
        <v>11</v>
      </c>
    </row>
    <row r="3111" spans="1:7" x14ac:dyDescent="0.2">
      <c r="A3111" s="6" t="s">
        <v>18</v>
      </c>
      <c r="B3111" s="7" t="s">
        <v>13</v>
      </c>
      <c r="C3111" s="7" t="s">
        <v>3834</v>
      </c>
      <c r="D3111" s="7">
        <v>-1.7819453999999999</v>
      </c>
      <c r="E3111" s="7">
        <v>-1.0689592999999999</v>
      </c>
      <c r="F3111" s="9" t="str">
        <f t="shared" si="14"/>
        <v>Direct</v>
      </c>
      <c r="G3111" s="7" t="s">
        <v>11</v>
      </c>
    </row>
    <row r="3112" spans="1:7" x14ac:dyDescent="0.2">
      <c r="A3112" s="6" t="s">
        <v>18</v>
      </c>
      <c r="B3112" s="7" t="s">
        <v>13</v>
      </c>
      <c r="C3112" s="7" t="s">
        <v>3835</v>
      </c>
      <c r="D3112" s="7">
        <v>2.1586436600000001</v>
      </c>
      <c r="E3112" s="7">
        <v>1.1185780999999999</v>
      </c>
      <c r="F3112" s="9" t="str">
        <f t="shared" si="14"/>
        <v>Direct</v>
      </c>
      <c r="G3112" s="7" t="s">
        <v>11</v>
      </c>
    </row>
    <row r="3113" spans="1:7" x14ac:dyDescent="0.2">
      <c r="A3113" s="6" t="s">
        <v>18</v>
      </c>
      <c r="B3113" s="7" t="s">
        <v>13</v>
      </c>
      <c r="C3113" s="7" t="s">
        <v>3067</v>
      </c>
      <c r="D3113" s="7">
        <v>1.1546903900000001</v>
      </c>
      <c r="E3113" s="7">
        <v>1.38883519</v>
      </c>
      <c r="F3113" s="9" t="str">
        <f t="shared" si="14"/>
        <v>Direct</v>
      </c>
      <c r="G3113" s="7" t="s">
        <v>3068</v>
      </c>
    </row>
    <row r="3114" spans="1:7" x14ac:dyDescent="0.2">
      <c r="A3114" s="6" t="s">
        <v>18</v>
      </c>
      <c r="B3114" s="7" t="s">
        <v>13</v>
      </c>
      <c r="C3114" s="7" t="s">
        <v>3069</v>
      </c>
      <c r="D3114" s="7">
        <v>-1.5365773</v>
      </c>
      <c r="E3114" s="7">
        <v>-2.1547635000000001</v>
      </c>
      <c r="F3114" s="9" t="str">
        <f t="shared" si="14"/>
        <v>Direct</v>
      </c>
      <c r="G3114" s="7" t="s">
        <v>11</v>
      </c>
    </row>
    <row r="3115" spans="1:7" x14ac:dyDescent="0.2">
      <c r="A3115" s="6" t="s">
        <v>18</v>
      </c>
      <c r="B3115" s="7" t="s">
        <v>13</v>
      </c>
      <c r="C3115" s="7" t="s">
        <v>3072</v>
      </c>
      <c r="D3115" s="7">
        <v>1.56429365</v>
      </c>
      <c r="E3115" s="7">
        <v>1.3392641300000001</v>
      </c>
      <c r="F3115" s="9" t="str">
        <f t="shared" si="14"/>
        <v>Direct</v>
      </c>
      <c r="G3115" s="7" t="s">
        <v>11</v>
      </c>
    </row>
    <row r="3116" spans="1:7" x14ac:dyDescent="0.2">
      <c r="A3116" s="6" t="s">
        <v>18</v>
      </c>
      <c r="B3116" s="7" t="s">
        <v>13</v>
      </c>
      <c r="C3116" s="7" t="s">
        <v>3836</v>
      </c>
      <c r="D3116" s="7">
        <v>-1.0229884</v>
      </c>
      <c r="E3116" s="7">
        <v>-1.8545954</v>
      </c>
      <c r="F3116" s="9" t="str">
        <f t="shared" si="14"/>
        <v>Direct</v>
      </c>
      <c r="G3116" s="7" t="s">
        <v>3837</v>
      </c>
    </row>
    <row r="3117" spans="1:7" x14ac:dyDescent="0.2">
      <c r="A3117" s="6" t="s">
        <v>18</v>
      </c>
      <c r="B3117" s="7" t="s">
        <v>13</v>
      </c>
      <c r="C3117" s="7" t="s">
        <v>3838</v>
      </c>
      <c r="D3117" s="7">
        <v>2.2878695200000001</v>
      </c>
      <c r="E3117" s="7">
        <v>1.0560448</v>
      </c>
      <c r="F3117" s="9" t="str">
        <f t="shared" si="14"/>
        <v>Direct</v>
      </c>
      <c r="G3117" s="7" t="s">
        <v>11</v>
      </c>
    </row>
    <row r="3118" spans="1:7" x14ac:dyDescent="0.2">
      <c r="A3118" s="6" t="s">
        <v>18</v>
      </c>
      <c r="B3118" s="7" t="s">
        <v>13</v>
      </c>
      <c r="C3118" s="7" t="s">
        <v>3839</v>
      </c>
      <c r="D3118" s="7">
        <v>-1.0916729000000001</v>
      </c>
      <c r="E3118" s="7">
        <v>-1.4911258000000001</v>
      </c>
      <c r="F3118" s="9" t="str">
        <f t="shared" si="14"/>
        <v>Direct</v>
      </c>
      <c r="G3118" s="7" t="s">
        <v>11</v>
      </c>
    </row>
    <row r="3119" spans="1:7" x14ac:dyDescent="0.2">
      <c r="A3119" s="6" t="s">
        <v>18</v>
      </c>
      <c r="B3119" s="7" t="s">
        <v>13</v>
      </c>
      <c r="C3119" s="7" t="s">
        <v>3840</v>
      </c>
      <c r="D3119" s="7">
        <v>-1.4858401999999999</v>
      </c>
      <c r="E3119" s="7">
        <v>-1.4491949</v>
      </c>
      <c r="F3119" s="9" t="str">
        <f t="shared" si="14"/>
        <v>Direct</v>
      </c>
      <c r="G3119" s="7" t="s">
        <v>11</v>
      </c>
    </row>
    <row r="3120" spans="1:7" x14ac:dyDescent="0.2">
      <c r="A3120" s="6" t="s">
        <v>18</v>
      </c>
      <c r="B3120" s="7" t="s">
        <v>13</v>
      </c>
      <c r="C3120" s="7" t="s">
        <v>3841</v>
      </c>
      <c r="D3120" s="7">
        <v>-1.0642668</v>
      </c>
      <c r="E3120" s="7">
        <v>-1.2994083000000001</v>
      </c>
      <c r="F3120" s="9" t="str">
        <f t="shared" si="14"/>
        <v>Direct</v>
      </c>
      <c r="G3120" s="7" t="s">
        <v>3523</v>
      </c>
    </row>
    <row r="3121" spans="1:7" x14ac:dyDescent="0.2">
      <c r="A3121" s="6" t="s">
        <v>18</v>
      </c>
      <c r="B3121" s="7" t="s">
        <v>13</v>
      </c>
      <c r="C3121" s="7" t="s">
        <v>3842</v>
      </c>
      <c r="D3121" s="7">
        <v>-2.6388919999999998</v>
      </c>
      <c r="E3121" s="7">
        <v>-3.4504665999999999</v>
      </c>
      <c r="F3121" s="9" t="str">
        <f t="shared" si="14"/>
        <v>Direct</v>
      </c>
      <c r="G3121" s="7" t="s">
        <v>11</v>
      </c>
    </row>
    <row r="3122" spans="1:7" x14ac:dyDescent="0.2">
      <c r="A3122" s="6" t="s">
        <v>18</v>
      </c>
      <c r="B3122" s="7" t="s">
        <v>13</v>
      </c>
      <c r="C3122" s="7" t="s">
        <v>3080</v>
      </c>
      <c r="D3122" s="7">
        <v>-3.0084312999999998</v>
      </c>
      <c r="E3122" s="7">
        <v>-1.0955326999999999</v>
      </c>
      <c r="F3122" s="9" t="str">
        <f t="shared" si="14"/>
        <v>Direct</v>
      </c>
      <c r="G3122" s="7" t="s">
        <v>1264</v>
      </c>
    </row>
    <row r="3123" spans="1:7" x14ac:dyDescent="0.2">
      <c r="A3123" s="6" t="s">
        <v>18</v>
      </c>
      <c r="B3123" s="7" t="s">
        <v>13</v>
      </c>
      <c r="C3123" s="7" t="s">
        <v>3843</v>
      </c>
      <c r="D3123" s="7">
        <v>-1.7332231</v>
      </c>
      <c r="E3123" s="7">
        <v>-1.5095358999999999</v>
      </c>
      <c r="F3123" s="9" t="str">
        <f t="shared" si="14"/>
        <v>Direct</v>
      </c>
      <c r="G3123" s="7" t="s">
        <v>11</v>
      </c>
    </row>
    <row r="3124" spans="1:7" x14ac:dyDescent="0.2">
      <c r="A3124" s="6" t="s">
        <v>18</v>
      </c>
      <c r="B3124" s="7" t="s">
        <v>13</v>
      </c>
      <c r="C3124" s="7" t="s">
        <v>3844</v>
      </c>
      <c r="D3124" s="7">
        <v>-1.4449392999999999</v>
      </c>
      <c r="E3124" s="7">
        <v>-1.3238451</v>
      </c>
      <c r="F3124" s="9" t="str">
        <f t="shared" si="14"/>
        <v>Direct</v>
      </c>
      <c r="G3124" s="7" t="s">
        <v>11</v>
      </c>
    </row>
    <row r="3125" spans="1:7" x14ac:dyDescent="0.2">
      <c r="A3125" s="6" t="s">
        <v>18</v>
      </c>
      <c r="B3125" s="7" t="s">
        <v>13</v>
      </c>
      <c r="C3125" s="7" t="s">
        <v>3845</v>
      </c>
      <c r="D3125" s="7">
        <v>1.12165933</v>
      </c>
      <c r="E3125" s="7">
        <v>1.0727973500000001</v>
      </c>
      <c r="F3125" s="9" t="str">
        <f t="shared" si="14"/>
        <v>Direct</v>
      </c>
      <c r="G3125" s="7" t="s">
        <v>3846</v>
      </c>
    </row>
    <row r="3126" spans="1:7" x14ac:dyDescent="0.2">
      <c r="A3126" s="6" t="s">
        <v>18</v>
      </c>
      <c r="B3126" s="7" t="s">
        <v>13</v>
      </c>
      <c r="C3126" s="7" t="s">
        <v>3847</v>
      </c>
      <c r="D3126" s="7">
        <v>-1.6050751999999999</v>
      </c>
      <c r="E3126" s="7">
        <v>-3.2340165000000001</v>
      </c>
      <c r="F3126" s="9" t="str">
        <f t="shared" si="14"/>
        <v>Direct</v>
      </c>
      <c r="G3126" s="7" t="s">
        <v>276</v>
      </c>
    </row>
    <row r="3127" spans="1:7" x14ac:dyDescent="0.2">
      <c r="A3127" s="6" t="s">
        <v>18</v>
      </c>
      <c r="B3127" s="7" t="s">
        <v>13</v>
      </c>
      <c r="C3127" s="7" t="s">
        <v>3848</v>
      </c>
      <c r="D3127" s="7">
        <v>-1.6153691999999999</v>
      </c>
      <c r="E3127" s="7">
        <v>-1.2650874999999999</v>
      </c>
      <c r="F3127" s="9" t="str">
        <f t="shared" si="14"/>
        <v>Direct</v>
      </c>
      <c r="G3127" s="7" t="s">
        <v>11</v>
      </c>
    </row>
    <row r="3128" spans="1:7" x14ac:dyDescent="0.2">
      <c r="A3128" s="6" t="s">
        <v>18</v>
      </c>
      <c r="B3128" s="7" t="s">
        <v>13</v>
      </c>
      <c r="C3128" s="7" t="s">
        <v>3849</v>
      </c>
      <c r="D3128" s="7">
        <v>-1.0654494999999999</v>
      </c>
      <c r="E3128" s="7">
        <v>-1.1040562</v>
      </c>
      <c r="F3128" s="9" t="str">
        <f t="shared" si="14"/>
        <v>Direct</v>
      </c>
      <c r="G3128" s="7" t="s">
        <v>977</v>
      </c>
    </row>
    <row r="3129" spans="1:7" x14ac:dyDescent="0.2">
      <c r="A3129" s="6" t="s">
        <v>18</v>
      </c>
      <c r="B3129" s="7" t="s">
        <v>13</v>
      </c>
      <c r="C3129" s="7" t="s">
        <v>3087</v>
      </c>
      <c r="D3129" s="7">
        <v>1.3305096300000001</v>
      </c>
      <c r="E3129" s="7">
        <v>3.2289921000000001</v>
      </c>
      <c r="F3129" s="9" t="str">
        <f t="shared" si="14"/>
        <v>Direct</v>
      </c>
      <c r="G3129" s="7" t="s">
        <v>11</v>
      </c>
    </row>
    <row r="3130" spans="1:7" x14ac:dyDescent="0.2">
      <c r="A3130" s="6" t="s">
        <v>18</v>
      </c>
      <c r="B3130" s="7" t="s">
        <v>13</v>
      </c>
      <c r="C3130" s="7" t="s">
        <v>3850</v>
      </c>
      <c r="D3130" s="7">
        <v>-1.1974278</v>
      </c>
      <c r="E3130" s="7">
        <v>-1.8570232</v>
      </c>
      <c r="F3130" s="9" t="str">
        <f t="shared" si="14"/>
        <v>Direct</v>
      </c>
      <c r="G3130" s="7" t="s">
        <v>3851</v>
      </c>
    </row>
    <row r="3131" spans="1:7" x14ac:dyDescent="0.2">
      <c r="A3131" s="6" t="s">
        <v>18</v>
      </c>
      <c r="B3131" s="7" t="s">
        <v>13</v>
      </c>
      <c r="C3131" s="7" t="s">
        <v>3852</v>
      </c>
      <c r="D3131" s="7">
        <v>-1.3054334000000001</v>
      </c>
      <c r="E3131" s="7">
        <v>-1.1659248</v>
      </c>
      <c r="F3131" s="9" t="str">
        <f t="shared" si="14"/>
        <v>Direct</v>
      </c>
      <c r="G3131" s="7" t="s">
        <v>3853</v>
      </c>
    </row>
    <row r="3132" spans="1:7" x14ac:dyDescent="0.2">
      <c r="A3132" s="6" t="s">
        <v>18</v>
      </c>
      <c r="B3132" s="7" t="s">
        <v>13</v>
      </c>
      <c r="C3132" s="7" t="s">
        <v>3854</v>
      </c>
      <c r="D3132" s="7">
        <v>-3.0432332</v>
      </c>
      <c r="E3132" s="7">
        <v>-1.2036251</v>
      </c>
      <c r="F3132" s="9" t="str">
        <f t="shared" si="14"/>
        <v>Direct</v>
      </c>
      <c r="G3132" s="7" t="s">
        <v>11</v>
      </c>
    </row>
    <row r="3133" spans="1:7" x14ac:dyDescent="0.2">
      <c r="A3133" s="6" t="s">
        <v>18</v>
      </c>
      <c r="B3133" s="7" t="s">
        <v>13</v>
      </c>
      <c r="C3133" s="7" t="s">
        <v>3855</v>
      </c>
      <c r="D3133" s="7">
        <v>-1.7365641999999999</v>
      </c>
      <c r="E3133" s="7">
        <v>-1.3913181999999999</v>
      </c>
      <c r="F3133" s="9" t="str">
        <f t="shared" si="14"/>
        <v>Direct</v>
      </c>
      <c r="G3133" s="7" t="s">
        <v>11</v>
      </c>
    </row>
    <row r="3134" spans="1:7" x14ac:dyDescent="0.2">
      <c r="A3134" s="6" t="s">
        <v>18</v>
      </c>
      <c r="B3134" s="7" t="s">
        <v>13</v>
      </c>
      <c r="C3134" s="7" t="s">
        <v>3856</v>
      </c>
      <c r="D3134" s="7">
        <v>1.2015780599999999</v>
      </c>
      <c r="E3134" s="7">
        <v>2.1008711500000001</v>
      </c>
      <c r="F3134" s="9" t="str">
        <f t="shared" si="14"/>
        <v>Direct</v>
      </c>
      <c r="G3134" s="7" t="s">
        <v>886</v>
      </c>
    </row>
    <row r="3135" spans="1:7" x14ac:dyDescent="0.2">
      <c r="A3135" s="6" t="s">
        <v>18</v>
      </c>
      <c r="B3135" s="7" t="s">
        <v>13</v>
      </c>
      <c r="C3135" s="7" t="s">
        <v>3857</v>
      </c>
      <c r="D3135" s="7">
        <v>1.1415033000000001</v>
      </c>
      <c r="E3135" s="7">
        <v>1.8912205499999999</v>
      </c>
      <c r="F3135" s="9" t="str">
        <f t="shared" si="14"/>
        <v>Direct</v>
      </c>
      <c r="G3135" s="7" t="s">
        <v>1366</v>
      </c>
    </row>
    <row r="3136" spans="1:7" x14ac:dyDescent="0.2">
      <c r="A3136" s="6" t="s">
        <v>18</v>
      </c>
      <c r="B3136" s="7" t="s">
        <v>13</v>
      </c>
      <c r="C3136" s="7" t="s">
        <v>3858</v>
      </c>
      <c r="D3136" s="7">
        <v>2.1016208999999999</v>
      </c>
      <c r="E3136" s="7">
        <v>2.4599678100000002</v>
      </c>
      <c r="F3136" s="9" t="str">
        <f t="shared" si="14"/>
        <v>Direct</v>
      </c>
      <c r="G3136" s="7" t="s">
        <v>886</v>
      </c>
    </row>
    <row r="3137" spans="1:7" x14ac:dyDescent="0.2">
      <c r="A3137" s="6" t="s">
        <v>18</v>
      </c>
      <c r="B3137" s="7" t="s">
        <v>13</v>
      </c>
      <c r="C3137" s="7" t="s">
        <v>3859</v>
      </c>
      <c r="D3137" s="7">
        <v>1.1232522300000001</v>
      </c>
      <c r="E3137" s="7">
        <v>2.2266810600000002</v>
      </c>
      <c r="F3137" s="9" t="str">
        <f t="shared" si="14"/>
        <v>Direct</v>
      </c>
      <c r="G3137" s="7" t="s">
        <v>11</v>
      </c>
    </row>
    <row r="3138" spans="1:7" x14ac:dyDescent="0.2">
      <c r="A3138" s="6" t="s">
        <v>18</v>
      </c>
      <c r="B3138" s="7" t="s">
        <v>13</v>
      </c>
      <c r="C3138" s="7" t="s">
        <v>3860</v>
      </c>
      <c r="D3138" s="7">
        <v>-1.8182233000000001</v>
      </c>
      <c r="E3138" s="7">
        <v>-1.0341597</v>
      </c>
      <c r="F3138" s="9" t="str">
        <f t="shared" si="14"/>
        <v>Direct</v>
      </c>
      <c r="G3138" s="7" t="s">
        <v>11</v>
      </c>
    </row>
    <row r="3139" spans="1:7" x14ac:dyDescent="0.2">
      <c r="A3139" s="6" t="s">
        <v>18</v>
      </c>
      <c r="B3139" s="7" t="s">
        <v>13</v>
      </c>
      <c r="C3139" s="7" t="s">
        <v>3861</v>
      </c>
      <c r="D3139" s="7">
        <v>-5.3906228</v>
      </c>
      <c r="E3139" s="7">
        <v>-1.0518953</v>
      </c>
      <c r="F3139" s="9" t="str">
        <f t="shared" si="14"/>
        <v>Direct</v>
      </c>
      <c r="G3139" s="7" t="s">
        <v>60</v>
      </c>
    </row>
    <row r="3140" spans="1:7" x14ac:dyDescent="0.2">
      <c r="A3140" s="6" t="s">
        <v>18</v>
      </c>
      <c r="B3140" s="7" t="s">
        <v>13</v>
      </c>
      <c r="C3140" s="7" t="s">
        <v>3862</v>
      </c>
      <c r="D3140" s="7">
        <v>-2.1447579999999999</v>
      </c>
      <c r="E3140" s="7">
        <v>-1.2462536</v>
      </c>
      <c r="F3140" s="9" t="str">
        <f t="shared" si="14"/>
        <v>Direct</v>
      </c>
      <c r="G3140" s="7" t="s">
        <v>3863</v>
      </c>
    </row>
    <row r="3141" spans="1:7" x14ac:dyDescent="0.2">
      <c r="A3141" s="6" t="s">
        <v>18</v>
      </c>
      <c r="B3141" s="7" t="s">
        <v>13</v>
      </c>
      <c r="C3141" s="7" t="s">
        <v>3864</v>
      </c>
      <c r="D3141" s="7">
        <v>-2.1715073</v>
      </c>
      <c r="E3141" s="7">
        <v>-1.0451195</v>
      </c>
      <c r="F3141" s="9" t="str">
        <f t="shared" si="14"/>
        <v>Direct</v>
      </c>
      <c r="G3141" s="7" t="s">
        <v>11</v>
      </c>
    </row>
    <row r="3142" spans="1:7" x14ac:dyDescent="0.2">
      <c r="A3142" s="6" t="s">
        <v>18</v>
      </c>
      <c r="B3142" s="7" t="s">
        <v>13</v>
      </c>
      <c r="C3142" s="7" t="s">
        <v>3865</v>
      </c>
      <c r="D3142" s="7">
        <v>-4.0307918999999997</v>
      </c>
      <c r="E3142" s="7">
        <v>-2.1415706999999999</v>
      </c>
      <c r="F3142" s="9" t="str">
        <f t="shared" si="14"/>
        <v>Direct</v>
      </c>
      <c r="G3142" s="7" t="s">
        <v>11</v>
      </c>
    </row>
    <row r="3143" spans="1:7" x14ac:dyDescent="0.2">
      <c r="A3143" s="6" t="s">
        <v>18</v>
      </c>
      <c r="B3143" s="7" t="s">
        <v>13</v>
      </c>
      <c r="C3143" s="7" t="s">
        <v>3866</v>
      </c>
      <c r="D3143" s="7">
        <v>1.36302642</v>
      </c>
      <c r="E3143" s="7">
        <v>1.7803366899999999</v>
      </c>
      <c r="F3143" s="9" t="str">
        <f t="shared" si="14"/>
        <v>Direct</v>
      </c>
      <c r="G3143" s="7" t="s">
        <v>11</v>
      </c>
    </row>
    <row r="3144" spans="1:7" x14ac:dyDescent="0.2">
      <c r="A3144" s="6" t="s">
        <v>18</v>
      </c>
      <c r="B3144" s="7" t="s">
        <v>13</v>
      </c>
      <c r="C3144" s="7" t="s">
        <v>3867</v>
      </c>
      <c r="D3144" s="7">
        <v>1.0170481499999999</v>
      </c>
      <c r="E3144" s="7">
        <v>2.6144861000000001</v>
      </c>
      <c r="F3144" s="9" t="str">
        <f t="shared" si="14"/>
        <v>Direct</v>
      </c>
      <c r="G3144" s="7" t="s">
        <v>11</v>
      </c>
    </row>
    <row r="3145" spans="1:7" x14ac:dyDescent="0.2">
      <c r="A3145" s="6" t="s">
        <v>18</v>
      </c>
      <c r="B3145" s="7" t="s">
        <v>13</v>
      </c>
      <c r="C3145" s="7" t="s">
        <v>3868</v>
      </c>
      <c r="D3145" s="7">
        <v>2.1273785200000002</v>
      </c>
      <c r="E3145" s="7">
        <v>2.3940001400000002</v>
      </c>
      <c r="F3145" s="9" t="str">
        <f t="shared" si="14"/>
        <v>Direct</v>
      </c>
      <c r="G3145" s="7" t="s">
        <v>11</v>
      </c>
    </row>
    <row r="3146" spans="1:7" x14ac:dyDescent="0.2">
      <c r="A3146" s="6" t="s">
        <v>18</v>
      </c>
      <c r="B3146" s="7" t="s">
        <v>13</v>
      </c>
      <c r="C3146" s="7" t="s">
        <v>3869</v>
      </c>
      <c r="D3146" s="7">
        <v>1.84894029</v>
      </c>
      <c r="E3146" s="7">
        <v>1.0419480800000001</v>
      </c>
      <c r="F3146" s="9" t="str">
        <f t="shared" si="14"/>
        <v>Direct</v>
      </c>
      <c r="G3146" s="7" t="s">
        <v>11</v>
      </c>
    </row>
    <row r="3147" spans="1:7" x14ac:dyDescent="0.2">
      <c r="A3147" s="6" t="s">
        <v>18</v>
      </c>
      <c r="B3147" s="7" t="s">
        <v>13</v>
      </c>
      <c r="C3147" s="7" t="s">
        <v>3123</v>
      </c>
      <c r="D3147" s="7">
        <v>-1.8858877999999999</v>
      </c>
      <c r="E3147" s="7">
        <v>-1.1905996999999999</v>
      </c>
      <c r="F3147" s="9" t="str">
        <f t="shared" si="14"/>
        <v>Direct</v>
      </c>
      <c r="G3147" s="7" t="s">
        <v>849</v>
      </c>
    </row>
    <row r="3148" spans="1:7" x14ac:dyDescent="0.2">
      <c r="A3148" s="6" t="s">
        <v>18</v>
      </c>
      <c r="B3148" s="7" t="s">
        <v>13</v>
      </c>
      <c r="C3148" s="7" t="s">
        <v>3870</v>
      </c>
      <c r="D3148" s="7">
        <v>-1.9223269999999999</v>
      </c>
      <c r="E3148" s="7">
        <v>-2.1052320999999998</v>
      </c>
      <c r="F3148" s="9" t="str">
        <f t="shared" si="14"/>
        <v>Direct</v>
      </c>
      <c r="G3148" s="7" t="s">
        <v>1998</v>
      </c>
    </row>
    <row r="3149" spans="1:7" x14ac:dyDescent="0.2">
      <c r="A3149" s="6" t="s">
        <v>18</v>
      </c>
      <c r="B3149" s="7" t="s">
        <v>13</v>
      </c>
      <c r="C3149" s="7" t="s">
        <v>3125</v>
      </c>
      <c r="D3149" s="7">
        <v>-4.2661148999999998</v>
      </c>
      <c r="E3149" s="7">
        <v>-3.4996323</v>
      </c>
      <c r="F3149" s="9" t="str">
        <f t="shared" si="14"/>
        <v>Direct</v>
      </c>
      <c r="G3149" s="7" t="s">
        <v>3126</v>
      </c>
    </row>
    <row r="3150" spans="1:7" x14ac:dyDescent="0.2">
      <c r="A3150" s="6" t="s">
        <v>18</v>
      </c>
      <c r="B3150" s="7" t="s">
        <v>13</v>
      </c>
      <c r="C3150" s="7" t="s">
        <v>3127</v>
      </c>
      <c r="D3150" s="7">
        <v>1.63075379</v>
      </c>
      <c r="E3150" s="7">
        <v>2.5489858700000001</v>
      </c>
      <c r="F3150" s="9" t="str">
        <f t="shared" si="14"/>
        <v>Direct</v>
      </c>
      <c r="G3150" s="7" t="s">
        <v>716</v>
      </c>
    </row>
    <row r="3151" spans="1:7" x14ac:dyDescent="0.2">
      <c r="A3151" s="6" t="s">
        <v>18</v>
      </c>
      <c r="B3151" s="7" t="s">
        <v>13</v>
      </c>
      <c r="C3151" s="7" t="s">
        <v>3128</v>
      </c>
      <c r="D3151" s="7">
        <v>-1.8744269</v>
      </c>
      <c r="E3151" s="7">
        <v>-5.0253829999999997</v>
      </c>
      <c r="F3151" s="9" t="str">
        <f t="shared" si="14"/>
        <v>Direct</v>
      </c>
      <c r="G3151" s="7" t="s">
        <v>716</v>
      </c>
    </row>
    <row r="3152" spans="1:7" x14ac:dyDescent="0.2">
      <c r="A3152" s="6" t="s">
        <v>18</v>
      </c>
      <c r="B3152" s="7" t="s">
        <v>13</v>
      </c>
      <c r="C3152" s="7" t="s">
        <v>3871</v>
      </c>
      <c r="D3152" s="7">
        <v>2.0971226000000001</v>
      </c>
      <c r="E3152" s="7">
        <v>2.14934951</v>
      </c>
      <c r="F3152" s="9" t="str">
        <f t="shared" si="14"/>
        <v>Direct</v>
      </c>
      <c r="G3152" s="7" t="s">
        <v>11</v>
      </c>
    </row>
    <row r="3153" spans="1:7" x14ac:dyDescent="0.2">
      <c r="A3153" s="6" t="s">
        <v>18</v>
      </c>
      <c r="B3153" s="7" t="s">
        <v>13</v>
      </c>
      <c r="C3153" s="7" t="s">
        <v>3872</v>
      </c>
      <c r="D3153" s="7">
        <v>-1.6448357</v>
      </c>
      <c r="E3153" s="7">
        <v>-1.2313152999999999</v>
      </c>
      <c r="F3153" s="9" t="str">
        <f t="shared" si="14"/>
        <v>Direct</v>
      </c>
      <c r="G3153" s="7" t="s">
        <v>11</v>
      </c>
    </row>
    <row r="3154" spans="1:7" x14ac:dyDescent="0.2">
      <c r="A3154" s="6" t="s">
        <v>18</v>
      </c>
      <c r="B3154" s="7" t="s">
        <v>13</v>
      </c>
      <c r="C3154" s="7" t="s">
        <v>3873</v>
      </c>
      <c r="D3154" s="7">
        <v>-1.8476478000000001</v>
      </c>
      <c r="E3154" s="7">
        <v>-1.1236774</v>
      </c>
      <c r="F3154" s="9" t="str">
        <f t="shared" si="14"/>
        <v>Direct</v>
      </c>
      <c r="G3154" s="7" t="s">
        <v>11</v>
      </c>
    </row>
    <row r="3155" spans="1:7" x14ac:dyDescent="0.2">
      <c r="A3155" s="6" t="s">
        <v>18</v>
      </c>
      <c r="B3155" s="7" t="s">
        <v>13</v>
      </c>
      <c r="C3155" s="7" t="s">
        <v>3135</v>
      </c>
      <c r="D3155" s="7">
        <v>1.8377660300000001</v>
      </c>
      <c r="E3155" s="7">
        <v>1.11656683</v>
      </c>
      <c r="F3155" s="9" t="str">
        <f t="shared" si="14"/>
        <v>Direct</v>
      </c>
      <c r="G3155" s="7" t="s">
        <v>3136</v>
      </c>
    </row>
    <row r="3156" spans="1:7" x14ac:dyDescent="0.2">
      <c r="A3156" s="6" t="s">
        <v>18</v>
      </c>
      <c r="B3156" s="7" t="s">
        <v>13</v>
      </c>
      <c r="C3156" s="7" t="s">
        <v>3874</v>
      </c>
      <c r="D3156" s="7">
        <v>-2.6324953</v>
      </c>
      <c r="E3156" s="7">
        <v>-2.1193165999999999</v>
      </c>
      <c r="F3156" s="9" t="str">
        <f t="shared" si="14"/>
        <v>Direct</v>
      </c>
      <c r="G3156" s="7" t="s">
        <v>3875</v>
      </c>
    </row>
    <row r="3157" spans="1:7" x14ac:dyDescent="0.2">
      <c r="A3157" s="6" t="s">
        <v>18</v>
      </c>
      <c r="B3157" s="7" t="s">
        <v>13</v>
      </c>
      <c r="C3157" s="7" t="s">
        <v>3876</v>
      </c>
      <c r="D3157" s="7">
        <v>-1.3609802</v>
      </c>
      <c r="E3157" s="7">
        <v>-3.7656746000000001</v>
      </c>
      <c r="F3157" s="9" t="str">
        <f t="shared" si="14"/>
        <v>Direct</v>
      </c>
      <c r="G3157" s="7" t="s">
        <v>11</v>
      </c>
    </row>
    <row r="3158" spans="1:7" x14ac:dyDescent="0.2">
      <c r="A3158" s="6" t="s">
        <v>18</v>
      </c>
      <c r="B3158" s="7" t="s">
        <v>13</v>
      </c>
      <c r="C3158" s="7" t="s">
        <v>3877</v>
      </c>
      <c r="D3158" s="7">
        <v>6.7587441699999999</v>
      </c>
      <c r="E3158" s="7">
        <v>7.9896267099999996</v>
      </c>
      <c r="F3158" s="9" t="str">
        <f t="shared" si="14"/>
        <v>Direct</v>
      </c>
      <c r="G3158" s="7" t="s">
        <v>11</v>
      </c>
    </row>
    <row r="3159" spans="1:7" x14ac:dyDescent="0.2">
      <c r="A3159" s="6" t="s">
        <v>18</v>
      </c>
      <c r="B3159" s="7" t="s">
        <v>13</v>
      </c>
      <c r="C3159" s="7" t="s">
        <v>3878</v>
      </c>
      <c r="D3159" s="7">
        <v>-1.5702223</v>
      </c>
      <c r="E3159" s="7">
        <v>-2.5771095000000002</v>
      </c>
      <c r="F3159" s="9" t="str">
        <f t="shared" si="14"/>
        <v>Direct</v>
      </c>
      <c r="G3159" s="7" t="s">
        <v>11</v>
      </c>
    </row>
    <row r="3160" spans="1:7" x14ac:dyDescent="0.2">
      <c r="A3160" s="6" t="s">
        <v>18</v>
      </c>
      <c r="B3160" s="7" t="s">
        <v>13</v>
      </c>
      <c r="C3160" s="7" t="s">
        <v>3879</v>
      </c>
      <c r="D3160" s="7">
        <v>-2.3138469000000002</v>
      </c>
      <c r="E3160" s="7">
        <v>-1.4630586000000001</v>
      </c>
      <c r="F3160" s="9" t="str">
        <f t="shared" si="14"/>
        <v>Direct</v>
      </c>
      <c r="G3160" s="7" t="s">
        <v>3880</v>
      </c>
    </row>
    <row r="3161" spans="1:7" x14ac:dyDescent="0.2">
      <c r="A3161" s="6" t="s">
        <v>18</v>
      </c>
      <c r="B3161" s="7" t="s">
        <v>13</v>
      </c>
      <c r="C3161" s="7" t="s">
        <v>3881</v>
      </c>
      <c r="D3161" s="7">
        <v>-1.5947047000000001</v>
      </c>
      <c r="E3161" s="7">
        <v>-1.7649870000000001</v>
      </c>
      <c r="F3161" s="9" t="str">
        <f t="shared" si="14"/>
        <v>Direct</v>
      </c>
      <c r="G3161" s="7" t="s">
        <v>11</v>
      </c>
    </row>
    <row r="3162" spans="1:7" x14ac:dyDescent="0.2">
      <c r="A3162" s="6" t="s">
        <v>18</v>
      </c>
      <c r="B3162" s="7" t="s">
        <v>13</v>
      </c>
      <c r="C3162" s="7" t="s">
        <v>3882</v>
      </c>
      <c r="D3162" s="7">
        <v>1.6584200600000001</v>
      </c>
      <c r="E3162" s="7">
        <v>2.30486974</v>
      </c>
      <c r="F3162" s="9" t="str">
        <f t="shared" si="14"/>
        <v>Direct</v>
      </c>
      <c r="G3162" s="7" t="s">
        <v>3883</v>
      </c>
    </row>
    <row r="3163" spans="1:7" x14ac:dyDescent="0.2">
      <c r="A3163" s="6" t="s">
        <v>18</v>
      </c>
      <c r="B3163" s="7" t="s">
        <v>13</v>
      </c>
      <c r="C3163" s="7" t="s">
        <v>3144</v>
      </c>
      <c r="D3163" s="7">
        <v>-1.0848627</v>
      </c>
      <c r="E3163" s="7">
        <v>-1.0116000000000001</v>
      </c>
      <c r="F3163" s="9" t="str">
        <f t="shared" si="14"/>
        <v>Direct</v>
      </c>
      <c r="G3163" s="7" t="s">
        <v>35</v>
      </c>
    </row>
    <row r="3164" spans="1:7" x14ac:dyDescent="0.2">
      <c r="A3164" s="6" t="s">
        <v>18</v>
      </c>
      <c r="B3164" s="7" t="s">
        <v>13</v>
      </c>
      <c r="C3164" s="7" t="s">
        <v>3884</v>
      </c>
      <c r="D3164" s="7">
        <v>3.1796078900000002</v>
      </c>
      <c r="E3164" s="7">
        <v>1.71173496</v>
      </c>
      <c r="F3164" s="9" t="str">
        <f t="shared" si="14"/>
        <v>Direct</v>
      </c>
      <c r="G3164" s="7" t="s">
        <v>11</v>
      </c>
    </row>
    <row r="3165" spans="1:7" x14ac:dyDescent="0.2">
      <c r="A3165" s="6" t="s">
        <v>18</v>
      </c>
      <c r="B3165" s="7" t="s">
        <v>13</v>
      </c>
      <c r="C3165" s="7" t="s">
        <v>3885</v>
      </c>
      <c r="D3165" s="7">
        <v>2.6724933499999999</v>
      </c>
      <c r="E3165" s="7">
        <v>2.6539570600000002</v>
      </c>
      <c r="F3165" s="9" t="str">
        <f t="shared" si="14"/>
        <v>Direct</v>
      </c>
      <c r="G3165" s="7" t="s">
        <v>3886</v>
      </c>
    </row>
    <row r="3166" spans="1:7" x14ac:dyDescent="0.2">
      <c r="A3166" s="6" t="s">
        <v>18</v>
      </c>
      <c r="B3166" s="7" t="s">
        <v>13</v>
      </c>
      <c r="C3166" s="7" t="s">
        <v>3887</v>
      </c>
      <c r="D3166" s="7">
        <v>-2.6853083999999998</v>
      </c>
      <c r="E3166" s="7">
        <v>-2.2770250999999999</v>
      </c>
      <c r="F3166" s="9" t="str">
        <f t="shared" si="14"/>
        <v>Direct</v>
      </c>
      <c r="G3166" s="7" t="s">
        <v>11</v>
      </c>
    </row>
    <row r="3167" spans="1:7" x14ac:dyDescent="0.2">
      <c r="A3167" s="6" t="s">
        <v>18</v>
      </c>
      <c r="B3167" s="7" t="s">
        <v>13</v>
      </c>
      <c r="C3167" s="7" t="s">
        <v>3159</v>
      </c>
      <c r="D3167" s="7">
        <v>3.8255452700000001</v>
      </c>
      <c r="E3167" s="7">
        <v>1.5450933899999999</v>
      </c>
      <c r="F3167" s="9" t="str">
        <f t="shared" si="14"/>
        <v>Direct</v>
      </c>
      <c r="G3167" s="7" t="s">
        <v>11</v>
      </c>
    </row>
    <row r="3168" spans="1:7" x14ac:dyDescent="0.2">
      <c r="A3168" s="6" t="s">
        <v>18</v>
      </c>
      <c r="B3168" s="7" t="s">
        <v>13</v>
      </c>
      <c r="C3168" s="7" t="s">
        <v>3160</v>
      </c>
      <c r="D3168" s="7">
        <v>6.7502709000000003</v>
      </c>
      <c r="E3168" s="7">
        <v>2.3893243200000001</v>
      </c>
      <c r="F3168" s="9" t="str">
        <f t="shared" si="14"/>
        <v>Direct</v>
      </c>
      <c r="G3168" s="7" t="s">
        <v>11</v>
      </c>
    </row>
    <row r="3169" spans="1:7" x14ac:dyDescent="0.2">
      <c r="A3169" s="6" t="s">
        <v>18</v>
      </c>
      <c r="B3169" s="7" t="s">
        <v>13</v>
      </c>
      <c r="C3169" s="7" t="s">
        <v>3888</v>
      </c>
      <c r="D3169" s="7">
        <v>-2.9521299999999999</v>
      </c>
      <c r="E3169" s="7">
        <v>-1.0689592999999999</v>
      </c>
      <c r="F3169" s="9" t="str">
        <f t="shared" si="14"/>
        <v>Direct</v>
      </c>
      <c r="G3169" s="7" t="s">
        <v>11</v>
      </c>
    </row>
    <row r="3170" spans="1:7" x14ac:dyDescent="0.2">
      <c r="A3170" s="6" t="s">
        <v>18</v>
      </c>
      <c r="B3170" s="7" t="s">
        <v>13</v>
      </c>
      <c r="C3170" s="7" t="s">
        <v>3889</v>
      </c>
      <c r="D3170" s="7">
        <v>1.29912201</v>
      </c>
      <c r="E3170" s="7">
        <v>1.24186427</v>
      </c>
      <c r="F3170" s="9" t="str">
        <f t="shared" si="14"/>
        <v>Direct</v>
      </c>
      <c r="G3170" s="7" t="s">
        <v>2612</v>
      </c>
    </row>
    <row r="3171" spans="1:7" x14ac:dyDescent="0.2">
      <c r="A3171" s="6" t="s">
        <v>18</v>
      </c>
      <c r="B3171" s="7" t="s">
        <v>13</v>
      </c>
      <c r="C3171" s="7" t="s">
        <v>3890</v>
      </c>
      <c r="D3171" s="7">
        <v>-2.6388919999999998</v>
      </c>
      <c r="E3171" s="7">
        <v>-1.5360510999999999</v>
      </c>
      <c r="F3171" s="9" t="str">
        <f t="shared" si="14"/>
        <v>Direct</v>
      </c>
      <c r="G3171" s="7" t="s">
        <v>3891</v>
      </c>
    </row>
    <row r="3172" spans="1:7" x14ac:dyDescent="0.2">
      <c r="A3172" s="6" t="s">
        <v>18</v>
      </c>
      <c r="B3172" s="7" t="s">
        <v>13</v>
      </c>
      <c r="C3172" s="7" t="s">
        <v>3167</v>
      </c>
      <c r="D3172" s="7">
        <v>1.83940287</v>
      </c>
      <c r="E3172" s="7">
        <v>2.1008711500000001</v>
      </c>
      <c r="F3172" s="9" t="str">
        <f t="shared" si="14"/>
        <v>Direct</v>
      </c>
      <c r="G3172" s="7" t="s">
        <v>1697</v>
      </c>
    </row>
    <row r="3173" spans="1:7" x14ac:dyDescent="0.2">
      <c r="A3173" s="6" t="s">
        <v>18</v>
      </c>
      <c r="B3173" s="7" t="s">
        <v>13</v>
      </c>
      <c r="C3173" s="7" t="s">
        <v>3892</v>
      </c>
      <c r="D3173" s="7">
        <v>2.39456501</v>
      </c>
      <c r="E3173" s="7">
        <v>2.5960956300000002</v>
      </c>
      <c r="F3173" s="9" t="str">
        <f t="shared" si="14"/>
        <v>Direct</v>
      </c>
      <c r="G3173" s="7" t="s">
        <v>1697</v>
      </c>
    </row>
    <row r="3174" spans="1:7" x14ac:dyDescent="0.2">
      <c r="A3174" s="6" t="s">
        <v>18</v>
      </c>
      <c r="B3174" s="7" t="s">
        <v>13</v>
      </c>
      <c r="C3174" s="7" t="s">
        <v>3893</v>
      </c>
      <c r="D3174" s="7">
        <v>2.7172516600000001</v>
      </c>
      <c r="E3174" s="7">
        <v>1.71039498</v>
      </c>
      <c r="F3174" s="9" t="str">
        <f t="shared" si="14"/>
        <v>Direct</v>
      </c>
      <c r="G3174" s="7" t="s">
        <v>11</v>
      </c>
    </row>
    <row r="3175" spans="1:7" x14ac:dyDescent="0.2">
      <c r="A3175" s="6" t="s">
        <v>18</v>
      </c>
      <c r="B3175" s="7" t="s">
        <v>13</v>
      </c>
      <c r="C3175" s="7" t="s">
        <v>3894</v>
      </c>
      <c r="D3175" s="7">
        <v>-1.5500712000000001</v>
      </c>
      <c r="E3175" s="7">
        <v>-1.9724704</v>
      </c>
      <c r="F3175" s="9" t="str">
        <f t="shared" si="14"/>
        <v>Direct</v>
      </c>
      <c r="G3175" s="7" t="s">
        <v>11</v>
      </c>
    </row>
    <row r="3176" spans="1:7" x14ac:dyDescent="0.2">
      <c r="A3176" s="6" t="s">
        <v>18</v>
      </c>
      <c r="B3176" s="7" t="s">
        <v>13</v>
      </c>
      <c r="C3176" s="7" t="s">
        <v>3895</v>
      </c>
      <c r="D3176" s="7">
        <v>1.4963111600000001</v>
      </c>
      <c r="E3176" s="7">
        <v>1.76498701</v>
      </c>
      <c r="F3176" s="9" t="str">
        <f t="shared" si="14"/>
        <v>Direct</v>
      </c>
      <c r="G3176" s="7" t="s">
        <v>11</v>
      </c>
    </row>
    <row r="3177" spans="1:7" x14ac:dyDescent="0.2">
      <c r="A3177" s="6" t="s">
        <v>18</v>
      </c>
      <c r="B3177" s="7" t="s">
        <v>13</v>
      </c>
      <c r="C3177" s="7" t="s">
        <v>3896</v>
      </c>
      <c r="D3177" s="7">
        <v>-2.5808694999999999</v>
      </c>
      <c r="E3177" s="7">
        <v>-1.6533582</v>
      </c>
      <c r="F3177" s="9" t="str">
        <f t="shared" si="14"/>
        <v>Direct</v>
      </c>
      <c r="G3177" s="7" t="s">
        <v>3897</v>
      </c>
    </row>
    <row r="3178" spans="1:7" x14ac:dyDescent="0.2">
      <c r="A3178" s="6" t="s">
        <v>18</v>
      </c>
      <c r="B3178" s="7" t="s">
        <v>13</v>
      </c>
      <c r="C3178" s="7" t="s">
        <v>3898</v>
      </c>
      <c r="D3178" s="7">
        <v>-1.2848835000000001</v>
      </c>
      <c r="E3178" s="7">
        <v>-2.0273888000000002</v>
      </c>
      <c r="F3178" s="9" t="str">
        <f t="shared" si="14"/>
        <v>Direct</v>
      </c>
      <c r="G3178" s="7" t="s">
        <v>11</v>
      </c>
    </row>
    <row r="3179" spans="1:7" x14ac:dyDescent="0.2">
      <c r="A3179" s="6" t="s">
        <v>18</v>
      </c>
      <c r="B3179" s="7" t="s">
        <v>13</v>
      </c>
      <c r="C3179" s="7" t="s">
        <v>3899</v>
      </c>
      <c r="D3179" s="7">
        <v>1.0441544199999999</v>
      </c>
      <c r="E3179" s="7">
        <v>1.68336843</v>
      </c>
      <c r="F3179" s="9" t="str">
        <f t="shared" si="14"/>
        <v>Direct</v>
      </c>
      <c r="G3179" s="7" t="s">
        <v>2116</v>
      </c>
    </row>
    <row r="3180" spans="1:7" x14ac:dyDescent="0.2">
      <c r="A3180" s="6" t="s">
        <v>18</v>
      </c>
      <c r="B3180" s="7" t="s">
        <v>13</v>
      </c>
      <c r="C3180" s="7" t="s">
        <v>3900</v>
      </c>
      <c r="D3180" s="7">
        <v>-1.5050656</v>
      </c>
      <c r="E3180" s="7">
        <v>-1.4807047</v>
      </c>
      <c r="F3180" s="9" t="str">
        <f t="shared" si="14"/>
        <v>Direct</v>
      </c>
      <c r="G3180" s="7" t="s">
        <v>11</v>
      </c>
    </row>
    <row r="3181" spans="1:7" x14ac:dyDescent="0.2">
      <c r="A3181" s="6" t="s">
        <v>18</v>
      </c>
      <c r="B3181" s="7" t="s">
        <v>13</v>
      </c>
      <c r="C3181" s="7" t="s">
        <v>3901</v>
      </c>
      <c r="D3181" s="7">
        <v>-2.3547587000000001</v>
      </c>
      <c r="E3181" s="7">
        <v>-1.2876327000000001</v>
      </c>
      <c r="F3181" s="9" t="str">
        <f t="shared" si="14"/>
        <v>Direct</v>
      </c>
      <c r="G3181" s="7" t="s">
        <v>11</v>
      </c>
    </row>
    <row r="3182" spans="1:7" x14ac:dyDescent="0.2">
      <c r="A3182" s="6" t="s">
        <v>18</v>
      </c>
      <c r="B3182" s="7" t="s">
        <v>13</v>
      </c>
      <c r="C3182" s="7" t="s">
        <v>3902</v>
      </c>
      <c r="D3182" s="7">
        <v>1.65798281</v>
      </c>
      <c r="E3182" s="7">
        <v>1.31668936</v>
      </c>
      <c r="F3182" s="9" t="str">
        <f t="shared" si="14"/>
        <v>Direct</v>
      </c>
      <c r="G3182" s="7" t="s">
        <v>3903</v>
      </c>
    </row>
    <row r="3183" spans="1:7" x14ac:dyDescent="0.2">
      <c r="A3183" s="6" t="s">
        <v>18</v>
      </c>
      <c r="B3183" s="7" t="s">
        <v>13</v>
      </c>
      <c r="C3183" s="7" t="s">
        <v>3904</v>
      </c>
      <c r="D3183" s="7">
        <v>-2.4854478000000002</v>
      </c>
      <c r="E3183" s="7">
        <v>-4.3765445999999999</v>
      </c>
      <c r="F3183" s="9" t="str">
        <f t="shared" si="14"/>
        <v>Direct</v>
      </c>
      <c r="G3183" s="7" t="s">
        <v>11</v>
      </c>
    </row>
    <row r="3184" spans="1:7" x14ac:dyDescent="0.2">
      <c r="A3184" s="6" t="s">
        <v>18</v>
      </c>
      <c r="B3184" s="7" t="s">
        <v>13</v>
      </c>
      <c r="C3184" s="7" t="s">
        <v>3905</v>
      </c>
      <c r="D3184" s="7">
        <v>-6.9416717999999999</v>
      </c>
      <c r="E3184" s="7">
        <v>-1.6965066</v>
      </c>
      <c r="F3184" s="9" t="str">
        <f t="shared" si="14"/>
        <v>Direct</v>
      </c>
      <c r="G3184" s="7" t="s">
        <v>11</v>
      </c>
    </row>
    <row r="3185" spans="1:7" x14ac:dyDescent="0.2">
      <c r="A3185" s="6" t="s">
        <v>18</v>
      </c>
      <c r="B3185" s="7" t="s">
        <v>13</v>
      </c>
      <c r="C3185" s="7" t="s">
        <v>3182</v>
      </c>
      <c r="D3185" s="7">
        <v>-3.8287984000000002</v>
      </c>
      <c r="E3185" s="7">
        <v>-3.0828652000000001</v>
      </c>
      <c r="F3185" s="9" t="str">
        <f t="shared" si="14"/>
        <v>Direct</v>
      </c>
      <c r="G3185" s="7" t="s">
        <v>11</v>
      </c>
    </row>
    <row r="3186" spans="1:7" x14ac:dyDescent="0.2">
      <c r="A3186" s="6" t="s">
        <v>18</v>
      </c>
      <c r="B3186" s="7" t="s">
        <v>13</v>
      </c>
      <c r="C3186" s="7" t="s">
        <v>3183</v>
      </c>
      <c r="D3186" s="7">
        <v>-13.671151</v>
      </c>
      <c r="E3186" s="7">
        <v>-5.8839084000000001</v>
      </c>
      <c r="F3186" s="9" t="str">
        <f t="shared" si="14"/>
        <v>Direct</v>
      </c>
      <c r="G3186" s="7" t="s">
        <v>11</v>
      </c>
    </row>
    <row r="3187" spans="1:7" x14ac:dyDescent="0.2">
      <c r="A3187" s="6" t="s">
        <v>18</v>
      </c>
      <c r="B3187" s="7" t="s">
        <v>13</v>
      </c>
      <c r="C3187" s="7" t="s">
        <v>3906</v>
      </c>
      <c r="D3187" s="7">
        <v>-8.4983898999999994</v>
      </c>
      <c r="E3187" s="7">
        <v>-1.0419480999999999</v>
      </c>
      <c r="F3187" s="9" t="str">
        <f t="shared" si="14"/>
        <v>Direct</v>
      </c>
      <c r="G3187" s="7" t="s">
        <v>11</v>
      </c>
    </row>
    <row r="3188" spans="1:7" x14ac:dyDescent="0.2">
      <c r="A3188" s="6" t="s">
        <v>18</v>
      </c>
      <c r="B3188" s="7" t="s">
        <v>13</v>
      </c>
      <c r="C3188" s="7" t="s">
        <v>3907</v>
      </c>
      <c r="D3188" s="7">
        <v>-2.8016165000000002</v>
      </c>
      <c r="E3188" s="7">
        <v>-3.3250350000000002</v>
      </c>
      <c r="F3188" s="9" t="str">
        <f t="shared" si="14"/>
        <v>Direct</v>
      </c>
      <c r="G3188" s="7" t="s">
        <v>106</v>
      </c>
    </row>
    <row r="3189" spans="1:7" x14ac:dyDescent="0.2">
      <c r="A3189" s="6" t="s">
        <v>18</v>
      </c>
      <c r="B3189" s="7" t="s">
        <v>13</v>
      </c>
      <c r="C3189" s="7" t="s">
        <v>3908</v>
      </c>
      <c r="D3189" s="7">
        <v>-1.2465754</v>
      </c>
      <c r="E3189" s="7">
        <v>-1.0172041000000001</v>
      </c>
      <c r="F3189" s="9" t="str">
        <f t="shared" si="14"/>
        <v>Direct</v>
      </c>
      <c r="G3189" s="7" t="s">
        <v>1450</v>
      </c>
    </row>
    <row r="3190" spans="1:7" x14ac:dyDescent="0.2">
      <c r="A3190" s="6" t="s">
        <v>18</v>
      </c>
      <c r="B3190" s="7" t="s">
        <v>13</v>
      </c>
      <c r="C3190" s="7" t="s">
        <v>3909</v>
      </c>
      <c r="D3190" s="7">
        <v>4.3480567600000004</v>
      </c>
      <c r="E3190" s="7">
        <v>5.7716294799999996</v>
      </c>
      <c r="F3190" s="9" t="str">
        <f t="shared" si="14"/>
        <v>Direct</v>
      </c>
      <c r="G3190" s="7" t="s">
        <v>11</v>
      </c>
    </row>
    <row r="3191" spans="1:7" x14ac:dyDescent="0.2">
      <c r="A3191" s="6" t="s">
        <v>18</v>
      </c>
      <c r="B3191" s="7" t="s">
        <v>13</v>
      </c>
      <c r="C3191" s="7" t="s">
        <v>3910</v>
      </c>
      <c r="D3191" s="7">
        <v>1.1119628500000001</v>
      </c>
      <c r="E3191" s="7">
        <v>1.3471936799999999</v>
      </c>
      <c r="F3191" s="9" t="str">
        <f t="shared" si="14"/>
        <v>Direct</v>
      </c>
      <c r="G3191" s="7" t="s">
        <v>3911</v>
      </c>
    </row>
    <row r="3192" spans="1:7" x14ac:dyDescent="0.2">
      <c r="A3192" s="6" t="s">
        <v>18</v>
      </c>
      <c r="B3192" s="7" t="s">
        <v>13</v>
      </c>
      <c r="C3192" s="7" t="s">
        <v>3187</v>
      </c>
      <c r="D3192" s="7">
        <v>2.9557985499999999</v>
      </c>
      <c r="E3192" s="7">
        <v>4.2092644400000001</v>
      </c>
      <c r="F3192" s="9" t="str">
        <f t="shared" si="14"/>
        <v>Direct</v>
      </c>
      <c r="G3192" s="7" t="s">
        <v>11</v>
      </c>
    </row>
    <row r="3193" spans="1:7" x14ac:dyDescent="0.2">
      <c r="A3193" s="6" t="s">
        <v>18</v>
      </c>
      <c r="B3193" s="7" t="s">
        <v>13</v>
      </c>
      <c r="C3193" s="7" t="s">
        <v>3912</v>
      </c>
      <c r="D3193" s="7">
        <v>1.2984213899999999</v>
      </c>
      <c r="E3193" s="7">
        <v>1.13164493</v>
      </c>
      <c r="F3193" s="9" t="str">
        <f t="shared" si="14"/>
        <v>Direct</v>
      </c>
      <c r="G3193" s="7" t="s">
        <v>3913</v>
      </c>
    </row>
    <row r="3194" spans="1:7" x14ac:dyDescent="0.2">
      <c r="A3194" s="6" t="s">
        <v>18</v>
      </c>
      <c r="B3194" s="7" t="s">
        <v>13</v>
      </c>
      <c r="C3194" s="7" t="s">
        <v>3914</v>
      </c>
      <c r="D3194" s="7">
        <v>2.10844553</v>
      </c>
      <c r="E3194" s="7">
        <v>1.8664249399999999</v>
      </c>
      <c r="F3194" s="9" t="str">
        <f t="shared" si="14"/>
        <v>Direct</v>
      </c>
      <c r="G3194" s="7" t="s">
        <v>11</v>
      </c>
    </row>
    <row r="3195" spans="1:7" x14ac:dyDescent="0.2">
      <c r="A3195" s="6" t="s">
        <v>18</v>
      </c>
      <c r="B3195" s="7" t="s">
        <v>13</v>
      </c>
      <c r="C3195" s="7" t="s">
        <v>3915</v>
      </c>
      <c r="D3195" s="7">
        <v>-1.7816086</v>
      </c>
      <c r="E3195" s="7">
        <v>-2.4908163000000001</v>
      </c>
      <c r="F3195" s="9" t="str">
        <f t="shared" si="14"/>
        <v>Direct</v>
      </c>
      <c r="G3195" s="7" t="s">
        <v>1639</v>
      </c>
    </row>
    <row r="3196" spans="1:7" x14ac:dyDescent="0.2">
      <c r="A3196" s="6" t="s">
        <v>18</v>
      </c>
      <c r="B3196" s="7" t="s">
        <v>13</v>
      </c>
      <c r="C3196" s="7" t="s">
        <v>3916</v>
      </c>
      <c r="D3196" s="7">
        <v>1.7439715899999999</v>
      </c>
      <c r="E3196" s="7">
        <v>3.3417067199999999</v>
      </c>
      <c r="F3196" s="9" t="str">
        <f t="shared" si="14"/>
        <v>Direct</v>
      </c>
      <c r="G3196" s="7" t="s">
        <v>11</v>
      </c>
    </row>
    <row r="3197" spans="1:7" x14ac:dyDescent="0.2">
      <c r="A3197" s="6" t="s">
        <v>18</v>
      </c>
      <c r="B3197" s="7" t="s">
        <v>13</v>
      </c>
      <c r="C3197" s="7" t="s">
        <v>3917</v>
      </c>
      <c r="D3197" s="7">
        <v>1.34778077</v>
      </c>
      <c r="E3197" s="7">
        <v>2.2364124699999999</v>
      </c>
      <c r="F3197" s="9" t="str">
        <f t="shared" si="14"/>
        <v>Direct</v>
      </c>
      <c r="G3197" s="7" t="s">
        <v>3918</v>
      </c>
    </row>
    <row r="3198" spans="1:7" x14ac:dyDescent="0.2">
      <c r="A3198" s="6" t="s">
        <v>18</v>
      </c>
      <c r="B3198" s="7" t="s">
        <v>13</v>
      </c>
      <c r="C3198" s="7" t="s">
        <v>3919</v>
      </c>
      <c r="D3198" s="7">
        <v>-1.0564937000000001</v>
      </c>
      <c r="E3198" s="7">
        <v>-3.8621547999999999</v>
      </c>
      <c r="F3198" s="9" t="str">
        <f t="shared" si="14"/>
        <v>Direct</v>
      </c>
      <c r="G3198" s="7" t="s">
        <v>3920</v>
      </c>
    </row>
    <row r="3199" spans="1:7" x14ac:dyDescent="0.2">
      <c r="A3199" s="6" t="s">
        <v>18</v>
      </c>
      <c r="B3199" s="7" t="s">
        <v>13</v>
      </c>
      <c r="C3199" s="7" t="s">
        <v>3921</v>
      </c>
      <c r="D3199" s="7">
        <v>2.05642601</v>
      </c>
      <c r="E3199" s="7">
        <v>2.9775102200000001</v>
      </c>
      <c r="F3199" s="9" t="str">
        <f t="shared" si="14"/>
        <v>Direct</v>
      </c>
      <c r="G3199" s="7" t="s">
        <v>3922</v>
      </c>
    </row>
    <row r="3200" spans="1:7" x14ac:dyDescent="0.2">
      <c r="A3200" s="6" t="s">
        <v>18</v>
      </c>
      <c r="B3200" s="7" t="s">
        <v>13</v>
      </c>
      <c r="C3200" s="7" t="s">
        <v>3923</v>
      </c>
      <c r="D3200" s="7">
        <v>-1.5615576</v>
      </c>
      <c r="E3200" s="7">
        <v>-1.0389059</v>
      </c>
      <c r="F3200" s="9" t="str">
        <f t="shared" si="14"/>
        <v>Direct</v>
      </c>
      <c r="G3200" s="7" t="s">
        <v>11</v>
      </c>
    </row>
    <row r="3201" spans="1:7" x14ac:dyDescent="0.2">
      <c r="A3201" s="6" t="s">
        <v>18</v>
      </c>
      <c r="B3201" s="7" t="s">
        <v>13</v>
      </c>
      <c r="C3201" s="7" t="s">
        <v>3924</v>
      </c>
      <c r="D3201" s="7">
        <v>2.6850122399999998</v>
      </c>
      <c r="E3201" s="7">
        <v>1.05475206</v>
      </c>
      <c r="F3201" s="9" t="str">
        <f t="shared" si="14"/>
        <v>Direct</v>
      </c>
      <c r="G3201" s="7" t="s">
        <v>712</v>
      </c>
    </row>
    <row r="3202" spans="1:7" x14ac:dyDescent="0.2">
      <c r="A3202" s="6" t="s">
        <v>18</v>
      </c>
      <c r="B3202" s="7" t="s">
        <v>13</v>
      </c>
      <c r="C3202" s="7" t="s">
        <v>3925</v>
      </c>
      <c r="D3202" s="7">
        <v>3.8287984399999999</v>
      </c>
      <c r="E3202" s="7">
        <v>1.3370242400000001</v>
      </c>
      <c r="F3202" s="9" t="str">
        <f t="shared" si="14"/>
        <v>Direct</v>
      </c>
      <c r="G3202" s="7" t="s">
        <v>11</v>
      </c>
    </row>
    <row r="3203" spans="1:7" x14ac:dyDescent="0.2">
      <c r="A3203" s="6" t="s">
        <v>18</v>
      </c>
      <c r="B3203" s="7" t="s">
        <v>13</v>
      </c>
      <c r="C3203" s="7" t="s">
        <v>3212</v>
      </c>
      <c r="D3203" s="7">
        <v>-1.012305</v>
      </c>
      <c r="E3203" s="7">
        <v>-1.1361315999999999</v>
      </c>
      <c r="F3203" s="9" t="str">
        <f t="shared" si="14"/>
        <v>Direct</v>
      </c>
      <c r="G3203" s="7" t="s">
        <v>3213</v>
      </c>
    </row>
    <row r="3204" spans="1:7" x14ac:dyDescent="0.2">
      <c r="A3204" s="6" t="s">
        <v>18</v>
      </c>
      <c r="B3204" s="7" t="s">
        <v>13</v>
      </c>
      <c r="C3204" s="7" t="s">
        <v>3926</v>
      </c>
      <c r="D3204" s="7">
        <v>1.4282864500000001</v>
      </c>
      <c r="E3204" s="7">
        <v>1.00911061</v>
      </c>
      <c r="F3204" s="9" t="str">
        <f t="shared" si="14"/>
        <v>Direct</v>
      </c>
      <c r="G3204" s="7" t="s">
        <v>2754</v>
      </c>
    </row>
    <row r="3205" spans="1:7" x14ac:dyDescent="0.2">
      <c r="A3205" s="6" t="s">
        <v>18</v>
      </c>
      <c r="B3205" s="7" t="s">
        <v>13</v>
      </c>
      <c r="C3205" s="7" t="s">
        <v>3927</v>
      </c>
      <c r="D3205" s="7">
        <v>1.2928650699999999</v>
      </c>
      <c r="E3205" s="7">
        <v>2.0575047899999999</v>
      </c>
      <c r="F3205" s="9" t="str">
        <f t="shared" si="14"/>
        <v>Direct</v>
      </c>
      <c r="G3205" s="7" t="s">
        <v>248</v>
      </c>
    </row>
    <row r="3206" spans="1:7" x14ac:dyDescent="0.2">
      <c r="A3206" s="6" t="s">
        <v>18</v>
      </c>
      <c r="B3206" s="7" t="s">
        <v>13</v>
      </c>
      <c r="C3206" s="7" t="s">
        <v>3928</v>
      </c>
      <c r="D3206" s="7">
        <v>1.86990872</v>
      </c>
      <c r="E3206" s="7">
        <v>1.2349543599999999</v>
      </c>
      <c r="F3206" s="9" t="str">
        <f t="shared" si="14"/>
        <v>Direct</v>
      </c>
      <c r="G3206" s="7" t="s">
        <v>11</v>
      </c>
    </row>
    <row r="3207" spans="1:7" x14ac:dyDescent="0.2">
      <c r="A3207" s="6" t="s">
        <v>18</v>
      </c>
      <c r="B3207" s="7" t="s">
        <v>13</v>
      </c>
      <c r="C3207" s="7" t="s">
        <v>3929</v>
      </c>
      <c r="D3207" s="7">
        <v>1.74781841</v>
      </c>
      <c r="E3207" s="7">
        <v>2.0309231699999999</v>
      </c>
      <c r="F3207" s="9" t="str">
        <f t="shared" si="14"/>
        <v>Direct</v>
      </c>
      <c r="G3207" s="7" t="s">
        <v>886</v>
      </c>
    </row>
    <row r="3208" spans="1:7" x14ac:dyDescent="0.2">
      <c r="A3208" s="6" t="s">
        <v>18</v>
      </c>
      <c r="B3208" s="7" t="s">
        <v>13</v>
      </c>
      <c r="C3208" s="7" t="s">
        <v>3930</v>
      </c>
      <c r="D3208" s="7">
        <v>-1.4034310000000001</v>
      </c>
      <c r="E3208" s="7">
        <v>-1.1864524999999999</v>
      </c>
      <c r="F3208" s="9" t="str">
        <f t="shared" si="14"/>
        <v>Direct</v>
      </c>
      <c r="G3208" s="7" t="s">
        <v>432</v>
      </c>
    </row>
    <row r="3209" spans="1:7" x14ac:dyDescent="0.2">
      <c r="A3209" s="6" t="s">
        <v>18</v>
      </c>
      <c r="B3209" s="7" t="s">
        <v>13</v>
      </c>
      <c r="C3209" s="7" t="s">
        <v>3931</v>
      </c>
      <c r="D3209" s="7">
        <v>2.6136091800000001</v>
      </c>
      <c r="E3209" s="7">
        <v>1.5403380099999999</v>
      </c>
      <c r="F3209" s="9" t="str">
        <f t="shared" si="14"/>
        <v>Direct</v>
      </c>
      <c r="G3209" s="7" t="s">
        <v>693</v>
      </c>
    </row>
    <row r="3210" spans="1:7" x14ac:dyDescent="0.2">
      <c r="A3210" s="6" t="s">
        <v>18</v>
      </c>
      <c r="B3210" s="7" t="s">
        <v>13</v>
      </c>
      <c r="C3210" s="7" t="s">
        <v>3237</v>
      </c>
      <c r="D3210" s="7">
        <v>4.6854698800000003</v>
      </c>
      <c r="E3210" s="7">
        <v>3.0342593500000001</v>
      </c>
      <c r="F3210" s="9" t="str">
        <f t="shared" si="14"/>
        <v>Direct</v>
      </c>
      <c r="G3210" s="7" t="s">
        <v>693</v>
      </c>
    </row>
    <row r="3211" spans="1:7" x14ac:dyDescent="0.2">
      <c r="A3211" s="6" t="s">
        <v>18</v>
      </c>
      <c r="B3211" s="7" t="s">
        <v>13</v>
      </c>
      <c r="C3211" s="7" t="s">
        <v>3238</v>
      </c>
      <c r="D3211" s="7">
        <v>5.0736422499999998</v>
      </c>
      <c r="E3211" s="7">
        <v>3.0247344900000002</v>
      </c>
      <c r="F3211" s="9" t="str">
        <f t="shared" si="14"/>
        <v>Direct</v>
      </c>
      <c r="G3211" s="7" t="s">
        <v>712</v>
      </c>
    </row>
    <row r="3212" spans="1:7" x14ac:dyDescent="0.2">
      <c r="A3212" s="6" t="s">
        <v>18</v>
      </c>
      <c r="B3212" s="7" t="s">
        <v>13</v>
      </c>
      <c r="C3212" s="7" t="s">
        <v>3239</v>
      </c>
      <c r="D3212" s="7">
        <v>-1.6660944</v>
      </c>
      <c r="E3212" s="7">
        <v>-1.3442168000000001</v>
      </c>
      <c r="F3212" s="9" t="str">
        <f t="shared" si="14"/>
        <v>Direct</v>
      </c>
      <c r="G3212" s="7" t="s">
        <v>712</v>
      </c>
    </row>
    <row r="3213" spans="1:7" x14ac:dyDescent="0.2">
      <c r="A3213" s="6" t="s">
        <v>18</v>
      </c>
      <c r="B3213" s="7" t="s">
        <v>13</v>
      </c>
      <c r="C3213" s="7" t="s">
        <v>3240</v>
      </c>
      <c r="D3213" s="7">
        <v>5.0171870700000003</v>
      </c>
      <c r="E3213" s="7">
        <v>5.26881091</v>
      </c>
      <c r="F3213" s="9" t="str">
        <f t="shared" si="14"/>
        <v>Direct</v>
      </c>
      <c r="G3213" s="7" t="s">
        <v>712</v>
      </c>
    </row>
    <row r="3214" spans="1:7" x14ac:dyDescent="0.2">
      <c r="A3214" s="6" t="s">
        <v>18</v>
      </c>
      <c r="B3214" s="7" t="s">
        <v>13</v>
      </c>
      <c r="C3214" s="7" t="s">
        <v>3932</v>
      </c>
      <c r="D3214" s="7">
        <v>2.2048866899999999</v>
      </c>
      <c r="E3214" s="7">
        <v>1.0184279899999999</v>
      </c>
      <c r="F3214" s="9" t="str">
        <f t="shared" si="14"/>
        <v>Direct</v>
      </c>
      <c r="G3214" s="7" t="s">
        <v>3933</v>
      </c>
    </row>
    <row r="3215" spans="1:7" x14ac:dyDescent="0.2">
      <c r="A3215" s="6" t="s">
        <v>18</v>
      </c>
      <c r="B3215" s="7" t="s">
        <v>13</v>
      </c>
      <c r="C3215" s="7" t="s">
        <v>3934</v>
      </c>
      <c r="D3215" s="7">
        <v>1.8858878100000001</v>
      </c>
      <c r="E3215" s="7">
        <v>1.08091716</v>
      </c>
      <c r="F3215" s="9" t="str">
        <f t="shared" si="14"/>
        <v>Direct</v>
      </c>
      <c r="G3215" s="7" t="s">
        <v>3935</v>
      </c>
    </row>
    <row r="3216" spans="1:7" x14ac:dyDescent="0.2">
      <c r="A3216" s="6" t="s">
        <v>18</v>
      </c>
      <c r="B3216" s="7" t="s">
        <v>13</v>
      </c>
      <c r="C3216" s="7" t="s">
        <v>3936</v>
      </c>
      <c r="D3216" s="7">
        <v>2.4879759300000002</v>
      </c>
      <c r="E3216" s="7">
        <v>2.7017340399999998</v>
      </c>
      <c r="F3216" s="9" t="str">
        <f t="shared" si="14"/>
        <v>Direct</v>
      </c>
      <c r="G3216" s="7" t="s">
        <v>3937</v>
      </c>
    </row>
    <row r="3217" spans="1:7" x14ac:dyDescent="0.2">
      <c r="A3217" s="6" t="s">
        <v>18</v>
      </c>
      <c r="B3217" s="7" t="s">
        <v>13</v>
      </c>
      <c r="C3217" s="7" t="s">
        <v>3938</v>
      </c>
      <c r="D3217" s="7">
        <v>1.0614421599999999</v>
      </c>
      <c r="E3217" s="7">
        <v>1.9218667199999999</v>
      </c>
      <c r="F3217" s="9" t="str">
        <f t="shared" si="14"/>
        <v>Direct</v>
      </c>
      <c r="G3217" s="7" t="s">
        <v>812</v>
      </c>
    </row>
    <row r="3218" spans="1:7" x14ac:dyDescent="0.2">
      <c r="A3218" s="6" t="s">
        <v>18</v>
      </c>
      <c r="B3218" s="7" t="s">
        <v>13</v>
      </c>
      <c r="C3218" s="7" t="s">
        <v>3939</v>
      </c>
      <c r="D3218" s="7">
        <v>1.3068862800000001</v>
      </c>
      <c r="E3218" s="7">
        <v>2.2432676699999998</v>
      </c>
      <c r="F3218" s="9" t="str">
        <f t="shared" si="14"/>
        <v>Direct</v>
      </c>
      <c r="G3218" s="7" t="s">
        <v>3940</v>
      </c>
    </row>
    <row r="3219" spans="1:7" x14ac:dyDescent="0.2">
      <c r="A3219" s="6" t="s">
        <v>18</v>
      </c>
      <c r="B3219" s="7" t="s">
        <v>13</v>
      </c>
      <c r="C3219" s="7" t="s">
        <v>3941</v>
      </c>
      <c r="D3219" s="7">
        <v>-1.8748762000000001</v>
      </c>
      <c r="E3219" s="7">
        <v>-1.5025029999999999</v>
      </c>
      <c r="F3219" s="9" t="str">
        <f t="shared" si="14"/>
        <v>Direct</v>
      </c>
      <c r="G3219" s="7" t="s">
        <v>11</v>
      </c>
    </row>
    <row r="3220" spans="1:7" x14ac:dyDescent="0.2">
      <c r="A3220" s="6" t="s">
        <v>18</v>
      </c>
      <c r="B3220" s="7" t="s">
        <v>13</v>
      </c>
      <c r="C3220" s="7" t="s">
        <v>3942</v>
      </c>
      <c r="D3220" s="7">
        <v>-1.5657715999999999</v>
      </c>
      <c r="E3220" s="7">
        <v>-3.2196281999999998</v>
      </c>
      <c r="F3220" s="9" t="str">
        <f t="shared" si="14"/>
        <v>Direct</v>
      </c>
      <c r="G3220" s="7" t="s">
        <v>11</v>
      </c>
    </row>
    <row r="3221" spans="1:7" x14ac:dyDescent="0.2">
      <c r="A3221" s="6" t="s">
        <v>18</v>
      </c>
      <c r="B3221" s="7" t="s">
        <v>13</v>
      </c>
      <c r="C3221" s="7" t="s">
        <v>3260</v>
      </c>
      <c r="D3221" s="7">
        <v>-1.2267163000000001</v>
      </c>
      <c r="E3221" s="7">
        <v>-1.5223435999999999</v>
      </c>
      <c r="F3221" s="9" t="str">
        <f t="shared" si="14"/>
        <v>Direct</v>
      </c>
      <c r="G3221" s="7" t="s">
        <v>11</v>
      </c>
    </row>
    <row r="3222" spans="1:7" x14ac:dyDescent="0.2">
      <c r="A3222" s="6" t="s">
        <v>18</v>
      </c>
      <c r="B3222" s="7" t="s">
        <v>13</v>
      </c>
      <c r="C3222" s="7" t="s">
        <v>3261</v>
      </c>
      <c r="D3222" s="7">
        <v>-3.3407632999999999</v>
      </c>
      <c r="E3222" s="7">
        <v>-1.2998505</v>
      </c>
      <c r="F3222" s="9" t="str">
        <f t="shared" si="14"/>
        <v>Direct</v>
      </c>
      <c r="G3222" s="7" t="s">
        <v>11</v>
      </c>
    </row>
    <row r="3223" spans="1:7" x14ac:dyDescent="0.2">
      <c r="A3223" s="6" t="s">
        <v>18</v>
      </c>
      <c r="B3223" s="7" t="s">
        <v>13</v>
      </c>
      <c r="C3223" s="7" t="s">
        <v>3263</v>
      </c>
      <c r="D3223" s="7">
        <v>-4.0521178000000004</v>
      </c>
      <c r="E3223" s="7">
        <v>-3.9264863000000001</v>
      </c>
      <c r="F3223" s="9" t="str">
        <f t="shared" si="14"/>
        <v>Direct</v>
      </c>
      <c r="G3223" s="7" t="s">
        <v>11</v>
      </c>
    </row>
    <row r="3224" spans="1:7" x14ac:dyDescent="0.2">
      <c r="A3224" s="6" t="s">
        <v>18</v>
      </c>
      <c r="B3224" s="7" t="s">
        <v>13</v>
      </c>
      <c r="C3224" s="7" t="s">
        <v>3943</v>
      </c>
      <c r="D3224" s="7">
        <v>1.06223198</v>
      </c>
      <c r="E3224" s="7">
        <v>1.02458899</v>
      </c>
      <c r="F3224" s="9" t="str">
        <f t="shared" si="14"/>
        <v>Direct</v>
      </c>
      <c r="G3224" s="7" t="s">
        <v>11</v>
      </c>
    </row>
    <row r="3225" spans="1:7" x14ac:dyDescent="0.2">
      <c r="A3225" s="6" t="s">
        <v>18</v>
      </c>
      <c r="B3225" s="7" t="s">
        <v>13</v>
      </c>
      <c r="C3225" s="7" t="s">
        <v>3944</v>
      </c>
      <c r="D3225" s="7">
        <v>-1.8329001</v>
      </c>
      <c r="E3225" s="7">
        <v>-1.0360224</v>
      </c>
      <c r="F3225" s="9" t="str">
        <f t="shared" si="14"/>
        <v>Direct</v>
      </c>
      <c r="G3225" s="7" t="s">
        <v>11</v>
      </c>
    </row>
    <row r="3226" spans="1:7" x14ac:dyDescent="0.2">
      <c r="A3226" s="6" t="s">
        <v>18</v>
      </c>
      <c r="B3226" s="7" t="s">
        <v>13</v>
      </c>
      <c r="C3226" s="7" t="s">
        <v>3945</v>
      </c>
      <c r="D3226" s="7">
        <v>2.75330019</v>
      </c>
      <c r="E3226" s="7">
        <v>1.27664709</v>
      </c>
      <c r="F3226" s="9" t="str">
        <f t="shared" si="14"/>
        <v>Direct</v>
      </c>
      <c r="G3226" s="7" t="s">
        <v>200</v>
      </c>
    </row>
    <row r="3227" spans="1:7" x14ac:dyDescent="0.2">
      <c r="A3227" s="6" t="s">
        <v>18</v>
      </c>
      <c r="B3227" s="7" t="s">
        <v>13</v>
      </c>
      <c r="C3227" s="7" t="s">
        <v>3946</v>
      </c>
      <c r="D3227" s="7">
        <v>-4.6854699000000002</v>
      </c>
      <c r="E3227" s="7">
        <v>-1.3125791</v>
      </c>
      <c r="F3227" s="9" t="str">
        <f t="shared" si="14"/>
        <v>Direct</v>
      </c>
      <c r="G3227" s="7" t="s">
        <v>2360</v>
      </c>
    </row>
    <row r="3228" spans="1:7" x14ac:dyDescent="0.2">
      <c r="A3228" s="6" t="s">
        <v>18</v>
      </c>
      <c r="B3228" s="7" t="s">
        <v>13</v>
      </c>
      <c r="C3228" s="7" t="s">
        <v>3947</v>
      </c>
      <c r="D3228" s="7">
        <v>1.3261333099999999</v>
      </c>
      <c r="E3228" s="7">
        <v>5.2695716499999996</v>
      </c>
      <c r="F3228" s="9" t="str">
        <f t="shared" si="14"/>
        <v>Direct</v>
      </c>
      <c r="G3228" s="7" t="s">
        <v>3948</v>
      </c>
    </row>
    <row r="3229" spans="1:7" x14ac:dyDescent="0.2">
      <c r="A3229" s="6" t="s">
        <v>18</v>
      </c>
      <c r="B3229" s="7" t="s">
        <v>13</v>
      </c>
      <c r="C3229" s="7" t="s">
        <v>3949</v>
      </c>
      <c r="D3229" s="7">
        <v>-1.2143022000000001</v>
      </c>
      <c r="E3229" s="7">
        <v>-1.8841509000000001</v>
      </c>
      <c r="F3229" s="9" t="str">
        <f t="shared" si="14"/>
        <v>Direct</v>
      </c>
      <c r="G3229" s="7" t="s">
        <v>11</v>
      </c>
    </row>
    <row r="3230" spans="1:7" x14ac:dyDescent="0.2">
      <c r="A3230" s="6" t="s">
        <v>18</v>
      </c>
      <c r="B3230" s="7" t="s">
        <v>13</v>
      </c>
      <c r="C3230" s="7" t="s">
        <v>3950</v>
      </c>
      <c r="D3230" s="7">
        <v>-4.5179583000000001</v>
      </c>
      <c r="E3230" s="7">
        <v>-3.9647157000000002</v>
      </c>
      <c r="F3230" s="9" t="str">
        <f t="shared" si="14"/>
        <v>Direct</v>
      </c>
      <c r="G3230" s="7" t="s">
        <v>11</v>
      </c>
    </row>
    <row r="3231" spans="1:7" x14ac:dyDescent="0.2">
      <c r="A3231" s="6" t="s">
        <v>18</v>
      </c>
      <c r="B3231" s="7" t="s">
        <v>13</v>
      </c>
      <c r="C3231" s="7" t="s">
        <v>3951</v>
      </c>
      <c r="D3231" s="7">
        <v>-1.1293827000000001</v>
      </c>
      <c r="E3231" s="7">
        <v>-1.4181885999999999</v>
      </c>
      <c r="F3231" s="9" t="str">
        <f t="shared" si="14"/>
        <v>Direct</v>
      </c>
      <c r="G3231" s="7" t="s">
        <v>11</v>
      </c>
    </row>
    <row r="3232" spans="1:7" x14ac:dyDescent="0.2">
      <c r="A3232" s="6" t="s">
        <v>18</v>
      </c>
      <c r="B3232" s="7" t="s">
        <v>13</v>
      </c>
      <c r="C3232" s="7" t="s">
        <v>3275</v>
      </c>
      <c r="D3232" s="7">
        <v>2.922841</v>
      </c>
      <c r="E3232" s="7">
        <v>2.09232738</v>
      </c>
      <c r="F3232" s="9" t="str">
        <f t="shared" si="14"/>
        <v>Direct</v>
      </c>
      <c r="G3232" s="7" t="s">
        <v>886</v>
      </c>
    </row>
    <row r="3233" spans="1:7" x14ac:dyDescent="0.2">
      <c r="A3233" s="6" t="s">
        <v>18</v>
      </c>
      <c r="B3233" s="7" t="s">
        <v>13</v>
      </c>
      <c r="C3233" s="7" t="s">
        <v>3952</v>
      </c>
      <c r="D3233" s="7">
        <v>1.59808631</v>
      </c>
      <c r="E3233" s="7">
        <v>4.1645286800000001</v>
      </c>
      <c r="F3233" s="9" t="str">
        <f t="shared" si="14"/>
        <v>Direct</v>
      </c>
      <c r="G3233" s="7" t="s">
        <v>11</v>
      </c>
    </row>
    <row r="3234" spans="1:7" x14ac:dyDescent="0.2">
      <c r="A3234" s="6" t="s">
        <v>18</v>
      </c>
      <c r="B3234" s="7" t="s">
        <v>13</v>
      </c>
      <c r="C3234" s="7" t="s">
        <v>3953</v>
      </c>
      <c r="D3234" s="7">
        <v>3.1044535</v>
      </c>
      <c r="E3234" s="7">
        <v>1.9908514100000001</v>
      </c>
      <c r="F3234" s="9" t="str">
        <f t="shared" si="14"/>
        <v>Direct</v>
      </c>
      <c r="G3234" s="7" t="s">
        <v>3133</v>
      </c>
    </row>
    <row r="3235" spans="1:7" x14ac:dyDescent="0.2">
      <c r="A3235" s="6" t="s">
        <v>18</v>
      </c>
      <c r="B3235" s="7" t="s">
        <v>13</v>
      </c>
      <c r="C3235" s="7" t="s">
        <v>3954</v>
      </c>
      <c r="D3235" s="7">
        <v>1.3211595700000001</v>
      </c>
      <c r="E3235" s="7">
        <v>1.3273633899999999</v>
      </c>
      <c r="F3235" s="9" t="str">
        <f t="shared" si="14"/>
        <v>Direct</v>
      </c>
      <c r="G3235" s="7" t="s">
        <v>3955</v>
      </c>
    </row>
    <row r="3236" spans="1:7" x14ac:dyDescent="0.2">
      <c r="A3236" s="6" t="s">
        <v>18</v>
      </c>
      <c r="B3236" s="7" t="s">
        <v>13</v>
      </c>
      <c r="C3236" s="7" t="s">
        <v>3956</v>
      </c>
      <c r="D3236" s="7">
        <v>-1.1608746000000001</v>
      </c>
      <c r="E3236" s="7">
        <v>-1.6222877</v>
      </c>
      <c r="F3236" s="9" t="str">
        <f t="shared" si="14"/>
        <v>Direct</v>
      </c>
      <c r="G3236" s="7" t="s">
        <v>11</v>
      </c>
    </row>
    <row r="3237" spans="1:7" x14ac:dyDescent="0.2">
      <c r="A3237" s="6" t="s">
        <v>18</v>
      </c>
      <c r="B3237" s="7" t="s">
        <v>13</v>
      </c>
      <c r="C3237" s="7" t="s">
        <v>3957</v>
      </c>
      <c r="D3237" s="7">
        <v>1.5365772900000001</v>
      </c>
      <c r="E3237" s="7">
        <v>2.0200916699999998</v>
      </c>
      <c r="F3237" s="9" t="str">
        <f t="shared" si="14"/>
        <v>Direct</v>
      </c>
      <c r="G3237" s="7" t="s">
        <v>1894</v>
      </c>
    </row>
    <row r="3238" spans="1:7" x14ac:dyDescent="0.2">
      <c r="A3238" s="6" t="s">
        <v>18</v>
      </c>
      <c r="B3238" s="7" t="s">
        <v>13</v>
      </c>
      <c r="C3238" s="7" t="s">
        <v>3958</v>
      </c>
      <c r="D3238" s="7">
        <v>7.4421316600000003</v>
      </c>
      <c r="E3238" s="7">
        <v>4.2625781299999996</v>
      </c>
      <c r="F3238" s="9" t="str">
        <f t="shared" si="14"/>
        <v>Direct</v>
      </c>
      <c r="G3238" s="7" t="s">
        <v>11</v>
      </c>
    </row>
    <row r="3239" spans="1:7" x14ac:dyDescent="0.2">
      <c r="A3239" s="6" t="s">
        <v>18</v>
      </c>
      <c r="B3239" s="7" t="s">
        <v>13</v>
      </c>
      <c r="C3239" s="7" t="s">
        <v>3959</v>
      </c>
      <c r="D3239" s="7">
        <v>4.8887710100000001</v>
      </c>
      <c r="E3239" s="7">
        <v>1.9935205499999999</v>
      </c>
      <c r="F3239" s="9" t="str">
        <f t="shared" si="14"/>
        <v>Direct</v>
      </c>
      <c r="G3239" s="7" t="s">
        <v>11</v>
      </c>
    </row>
    <row r="3240" spans="1:7" x14ac:dyDescent="0.2">
      <c r="A3240" s="6" t="s">
        <v>18</v>
      </c>
      <c r="B3240" s="7" t="s">
        <v>13</v>
      </c>
      <c r="C3240" s="7" t="s">
        <v>3960</v>
      </c>
      <c r="D3240" s="7">
        <v>-2.7945831000000001</v>
      </c>
      <c r="E3240" s="7">
        <v>-2.6703592999999999</v>
      </c>
      <c r="F3240" s="9" t="str">
        <f t="shared" si="14"/>
        <v>Direct</v>
      </c>
      <c r="G3240" s="7" t="s">
        <v>3961</v>
      </c>
    </row>
    <row r="3241" spans="1:7" x14ac:dyDescent="0.2">
      <c r="A3241" s="6" t="s">
        <v>18</v>
      </c>
      <c r="B3241" s="7" t="s">
        <v>13</v>
      </c>
      <c r="C3241" s="7" t="s">
        <v>3962</v>
      </c>
      <c r="D3241" s="7">
        <v>-1.3299112</v>
      </c>
      <c r="E3241" s="7">
        <v>-3.3250350000000002</v>
      </c>
      <c r="F3241" s="9" t="str">
        <f t="shared" si="14"/>
        <v>Direct</v>
      </c>
      <c r="G3241" s="7" t="s">
        <v>3136</v>
      </c>
    </row>
    <row r="3242" spans="1:7" x14ac:dyDescent="0.2">
      <c r="A3242" s="6" t="s">
        <v>18</v>
      </c>
      <c r="B3242" s="7" t="s">
        <v>13</v>
      </c>
      <c r="C3242" s="7" t="s">
        <v>3963</v>
      </c>
      <c r="D3242" s="7">
        <v>-1.7720278</v>
      </c>
      <c r="E3242" s="7">
        <v>-1.7133791</v>
      </c>
      <c r="F3242" s="9" t="str">
        <f t="shared" si="14"/>
        <v>Direct</v>
      </c>
      <c r="G3242" s="7" t="s">
        <v>3964</v>
      </c>
    </row>
    <row r="3243" spans="1:7" x14ac:dyDescent="0.2">
      <c r="A3243" s="6" t="s">
        <v>18</v>
      </c>
      <c r="B3243" s="7" t="s">
        <v>13</v>
      </c>
      <c r="C3243" s="7" t="s">
        <v>3965</v>
      </c>
      <c r="D3243" s="7">
        <v>1.496264</v>
      </c>
      <c r="E3243" s="7">
        <v>1.24220218</v>
      </c>
      <c r="F3243" s="9" t="str">
        <f t="shared" si="14"/>
        <v>Direct</v>
      </c>
      <c r="G3243" s="7" t="s">
        <v>11</v>
      </c>
    </row>
    <row r="3244" spans="1:7" x14ac:dyDescent="0.2">
      <c r="A3244" s="6" t="s">
        <v>18</v>
      </c>
      <c r="B3244" s="7" t="s">
        <v>13</v>
      </c>
      <c r="C3244" s="7" t="s">
        <v>3966</v>
      </c>
      <c r="D3244" s="7">
        <v>1.22671631</v>
      </c>
      <c r="E3244" s="7">
        <v>1.35865569</v>
      </c>
      <c r="F3244" s="9" t="str">
        <f t="shared" si="14"/>
        <v>Direct</v>
      </c>
      <c r="G3244" s="7" t="s">
        <v>11</v>
      </c>
    </row>
    <row r="3245" spans="1:7" x14ac:dyDescent="0.2">
      <c r="A3245" s="6" t="s">
        <v>18</v>
      </c>
      <c r="B3245" s="7" t="s">
        <v>13</v>
      </c>
      <c r="C3245" s="7" t="s">
        <v>3967</v>
      </c>
      <c r="D3245" s="7">
        <v>1.13058817</v>
      </c>
      <c r="E3245" s="7">
        <v>1.01973259</v>
      </c>
      <c r="F3245" s="9" t="str">
        <f t="shared" si="14"/>
        <v>Direct</v>
      </c>
      <c r="G3245" s="7" t="s">
        <v>11</v>
      </c>
    </row>
    <row r="3246" spans="1:7" x14ac:dyDescent="0.2">
      <c r="A3246" s="6" t="s">
        <v>18</v>
      </c>
      <c r="B3246" s="7" t="s">
        <v>13</v>
      </c>
      <c r="C3246" s="7" t="s">
        <v>3968</v>
      </c>
      <c r="D3246" s="7">
        <v>1.60578033</v>
      </c>
      <c r="E3246" s="7">
        <v>2.3940679899999999</v>
      </c>
      <c r="F3246" s="9" t="str">
        <f t="shared" si="14"/>
        <v>Direct</v>
      </c>
      <c r="G3246" s="7" t="s">
        <v>11</v>
      </c>
    </row>
    <row r="3247" spans="1:7" x14ac:dyDescent="0.2">
      <c r="A3247" s="6" t="s">
        <v>18</v>
      </c>
      <c r="B3247" s="7" t="s">
        <v>13</v>
      </c>
      <c r="C3247" s="7" t="s">
        <v>3969</v>
      </c>
      <c r="D3247" s="7">
        <v>-1.1141642</v>
      </c>
      <c r="E3247" s="7">
        <v>-2.2432677000000001</v>
      </c>
      <c r="F3247" s="9" t="str">
        <f t="shared" si="14"/>
        <v>Direct</v>
      </c>
      <c r="G3247" s="7" t="s">
        <v>3970</v>
      </c>
    </row>
    <row r="3248" spans="1:7" x14ac:dyDescent="0.2">
      <c r="A3248" s="6" t="s">
        <v>18</v>
      </c>
      <c r="B3248" s="7" t="s">
        <v>13</v>
      </c>
      <c r="C3248" s="7" t="s">
        <v>3971</v>
      </c>
      <c r="D3248" s="7">
        <v>-2.1559528000000001</v>
      </c>
      <c r="E3248" s="7">
        <v>-7.2555237000000004</v>
      </c>
      <c r="F3248" s="9" t="str">
        <f t="shared" si="14"/>
        <v>Direct</v>
      </c>
      <c r="G3248" s="7" t="s">
        <v>3972</v>
      </c>
    </row>
    <row r="3249" spans="1:7" x14ac:dyDescent="0.2">
      <c r="A3249" s="6" t="s">
        <v>18</v>
      </c>
      <c r="B3249" s="7" t="s">
        <v>13</v>
      </c>
      <c r="C3249" s="7" t="s">
        <v>3973</v>
      </c>
      <c r="D3249" s="7">
        <v>-3.8955456000000002</v>
      </c>
      <c r="E3249" s="7">
        <v>-1.4695583999999999</v>
      </c>
      <c r="F3249" s="9" t="str">
        <f t="shared" si="14"/>
        <v>Direct</v>
      </c>
      <c r="G3249" s="7" t="s">
        <v>11</v>
      </c>
    </row>
    <row r="3250" spans="1:7" x14ac:dyDescent="0.2">
      <c r="A3250" s="6" t="s">
        <v>18</v>
      </c>
      <c r="B3250" s="7" t="s">
        <v>13</v>
      </c>
      <c r="C3250" s="7" t="s">
        <v>3974</v>
      </c>
      <c r="D3250" s="7">
        <v>7.3230401499999997</v>
      </c>
      <c r="E3250" s="7">
        <v>2.8900690899999999</v>
      </c>
      <c r="F3250" s="9" t="str">
        <f t="shared" si="14"/>
        <v>Direct</v>
      </c>
      <c r="G3250" s="7" t="s">
        <v>11</v>
      </c>
    </row>
    <row r="3251" spans="1:7" x14ac:dyDescent="0.2">
      <c r="A3251" s="6" t="s">
        <v>18</v>
      </c>
      <c r="B3251" s="7" t="s">
        <v>13</v>
      </c>
      <c r="C3251" s="7" t="s">
        <v>3975</v>
      </c>
      <c r="D3251" s="7">
        <v>-2.9169025999999998</v>
      </c>
      <c r="E3251" s="7">
        <v>-1.7691011999999999</v>
      </c>
      <c r="F3251" s="9" t="str">
        <f t="shared" si="14"/>
        <v>Direct</v>
      </c>
      <c r="G3251" s="7" t="s">
        <v>1406</v>
      </c>
    </row>
    <row r="3252" spans="1:7" x14ac:dyDescent="0.2">
      <c r="A3252" s="6" t="s">
        <v>18</v>
      </c>
      <c r="B3252" s="7" t="s">
        <v>13</v>
      </c>
      <c r="C3252" s="7" t="s">
        <v>3976</v>
      </c>
      <c r="D3252" s="7">
        <v>2.2548065899999998</v>
      </c>
      <c r="E3252" s="7">
        <v>1.64532243</v>
      </c>
      <c r="F3252" s="9" t="str">
        <f t="shared" si="14"/>
        <v>Direct</v>
      </c>
      <c r="G3252" s="7" t="s">
        <v>11</v>
      </c>
    </row>
    <row r="3253" spans="1:7" x14ac:dyDescent="0.2">
      <c r="A3253" s="6" t="s">
        <v>18</v>
      </c>
      <c r="B3253" s="7" t="s">
        <v>13</v>
      </c>
      <c r="C3253" s="7" t="s">
        <v>3977</v>
      </c>
      <c r="D3253" s="7">
        <v>-1.3292550999999999</v>
      </c>
      <c r="E3253" s="7">
        <v>-1.4281261999999999</v>
      </c>
      <c r="F3253" s="9" t="str">
        <f t="shared" si="14"/>
        <v>Direct</v>
      </c>
      <c r="G3253" s="7" t="s">
        <v>1894</v>
      </c>
    </row>
    <row r="3254" spans="1:7" x14ac:dyDescent="0.2">
      <c r="A3254" s="6" t="s">
        <v>18</v>
      </c>
      <c r="B3254" s="7" t="s">
        <v>13</v>
      </c>
      <c r="C3254" s="7" t="s">
        <v>3978</v>
      </c>
      <c r="D3254" s="7">
        <v>1.25628483</v>
      </c>
      <c r="E3254" s="7">
        <v>1.20362879</v>
      </c>
      <c r="F3254" s="9" t="str">
        <f t="shared" si="14"/>
        <v>Direct</v>
      </c>
      <c r="G3254" s="7" t="s">
        <v>1894</v>
      </c>
    </row>
    <row r="3255" spans="1:7" x14ac:dyDescent="0.2">
      <c r="A3255" s="6" t="s">
        <v>18</v>
      </c>
      <c r="B3255" s="7" t="s">
        <v>13</v>
      </c>
      <c r="C3255" s="7" t="s">
        <v>3979</v>
      </c>
      <c r="D3255" s="7">
        <v>-1.3943236999999999</v>
      </c>
      <c r="E3255" s="7">
        <v>-1.7097526999999999</v>
      </c>
      <c r="F3255" s="9" t="str">
        <f t="shared" si="14"/>
        <v>Direct</v>
      </c>
      <c r="G3255" s="7" t="s">
        <v>1894</v>
      </c>
    </row>
    <row r="3256" spans="1:7" x14ac:dyDescent="0.2">
      <c r="A3256" s="6" t="s">
        <v>18</v>
      </c>
      <c r="B3256" s="7" t="s">
        <v>13</v>
      </c>
      <c r="C3256" s="7" t="s">
        <v>3327</v>
      </c>
      <c r="D3256" s="7">
        <v>-2.6850122000000001</v>
      </c>
      <c r="E3256" s="7">
        <v>-1.4153808000000001</v>
      </c>
      <c r="F3256" s="9" t="str">
        <f t="shared" si="14"/>
        <v>Direct</v>
      </c>
      <c r="G3256" s="7" t="s">
        <v>3328</v>
      </c>
    </row>
    <row r="3257" spans="1:7" x14ac:dyDescent="0.2">
      <c r="A3257" s="6" t="s">
        <v>18</v>
      </c>
      <c r="B3257" s="7" t="s">
        <v>13</v>
      </c>
      <c r="C3257" s="7" t="s">
        <v>3980</v>
      </c>
      <c r="D3257" s="7">
        <v>-1.5980863000000001</v>
      </c>
      <c r="E3257" s="7">
        <v>-2.3705047000000001</v>
      </c>
      <c r="F3257" s="9" t="str">
        <f t="shared" si="14"/>
        <v>Direct</v>
      </c>
      <c r="G3257" s="7" t="s">
        <v>3981</v>
      </c>
    </row>
    <row r="3258" spans="1:7" x14ac:dyDescent="0.2">
      <c r="A3258" s="6" t="s">
        <v>18</v>
      </c>
      <c r="B3258" s="7" t="s">
        <v>13</v>
      </c>
      <c r="C3258" s="7" t="s">
        <v>3982</v>
      </c>
      <c r="D3258" s="7">
        <v>-5.8513850999999999</v>
      </c>
      <c r="E3258" s="7">
        <v>-2.2048052</v>
      </c>
      <c r="F3258" s="9" t="str">
        <f t="shared" si="14"/>
        <v>Direct</v>
      </c>
      <c r="G3258" s="7" t="s">
        <v>401</v>
      </c>
    </row>
    <row r="3259" spans="1:7" x14ac:dyDescent="0.2">
      <c r="A3259" s="6" t="s">
        <v>18</v>
      </c>
      <c r="B3259" s="7" t="s">
        <v>13</v>
      </c>
      <c r="C3259" s="7" t="s">
        <v>3983</v>
      </c>
      <c r="D3259" s="7">
        <v>-1.1302819</v>
      </c>
      <c r="E3259" s="7">
        <v>-2.3876493000000001</v>
      </c>
      <c r="F3259" s="9" t="str">
        <f t="shared" si="14"/>
        <v>Direct</v>
      </c>
      <c r="G3259" s="7" t="s">
        <v>11</v>
      </c>
    </row>
    <row r="3260" spans="1:7" x14ac:dyDescent="0.2">
      <c r="A3260" s="6" t="s">
        <v>18</v>
      </c>
      <c r="B3260" s="7" t="s">
        <v>13</v>
      </c>
      <c r="C3260" s="7" t="s">
        <v>3984</v>
      </c>
      <c r="D3260" s="7">
        <v>1.04075947</v>
      </c>
      <c r="E3260" s="7">
        <v>2.5935684499999998</v>
      </c>
      <c r="F3260" s="9" t="str">
        <f t="shared" si="14"/>
        <v>Direct</v>
      </c>
      <c r="G3260" s="7" t="s">
        <v>11</v>
      </c>
    </row>
    <row r="3261" spans="1:7" x14ac:dyDescent="0.2">
      <c r="A3261" s="6" t="s">
        <v>18</v>
      </c>
      <c r="B3261" s="7" t="s">
        <v>13</v>
      </c>
      <c r="C3261" s="7" t="s">
        <v>3985</v>
      </c>
      <c r="D3261" s="7">
        <v>1.41778391</v>
      </c>
      <c r="E3261" s="7">
        <v>1.5452116899999999</v>
      </c>
      <c r="F3261" s="9" t="str">
        <f t="shared" si="14"/>
        <v>Direct</v>
      </c>
      <c r="G3261" s="7" t="s">
        <v>11</v>
      </c>
    </row>
    <row r="3262" spans="1:7" x14ac:dyDescent="0.2">
      <c r="A3262" s="6" t="s">
        <v>18</v>
      </c>
      <c r="B3262" s="7" t="s">
        <v>13</v>
      </c>
      <c r="C3262" s="7" t="s">
        <v>3986</v>
      </c>
      <c r="D3262" s="7">
        <v>-1.1976209</v>
      </c>
      <c r="E3262" s="7">
        <v>-1.5962483000000001</v>
      </c>
      <c r="F3262" s="9" t="str">
        <f t="shared" si="14"/>
        <v>Direct</v>
      </c>
      <c r="G3262" s="7" t="s">
        <v>11</v>
      </c>
    </row>
    <row r="3263" spans="1:7" x14ac:dyDescent="0.2">
      <c r="A3263" s="6" t="s">
        <v>18</v>
      </c>
      <c r="B3263" s="7" t="s">
        <v>13</v>
      </c>
      <c r="C3263" s="7" t="s">
        <v>3987</v>
      </c>
      <c r="D3263" s="7">
        <v>1.84802336</v>
      </c>
      <c r="E3263" s="7">
        <v>1.56978518</v>
      </c>
      <c r="F3263" s="9" t="str">
        <f t="shared" si="14"/>
        <v>Direct</v>
      </c>
      <c r="G3263" s="7" t="s">
        <v>3988</v>
      </c>
    </row>
    <row r="3264" spans="1:7" x14ac:dyDescent="0.2">
      <c r="A3264" s="6" t="s">
        <v>18</v>
      </c>
      <c r="B3264" s="7" t="s">
        <v>13</v>
      </c>
      <c r="C3264" s="7" t="s">
        <v>3989</v>
      </c>
      <c r="D3264" s="7">
        <v>-2.0699209999999999</v>
      </c>
      <c r="E3264" s="7">
        <v>-1.1541811</v>
      </c>
      <c r="F3264" s="9" t="str">
        <f t="shared" si="14"/>
        <v>Direct</v>
      </c>
      <c r="G3264" s="7" t="s">
        <v>11</v>
      </c>
    </row>
    <row r="3265" spans="1:7" x14ac:dyDescent="0.2">
      <c r="A3265" s="6" t="s">
        <v>18</v>
      </c>
      <c r="B3265" s="7" t="s">
        <v>13</v>
      </c>
      <c r="C3265" s="7" t="s">
        <v>3990</v>
      </c>
      <c r="D3265" s="7">
        <v>1.2625281900000001</v>
      </c>
      <c r="E3265" s="7">
        <v>1.3019471</v>
      </c>
      <c r="F3265" s="9" t="str">
        <f t="shared" si="14"/>
        <v>Direct</v>
      </c>
      <c r="G3265" s="7" t="s">
        <v>2351</v>
      </c>
    </row>
    <row r="3266" spans="1:7" x14ac:dyDescent="0.2">
      <c r="A3266" s="6" t="s">
        <v>18</v>
      </c>
      <c r="B3266" s="7" t="s">
        <v>13</v>
      </c>
      <c r="C3266" s="7" t="s">
        <v>3991</v>
      </c>
      <c r="D3266" s="7">
        <v>-1.0049882999999999</v>
      </c>
      <c r="E3266" s="7">
        <v>-1.034518</v>
      </c>
      <c r="F3266" s="9" t="str">
        <f t="shared" si="14"/>
        <v>Direct</v>
      </c>
      <c r="G3266" s="7" t="s">
        <v>11</v>
      </c>
    </row>
    <row r="3267" spans="1:7" x14ac:dyDescent="0.2">
      <c r="A3267" s="6" t="s">
        <v>18</v>
      </c>
      <c r="B3267" s="7" t="s">
        <v>13</v>
      </c>
      <c r="C3267" s="7" t="s">
        <v>3992</v>
      </c>
      <c r="D3267" s="7">
        <v>-1.5982554</v>
      </c>
      <c r="E3267" s="7">
        <v>-3.2108433999999999</v>
      </c>
      <c r="F3267" s="9" t="str">
        <f t="shared" si="14"/>
        <v>Direct</v>
      </c>
      <c r="G3267" s="7" t="s">
        <v>11</v>
      </c>
    </row>
    <row r="3268" spans="1:7" x14ac:dyDescent="0.2">
      <c r="A3268" s="6" t="s">
        <v>18</v>
      </c>
      <c r="B3268" s="7" t="s">
        <v>13</v>
      </c>
      <c r="C3268" s="7" t="s">
        <v>3993</v>
      </c>
      <c r="D3268" s="7">
        <v>-4.2650478999999999</v>
      </c>
      <c r="E3268" s="7">
        <v>-3.4642436999999999</v>
      </c>
      <c r="F3268" s="9" t="str">
        <f t="shared" si="14"/>
        <v>Direct</v>
      </c>
      <c r="G3268" s="7" t="s">
        <v>11</v>
      </c>
    </row>
    <row r="3269" spans="1:7" x14ac:dyDescent="0.2">
      <c r="A3269" s="6" t="s">
        <v>18</v>
      </c>
      <c r="B3269" s="7" t="s">
        <v>13</v>
      </c>
      <c r="C3269" s="7" t="s">
        <v>3994</v>
      </c>
      <c r="D3269" s="7">
        <v>1.34116419</v>
      </c>
      <c r="E3269" s="7">
        <v>1.11966341</v>
      </c>
      <c r="F3269" s="9" t="str">
        <f t="shared" si="14"/>
        <v>Direct</v>
      </c>
      <c r="G3269" s="7" t="s">
        <v>11</v>
      </c>
    </row>
    <row r="3270" spans="1:7" x14ac:dyDescent="0.2">
      <c r="A3270" s="6" t="s">
        <v>18</v>
      </c>
      <c r="B3270" s="7" t="s">
        <v>13</v>
      </c>
      <c r="C3270" s="7" t="s">
        <v>3995</v>
      </c>
      <c r="D3270" s="7">
        <v>-3.3892259</v>
      </c>
      <c r="E3270" s="7">
        <v>-2.1398093</v>
      </c>
      <c r="F3270" s="9" t="str">
        <f t="shared" si="14"/>
        <v>Direct</v>
      </c>
      <c r="G3270" s="7" t="s">
        <v>3996</v>
      </c>
    </row>
    <row r="3271" spans="1:7" x14ac:dyDescent="0.2">
      <c r="A3271" s="6" t="s">
        <v>18</v>
      </c>
      <c r="B3271" s="7" t="s">
        <v>13</v>
      </c>
      <c r="C3271" s="7" t="s">
        <v>3344</v>
      </c>
      <c r="D3271" s="7">
        <v>-1.4272928</v>
      </c>
      <c r="E3271" s="7">
        <v>-1.3913181999999999</v>
      </c>
      <c r="F3271" s="9" t="str">
        <f t="shared" si="14"/>
        <v>Direct</v>
      </c>
      <c r="G3271" s="7" t="s">
        <v>11</v>
      </c>
    </row>
    <row r="3272" spans="1:7" x14ac:dyDescent="0.2">
      <c r="A3272" s="6" t="s">
        <v>18</v>
      </c>
      <c r="B3272" s="7" t="s">
        <v>13</v>
      </c>
      <c r="C3272" s="7" t="s">
        <v>3997</v>
      </c>
      <c r="D3272" s="7">
        <v>1.6674058300000001</v>
      </c>
      <c r="E3272" s="7">
        <v>1.2402924</v>
      </c>
      <c r="F3272" s="9" t="str">
        <f t="shared" si="14"/>
        <v>Direct</v>
      </c>
      <c r="G3272" s="7" t="s">
        <v>3998</v>
      </c>
    </row>
    <row r="3273" spans="1:7" x14ac:dyDescent="0.2">
      <c r="A3273" s="6" t="s">
        <v>18</v>
      </c>
      <c r="B3273" s="7" t="s">
        <v>13</v>
      </c>
      <c r="C3273" s="7" t="s">
        <v>3347</v>
      </c>
      <c r="D3273" s="7">
        <v>1.90010656</v>
      </c>
      <c r="E3273" s="7">
        <v>3.4135438699999998</v>
      </c>
      <c r="F3273" s="9" t="str">
        <f t="shared" si="14"/>
        <v>Direct</v>
      </c>
      <c r="G3273" s="7" t="s">
        <v>3348</v>
      </c>
    </row>
    <row r="3274" spans="1:7" x14ac:dyDescent="0.2">
      <c r="A3274" s="6" t="s">
        <v>18</v>
      </c>
      <c r="B3274" s="7" t="s">
        <v>13</v>
      </c>
      <c r="C3274" s="7" t="s">
        <v>3999</v>
      </c>
      <c r="D3274" s="7">
        <v>1.4257869700000001</v>
      </c>
      <c r="E3274" s="7">
        <v>1.30216859</v>
      </c>
      <c r="F3274" s="9" t="str">
        <f t="shared" si="14"/>
        <v>Direct</v>
      </c>
      <c r="G3274" s="7" t="s">
        <v>11</v>
      </c>
    </row>
    <row r="3275" spans="1:7" x14ac:dyDescent="0.2">
      <c r="A3275" s="6" t="s">
        <v>18</v>
      </c>
      <c r="B3275" s="7" t="s">
        <v>13</v>
      </c>
      <c r="C3275" s="7" t="s">
        <v>4000</v>
      </c>
      <c r="D3275" s="7">
        <v>1.7967984699999999</v>
      </c>
      <c r="E3275" s="7">
        <v>2.6539570600000002</v>
      </c>
      <c r="F3275" s="9" t="str">
        <f t="shared" si="14"/>
        <v>Direct</v>
      </c>
      <c r="G3275" s="7" t="s">
        <v>11</v>
      </c>
    </row>
    <row r="3276" spans="1:7" x14ac:dyDescent="0.2">
      <c r="A3276" s="6" t="s">
        <v>18</v>
      </c>
      <c r="B3276" s="7" t="s">
        <v>13</v>
      </c>
      <c r="C3276" s="7" t="s">
        <v>4001</v>
      </c>
      <c r="D3276" s="7">
        <v>2.4029220800000002</v>
      </c>
      <c r="E3276" s="7">
        <v>1.0652366799999999</v>
      </c>
      <c r="F3276" s="9" t="str">
        <f t="shared" si="14"/>
        <v>Direct</v>
      </c>
      <c r="G3276" s="7" t="s">
        <v>4002</v>
      </c>
    </row>
    <row r="3277" spans="1:7" x14ac:dyDescent="0.2">
      <c r="A3277" s="6" t="s">
        <v>18</v>
      </c>
      <c r="B3277" s="7" t="s">
        <v>13</v>
      </c>
      <c r="C3277" s="7" t="s">
        <v>4003</v>
      </c>
      <c r="D3277" s="7">
        <v>9.2006835200000001</v>
      </c>
      <c r="E3277" s="7">
        <v>3.2840886999999999</v>
      </c>
      <c r="F3277" s="9" t="str">
        <f t="shared" si="14"/>
        <v>Direct</v>
      </c>
      <c r="G3277" s="7" t="s">
        <v>4004</v>
      </c>
    </row>
    <row r="3278" spans="1:7" x14ac:dyDescent="0.2">
      <c r="A3278" s="6" t="s">
        <v>18</v>
      </c>
      <c r="B3278" s="7" t="s">
        <v>13</v>
      </c>
      <c r="C3278" s="7" t="s">
        <v>4005</v>
      </c>
      <c r="D3278" s="7">
        <v>1.39219783</v>
      </c>
      <c r="E3278" s="7">
        <v>1.3873966600000001</v>
      </c>
      <c r="F3278" s="9" t="str">
        <f t="shared" si="14"/>
        <v>Direct</v>
      </c>
      <c r="G3278" s="7" t="s">
        <v>11</v>
      </c>
    </row>
    <row r="3279" spans="1:7" x14ac:dyDescent="0.2">
      <c r="A3279" s="6" t="s">
        <v>18</v>
      </c>
      <c r="B3279" s="7" t="s">
        <v>13</v>
      </c>
      <c r="C3279" s="7" t="s">
        <v>4006</v>
      </c>
      <c r="D3279" s="7">
        <v>-1.8739686</v>
      </c>
      <c r="E3279" s="7">
        <v>-1.1610611</v>
      </c>
      <c r="F3279" s="9" t="str">
        <f t="shared" si="14"/>
        <v>Direct</v>
      </c>
      <c r="G3279" s="7" t="s">
        <v>4007</v>
      </c>
    </row>
    <row r="3280" spans="1:7" x14ac:dyDescent="0.2">
      <c r="A3280" s="6" t="s">
        <v>18</v>
      </c>
      <c r="B3280" s="7" t="s">
        <v>13</v>
      </c>
      <c r="C3280" s="7" t="s">
        <v>4008</v>
      </c>
      <c r="D3280" s="7">
        <v>1.4007122000000001</v>
      </c>
      <c r="E3280" s="7">
        <v>1.4131411899999999</v>
      </c>
      <c r="F3280" s="9" t="str">
        <f t="shared" si="14"/>
        <v>Direct</v>
      </c>
      <c r="G3280" s="7" t="s">
        <v>11</v>
      </c>
    </row>
    <row r="3281" spans="1:7" x14ac:dyDescent="0.2">
      <c r="A3281" s="6" t="s">
        <v>18</v>
      </c>
      <c r="B3281" s="7" t="s">
        <v>13</v>
      </c>
      <c r="C3281" s="7" t="s">
        <v>4009</v>
      </c>
      <c r="D3281" s="7">
        <v>-1.1485053000000001</v>
      </c>
      <c r="E3281" s="7">
        <v>-1.1331236</v>
      </c>
      <c r="F3281" s="9" t="str">
        <f t="shared" si="14"/>
        <v>Direct</v>
      </c>
      <c r="G3281" s="7" t="s">
        <v>4010</v>
      </c>
    </row>
    <row r="3282" spans="1:7" x14ac:dyDescent="0.2">
      <c r="A3282" s="6" t="s">
        <v>18</v>
      </c>
      <c r="B3282" s="7" t="s">
        <v>13</v>
      </c>
      <c r="C3282" s="7" t="s">
        <v>4011</v>
      </c>
      <c r="D3282" s="7">
        <v>2.1321949500000001</v>
      </c>
      <c r="E3282" s="7">
        <v>4.4694185700000002</v>
      </c>
      <c r="F3282" s="9" t="str">
        <f t="shared" si="14"/>
        <v>Direct</v>
      </c>
      <c r="G3282" s="7" t="s">
        <v>4012</v>
      </c>
    </row>
    <row r="3283" spans="1:7" x14ac:dyDescent="0.2">
      <c r="A3283" s="6" t="s">
        <v>18</v>
      </c>
      <c r="B3283" s="7" t="s">
        <v>13</v>
      </c>
      <c r="C3283" s="7" t="s">
        <v>4013</v>
      </c>
      <c r="D3283" s="7">
        <v>-2.2950366999999998</v>
      </c>
      <c r="E3283" s="7">
        <v>-2.4599677999999998</v>
      </c>
      <c r="F3283" s="9" t="str">
        <f t="shared" si="14"/>
        <v>Direct</v>
      </c>
      <c r="G3283" s="7" t="s">
        <v>783</v>
      </c>
    </row>
    <row r="3284" spans="1:7" x14ac:dyDescent="0.2">
      <c r="A3284" s="6" t="s">
        <v>18</v>
      </c>
      <c r="B3284" s="7" t="s">
        <v>13</v>
      </c>
      <c r="C3284" s="7" t="s">
        <v>4014</v>
      </c>
      <c r="D3284" s="7">
        <v>-1.0440894999999999</v>
      </c>
      <c r="E3284" s="7">
        <v>-1.1066461000000001</v>
      </c>
      <c r="F3284" s="9" t="str">
        <f t="shared" si="14"/>
        <v>Direct</v>
      </c>
      <c r="G3284" s="7" t="s">
        <v>4015</v>
      </c>
    </row>
    <row r="3285" spans="1:7" x14ac:dyDescent="0.2">
      <c r="A3285" s="6" t="s">
        <v>18</v>
      </c>
      <c r="B3285" s="7" t="s">
        <v>13</v>
      </c>
      <c r="C3285" s="7" t="s">
        <v>4016</v>
      </c>
      <c r="D3285" s="7">
        <v>1.6189666700000001</v>
      </c>
      <c r="E3285" s="7">
        <v>1.0332964899999999</v>
      </c>
      <c r="F3285" s="9" t="str">
        <f t="shared" si="14"/>
        <v>Direct</v>
      </c>
      <c r="G3285" s="7" t="s">
        <v>11</v>
      </c>
    </row>
    <row r="3286" spans="1:7" x14ac:dyDescent="0.2">
      <c r="A3286" s="6" t="s">
        <v>18</v>
      </c>
      <c r="B3286" s="7" t="s">
        <v>13</v>
      </c>
      <c r="C3286" s="7" t="s">
        <v>4017</v>
      </c>
      <c r="D3286" s="7">
        <v>-1.2083493000000001</v>
      </c>
      <c r="E3286" s="7">
        <v>-2.2103856999999998</v>
      </c>
      <c r="F3286" s="9" t="str">
        <f t="shared" si="14"/>
        <v>Direct</v>
      </c>
      <c r="G3286" s="7" t="s">
        <v>4018</v>
      </c>
    </row>
    <row r="3287" spans="1:7" x14ac:dyDescent="0.2">
      <c r="A3287" s="6" t="s">
        <v>18</v>
      </c>
      <c r="B3287" s="7" t="s">
        <v>13</v>
      </c>
      <c r="C3287" s="7" t="s">
        <v>4019</v>
      </c>
      <c r="D3287" s="7">
        <v>1.5264814900000001</v>
      </c>
      <c r="E3287" s="7">
        <v>1.5025872499999999</v>
      </c>
      <c r="F3287" s="9" t="str">
        <f t="shared" si="14"/>
        <v>Direct</v>
      </c>
      <c r="G3287" s="7" t="s">
        <v>11</v>
      </c>
    </row>
    <row r="3288" spans="1:7" x14ac:dyDescent="0.2">
      <c r="A3288" s="6" t="s">
        <v>18</v>
      </c>
      <c r="B3288" s="7" t="s">
        <v>13</v>
      </c>
      <c r="C3288" s="7" t="s">
        <v>4020</v>
      </c>
      <c r="D3288" s="7">
        <v>-4.1650469000000001</v>
      </c>
      <c r="E3288" s="7">
        <v>-1.5576890999999999</v>
      </c>
      <c r="F3288" s="9" t="str">
        <f t="shared" si="14"/>
        <v>Direct</v>
      </c>
      <c r="G3288" s="7" t="s">
        <v>11</v>
      </c>
    </row>
    <row r="3289" spans="1:7" x14ac:dyDescent="0.2">
      <c r="A3289" s="6" t="s">
        <v>18</v>
      </c>
      <c r="B3289" s="7" t="s">
        <v>13</v>
      </c>
      <c r="C3289" s="7" t="s">
        <v>4021</v>
      </c>
      <c r="D3289" s="7">
        <v>-3.0035398999999998</v>
      </c>
      <c r="E3289" s="7">
        <v>-5.5631051999999999</v>
      </c>
      <c r="F3289" s="9" t="str">
        <f t="shared" si="14"/>
        <v>Direct</v>
      </c>
      <c r="G3289" s="7" t="s">
        <v>716</v>
      </c>
    </row>
    <row r="3290" spans="1:7" x14ac:dyDescent="0.2">
      <c r="A3290" s="6" t="s">
        <v>18</v>
      </c>
      <c r="B3290" s="7" t="s">
        <v>13</v>
      </c>
      <c r="C3290" s="7" t="s">
        <v>4022</v>
      </c>
      <c r="D3290" s="7">
        <v>1.02841264</v>
      </c>
      <c r="E3290" s="7">
        <v>1.61444795</v>
      </c>
      <c r="F3290" s="9" t="str">
        <f t="shared" si="14"/>
        <v>Direct</v>
      </c>
      <c r="G3290" s="7" t="s">
        <v>3426</v>
      </c>
    </row>
    <row r="3291" spans="1:7" x14ac:dyDescent="0.2">
      <c r="A3291" s="6" t="s">
        <v>18</v>
      </c>
      <c r="B3291" s="7" t="s">
        <v>13</v>
      </c>
      <c r="C3291" s="7" t="s">
        <v>4023</v>
      </c>
      <c r="D3291" s="7">
        <v>-5.0171871000000001</v>
      </c>
      <c r="E3291" s="7">
        <v>-4.6894932999999996</v>
      </c>
      <c r="F3291" s="9" t="str">
        <f t="shared" si="14"/>
        <v>Direct</v>
      </c>
      <c r="G3291" s="7" t="s">
        <v>4024</v>
      </c>
    </row>
    <row r="3292" spans="1:7" x14ac:dyDescent="0.2">
      <c r="A3292" s="6" t="s">
        <v>18</v>
      </c>
      <c r="B3292" s="7" t="s">
        <v>13</v>
      </c>
      <c r="C3292" s="7" t="s">
        <v>4025</v>
      </c>
      <c r="D3292" s="7">
        <v>2.1869299099999999</v>
      </c>
      <c r="E3292" s="7">
        <v>1.85439098</v>
      </c>
      <c r="F3292" s="9" t="str">
        <f t="shared" si="14"/>
        <v>Direct</v>
      </c>
      <c r="G3292" s="7" t="s">
        <v>886</v>
      </c>
    </row>
    <row r="3293" spans="1:7" x14ac:dyDescent="0.2">
      <c r="A3293" s="6" t="s">
        <v>18</v>
      </c>
      <c r="B3293" s="7" t="s">
        <v>13</v>
      </c>
      <c r="C3293" s="7" t="s">
        <v>3401</v>
      </c>
      <c r="D3293" s="7">
        <v>3.1457178099999998</v>
      </c>
      <c r="E3293" s="7">
        <v>1.0091644099999999</v>
      </c>
      <c r="F3293" s="9" t="str">
        <f t="shared" si="14"/>
        <v>Direct</v>
      </c>
      <c r="G3293" s="7" t="s">
        <v>886</v>
      </c>
    </row>
    <row r="3294" spans="1:7" x14ac:dyDescent="0.2">
      <c r="A3294" s="6" t="s">
        <v>18</v>
      </c>
      <c r="B3294" s="7" t="s">
        <v>13</v>
      </c>
      <c r="C3294" s="7" t="s">
        <v>4026</v>
      </c>
      <c r="D3294" s="7">
        <v>-1.0772520999999999</v>
      </c>
      <c r="E3294" s="7">
        <v>-4.4885298999999996</v>
      </c>
      <c r="F3294" s="9" t="str">
        <f t="shared" si="14"/>
        <v>Direct</v>
      </c>
      <c r="G3294" s="7" t="s">
        <v>11</v>
      </c>
    </row>
    <row r="3295" spans="1:7" x14ac:dyDescent="0.2">
      <c r="A3295" s="6" t="s">
        <v>18</v>
      </c>
      <c r="B3295" s="7" t="s">
        <v>13</v>
      </c>
      <c r="C3295" s="7" t="s">
        <v>4027</v>
      </c>
      <c r="D3295" s="7">
        <v>-4.7123710000000001</v>
      </c>
      <c r="E3295" s="7">
        <v>-3.5739751000000002</v>
      </c>
      <c r="F3295" s="9" t="str">
        <f t="shared" si="14"/>
        <v>Direct</v>
      </c>
      <c r="G3295" s="7" t="s">
        <v>11</v>
      </c>
    </row>
    <row r="3296" spans="1:7" x14ac:dyDescent="0.2">
      <c r="A3296" s="6" t="s">
        <v>18</v>
      </c>
      <c r="B3296" s="7" t="s">
        <v>13</v>
      </c>
      <c r="C3296" s="7" t="s">
        <v>3406</v>
      </c>
      <c r="D3296" s="7">
        <v>3.1044535</v>
      </c>
      <c r="E3296" s="7">
        <v>2.6539570600000002</v>
      </c>
      <c r="F3296" s="9" t="str">
        <f t="shared" si="14"/>
        <v>Direct</v>
      </c>
      <c r="G3296" s="7" t="s">
        <v>11</v>
      </c>
    </row>
    <row r="3297" spans="1:7" x14ac:dyDescent="0.2">
      <c r="A3297" s="6" t="s">
        <v>18</v>
      </c>
      <c r="B3297" s="7" t="s">
        <v>13</v>
      </c>
      <c r="C3297" s="7" t="s">
        <v>3419</v>
      </c>
      <c r="D3297" s="7">
        <v>2.4266741000000001</v>
      </c>
      <c r="E3297" s="7">
        <v>2.75886283</v>
      </c>
      <c r="F3297" s="9" t="str">
        <f t="shared" si="14"/>
        <v>Direct</v>
      </c>
      <c r="G3297" s="7" t="s">
        <v>11</v>
      </c>
    </row>
    <row r="3298" spans="1:7" x14ac:dyDescent="0.2">
      <c r="A3298" s="6" t="s">
        <v>18</v>
      </c>
      <c r="B3298" s="7" t="s">
        <v>13</v>
      </c>
      <c r="C3298" s="7" t="s">
        <v>4028</v>
      </c>
      <c r="D3298" s="7">
        <v>-1.3221274999999999</v>
      </c>
      <c r="E3298" s="7">
        <v>-1.5223435999999999</v>
      </c>
      <c r="F3298" s="9" t="str">
        <f t="shared" si="14"/>
        <v>Direct</v>
      </c>
      <c r="G3298" s="7" t="s">
        <v>4029</v>
      </c>
    </row>
    <row r="3299" spans="1:7" x14ac:dyDescent="0.2">
      <c r="A3299" s="6" t="s">
        <v>18</v>
      </c>
      <c r="B3299" s="7" t="s">
        <v>13</v>
      </c>
      <c r="C3299" s="7" t="s">
        <v>4030</v>
      </c>
      <c r="D3299" s="7">
        <v>-1.0914965000000001</v>
      </c>
      <c r="E3299" s="7">
        <v>-1.0184280000000001</v>
      </c>
      <c r="F3299" s="9" t="str">
        <f t="shared" si="14"/>
        <v>Direct</v>
      </c>
      <c r="G3299" s="7" t="s">
        <v>11</v>
      </c>
    </row>
    <row r="3300" spans="1:7" x14ac:dyDescent="0.2">
      <c r="A3300" s="6" t="s">
        <v>18</v>
      </c>
      <c r="B3300" s="7" t="s">
        <v>13</v>
      </c>
      <c r="C3300" s="7" t="s">
        <v>3430</v>
      </c>
      <c r="D3300" s="7">
        <v>-1.0001139999999999</v>
      </c>
      <c r="E3300" s="7">
        <v>2.532896</v>
      </c>
      <c r="F3300" s="9" t="str">
        <f t="shared" si="14"/>
        <v>Inverse</v>
      </c>
      <c r="G3300" s="7" t="s">
        <v>3431</v>
      </c>
    </row>
    <row r="3301" spans="1:7" x14ac:dyDescent="0.2">
      <c r="A3301" s="6" t="s">
        <v>18</v>
      </c>
      <c r="B3301" s="7" t="s">
        <v>13</v>
      </c>
      <c r="C3301" s="7" t="s">
        <v>4031</v>
      </c>
      <c r="D3301" s="7">
        <v>-2.5968007000000002</v>
      </c>
      <c r="E3301" s="7">
        <v>-2.4954187999999999</v>
      </c>
      <c r="F3301" s="9" t="str">
        <f t="shared" si="14"/>
        <v>Direct</v>
      </c>
      <c r="G3301" s="7" t="s">
        <v>4032</v>
      </c>
    </row>
    <row r="3302" spans="1:7" x14ac:dyDescent="0.2">
      <c r="A3302" s="6" t="s">
        <v>18</v>
      </c>
      <c r="B3302" s="7" t="s">
        <v>13</v>
      </c>
      <c r="C3302" s="7" t="s">
        <v>4033</v>
      </c>
      <c r="D3302" s="7">
        <v>-1.2683253999999999</v>
      </c>
      <c r="E3302" s="7">
        <v>-2.0309232000000002</v>
      </c>
      <c r="F3302" s="9" t="str">
        <f t="shared" si="14"/>
        <v>Direct</v>
      </c>
      <c r="G3302" s="7" t="s">
        <v>11</v>
      </c>
    </row>
    <row r="3303" spans="1:7" x14ac:dyDescent="0.2">
      <c r="A3303" s="6" t="s">
        <v>18</v>
      </c>
      <c r="B3303" s="7" t="s">
        <v>13</v>
      </c>
      <c r="C3303" s="7" t="s">
        <v>4034</v>
      </c>
      <c r="D3303" s="7">
        <v>1.0509774000000001</v>
      </c>
      <c r="E3303" s="7">
        <v>7.0239617299999999</v>
      </c>
      <c r="F3303" s="9" t="str">
        <f t="shared" si="14"/>
        <v>Direct</v>
      </c>
      <c r="G3303" s="7" t="s">
        <v>11</v>
      </c>
    </row>
    <row r="3304" spans="1:7" x14ac:dyDescent="0.2">
      <c r="A3304" s="6" t="s">
        <v>18</v>
      </c>
      <c r="B3304" s="7" t="s">
        <v>13</v>
      </c>
      <c r="C3304" s="7" t="s">
        <v>4035</v>
      </c>
      <c r="D3304" s="7">
        <v>1.42963134</v>
      </c>
      <c r="E3304" s="7">
        <v>1.10664615</v>
      </c>
      <c r="F3304" s="9" t="str">
        <f t="shared" si="14"/>
        <v>Direct</v>
      </c>
      <c r="G3304" s="7" t="s">
        <v>1547</v>
      </c>
    </row>
    <row r="3305" spans="1:7" x14ac:dyDescent="0.2">
      <c r="A3305" s="6" t="s">
        <v>18</v>
      </c>
      <c r="B3305" s="7" t="s">
        <v>13</v>
      </c>
      <c r="C3305" s="7" t="s">
        <v>4036</v>
      </c>
      <c r="D3305" s="7">
        <v>1.42216151</v>
      </c>
      <c r="E3305" s="7">
        <v>1.3734679999999999</v>
      </c>
      <c r="F3305" s="9" t="str">
        <f t="shared" si="14"/>
        <v>Direct</v>
      </c>
      <c r="G3305" s="7" t="s">
        <v>11</v>
      </c>
    </row>
    <row r="3306" spans="1:7" x14ac:dyDescent="0.2">
      <c r="A3306" s="6" t="s">
        <v>18</v>
      </c>
      <c r="B3306" s="7" t="s">
        <v>13</v>
      </c>
      <c r="C3306" s="7" t="s">
        <v>3472</v>
      </c>
      <c r="D3306" s="7">
        <v>2.2704766799999998</v>
      </c>
      <c r="E3306" s="7">
        <v>7.0239617299999999</v>
      </c>
      <c r="F3306" s="9" t="str">
        <f t="shared" si="14"/>
        <v>Direct</v>
      </c>
      <c r="G3306" s="7" t="s">
        <v>11</v>
      </c>
    </row>
    <row r="3307" spans="1:7" x14ac:dyDescent="0.2">
      <c r="A3307" s="6" t="s">
        <v>18</v>
      </c>
      <c r="B3307" s="7" t="s">
        <v>13</v>
      </c>
      <c r="C3307" s="7" t="s">
        <v>3473</v>
      </c>
      <c r="D3307" s="7">
        <v>1.2298969</v>
      </c>
      <c r="E3307" s="7">
        <v>2.01569479</v>
      </c>
      <c r="F3307" s="9" t="str">
        <f t="shared" si="14"/>
        <v>Direct</v>
      </c>
      <c r="G3307" s="7" t="s">
        <v>11</v>
      </c>
    </row>
    <row r="3308" spans="1:7" x14ac:dyDescent="0.2">
      <c r="A3308" s="6" t="s">
        <v>18</v>
      </c>
      <c r="B3308" s="7" t="s">
        <v>13</v>
      </c>
      <c r="C3308" s="7" t="s">
        <v>3474</v>
      </c>
      <c r="D3308" s="7">
        <v>-5.3073058</v>
      </c>
      <c r="E3308" s="7">
        <v>-4.5369267000000004</v>
      </c>
      <c r="F3308" s="9" t="str">
        <f t="shared" si="14"/>
        <v>Direct</v>
      </c>
      <c r="G3308" s="7" t="s">
        <v>11</v>
      </c>
    </row>
    <row r="3309" spans="1:7" x14ac:dyDescent="0.2">
      <c r="A3309" s="6" t="s">
        <v>18</v>
      </c>
      <c r="B3309" s="7" t="s">
        <v>13</v>
      </c>
      <c r="C3309" s="7" t="s">
        <v>4037</v>
      </c>
      <c r="D3309" s="7">
        <v>-1.2863651</v>
      </c>
      <c r="E3309" s="7">
        <v>-2.0309232000000002</v>
      </c>
      <c r="F3309" s="9" t="str">
        <f t="shared" si="14"/>
        <v>Direct</v>
      </c>
      <c r="G3309" s="7" t="s">
        <v>4038</v>
      </c>
    </row>
    <row r="3310" spans="1:7" x14ac:dyDescent="0.2">
      <c r="A3310" s="6" t="s">
        <v>18</v>
      </c>
      <c r="B3310" s="7" t="s">
        <v>13</v>
      </c>
      <c r="C3310" s="7" t="s">
        <v>3480</v>
      </c>
      <c r="D3310" s="7">
        <v>1.3287327200000001</v>
      </c>
      <c r="E3310" s="7">
        <v>1.80335014</v>
      </c>
      <c r="F3310" s="9" t="str">
        <f t="shared" si="14"/>
        <v>Direct</v>
      </c>
      <c r="G3310" s="7" t="s">
        <v>3481</v>
      </c>
    </row>
    <row r="3311" spans="1:7" x14ac:dyDescent="0.2">
      <c r="A3311" s="6" t="s">
        <v>18</v>
      </c>
      <c r="B3311" s="7" t="s">
        <v>13</v>
      </c>
      <c r="C3311" s="7" t="s">
        <v>4039</v>
      </c>
      <c r="D3311" s="7">
        <v>-1.0577346000000001</v>
      </c>
      <c r="E3311" s="7">
        <v>-1.0530697</v>
      </c>
      <c r="F3311" s="9" t="str">
        <f t="shared" si="14"/>
        <v>Direct</v>
      </c>
      <c r="G3311" s="7" t="s">
        <v>4040</v>
      </c>
    </row>
    <row r="3312" spans="1:7" x14ac:dyDescent="0.2">
      <c r="A3312" s="6" t="s">
        <v>18</v>
      </c>
      <c r="B3312" s="7" t="s">
        <v>13</v>
      </c>
      <c r="C3312" s="7" t="s">
        <v>4041</v>
      </c>
      <c r="D3312" s="7">
        <v>-1.0195509</v>
      </c>
      <c r="E3312" s="7">
        <v>-1.3793435999999999</v>
      </c>
      <c r="F3312" s="9" t="str">
        <f t="shared" si="14"/>
        <v>Direct</v>
      </c>
      <c r="G3312" s="7" t="s">
        <v>11</v>
      </c>
    </row>
    <row r="3313" spans="1:7" x14ac:dyDescent="0.2">
      <c r="A3313" s="6" t="s">
        <v>18</v>
      </c>
      <c r="B3313" s="7" t="s">
        <v>13</v>
      </c>
      <c r="C3313" s="7" t="s">
        <v>4042</v>
      </c>
      <c r="D3313" s="7">
        <v>1.2786098800000001</v>
      </c>
      <c r="E3313" s="7">
        <v>1.1236061399999999</v>
      </c>
      <c r="F3313" s="9" t="str">
        <f t="shared" si="14"/>
        <v>Direct</v>
      </c>
      <c r="G3313" s="7" t="s">
        <v>11</v>
      </c>
    </row>
    <row r="3314" spans="1:7" x14ac:dyDescent="0.2">
      <c r="A3314" s="6" t="s">
        <v>18</v>
      </c>
      <c r="B3314" s="7" t="s">
        <v>13</v>
      </c>
      <c r="C3314" s="7" t="s">
        <v>3487</v>
      </c>
      <c r="D3314" s="7">
        <v>5.7924512899999998</v>
      </c>
      <c r="E3314" s="7">
        <v>4.3326482100000003</v>
      </c>
      <c r="F3314" s="9" t="str">
        <f t="shared" si="14"/>
        <v>Direct</v>
      </c>
      <c r="G3314" s="7" t="s">
        <v>3488</v>
      </c>
    </row>
    <row r="3315" spans="1:7" x14ac:dyDescent="0.2">
      <c r="A3315" s="6" t="s">
        <v>18</v>
      </c>
      <c r="B3315" s="7" t="s">
        <v>13</v>
      </c>
      <c r="C3315" s="7" t="s">
        <v>4043</v>
      </c>
      <c r="D3315" s="7">
        <v>2.1867231299999998</v>
      </c>
      <c r="E3315" s="7">
        <v>2.0309231699999999</v>
      </c>
      <c r="F3315" s="9" t="str">
        <f t="shared" si="14"/>
        <v>Direct</v>
      </c>
      <c r="G3315" s="7" t="s">
        <v>11</v>
      </c>
    </row>
    <row r="3316" spans="1:7" x14ac:dyDescent="0.2">
      <c r="A3316" s="6" t="s">
        <v>18</v>
      </c>
      <c r="B3316" s="7" t="s">
        <v>13</v>
      </c>
      <c r="C3316" s="7" t="s">
        <v>4044</v>
      </c>
      <c r="D3316" s="7">
        <v>3.8622785500000001</v>
      </c>
      <c r="E3316" s="7">
        <v>1.75253093</v>
      </c>
      <c r="F3316" s="9" t="str">
        <f t="shared" si="14"/>
        <v>Direct</v>
      </c>
      <c r="G3316" s="7" t="s">
        <v>11</v>
      </c>
    </row>
    <row r="3317" spans="1:7" x14ac:dyDescent="0.2">
      <c r="A3317" s="6" t="s">
        <v>18</v>
      </c>
      <c r="B3317" s="7" t="s">
        <v>13</v>
      </c>
      <c r="C3317" s="7" t="s">
        <v>4045</v>
      </c>
      <c r="D3317" s="7">
        <v>-1.2158021000000001</v>
      </c>
      <c r="E3317" s="7">
        <v>-1.1729018</v>
      </c>
      <c r="F3317" s="9" t="str">
        <f t="shared" ref="F3317:F3382" si="15">IF(OR(AND(D3317&gt;0,E3317&gt;0),AND(D3317&lt;0,E3317&lt;0)),"Direct","Inverse")</f>
        <v>Direct</v>
      </c>
      <c r="G3317" s="7" t="s">
        <v>4046</v>
      </c>
    </row>
    <row r="3318" spans="1:7" x14ac:dyDescent="0.2">
      <c r="A3318" s="6" t="s">
        <v>18</v>
      </c>
      <c r="B3318" s="7" t="s">
        <v>13</v>
      </c>
      <c r="C3318" s="7" t="s">
        <v>4047</v>
      </c>
      <c r="D3318" s="7">
        <v>-1.9538120999999999</v>
      </c>
      <c r="E3318" s="7">
        <v>-1.1527385000000001</v>
      </c>
      <c r="F3318" s="9" t="str">
        <f t="shared" si="15"/>
        <v>Direct</v>
      </c>
      <c r="G3318" s="7" t="s">
        <v>4048</v>
      </c>
    </row>
    <row r="3319" spans="1:7" x14ac:dyDescent="0.2">
      <c r="A3319" s="6" t="s">
        <v>18</v>
      </c>
      <c r="B3319" s="7" t="s">
        <v>13</v>
      </c>
      <c r="C3319" s="7" t="s">
        <v>4049</v>
      </c>
      <c r="D3319" s="7">
        <v>1.0309215</v>
      </c>
      <c r="E3319" s="7">
        <v>1.75274032</v>
      </c>
      <c r="F3319" s="9" t="str">
        <f t="shared" si="15"/>
        <v>Direct</v>
      </c>
      <c r="G3319" s="7" t="s">
        <v>886</v>
      </c>
    </row>
    <row r="3320" spans="1:7" x14ac:dyDescent="0.2">
      <c r="A3320" s="6" t="s">
        <v>18</v>
      </c>
      <c r="B3320" s="7" t="s">
        <v>13</v>
      </c>
      <c r="C3320" s="7" t="s">
        <v>4050</v>
      </c>
      <c r="D3320" s="7">
        <v>-2.0860623</v>
      </c>
      <c r="E3320" s="7">
        <v>-1.8296081</v>
      </c>
      <c r="F3320" s="9" t="str">
        <f t="shared" si="15"/>
        <v>Direct</v>
      </c>
      <c r="G3320" s="7" t="s">
        <v>11</v>
      </c>
    </row>
    <row r="3321" spans="1:7" x14ac:dyDescent="0.2">
      <c r="A3321" s="6" t="s">
        <v>18</v>
      </c>
      <c r="B3321" s="7" t="s">
        <v>13</v>
      </c>
      <c r="C3321" s="7" t="s">
        <v>3498</v>
      </c>
      <c r="D3321" s="7">
        <v>-2.8016165000000002</v>
      </c>
      <c r="E3321" s="7">
        <v>-4.2294149000000001</v>
      </c>
      <c r="F3321" s="9" t="str">
        <f t="shared" si="15"/>
        <v>Direct</v>
      </c>
      <c r="G3321" s="7" t="s">
        <v>11</v>
      </c>
    </row>
    <row r="3322" spans="1:7" x14ac:dyDescent="0.2">
      <c r="A3322" s="6" t="s">
        <v>18</v>
      </c>
      <c r="B3322" s="7" t="s">
        <v>13</v>
      </c>
      <c r="C3322" s="7" t="s">
        <v>4051</v>
      </c>
      <c r="D3322" s="7">
        <v>2.9276524899999998</v>
      </c>
      <c r="E3322" s="7">
        <v>1.9063449100000001</v>
      </c>
      <c r="F3322" s="9" t="str">
        <f t="shared" si="15"/>
        <v>Direct</v>
      </c>
      <c r="G3322" s="7" t="s">
        <v>4052</v>
      </c>
    </row>
    <row r="3323" spans="1:7" x14ac:dyDescent="0.2">
      <c r="A3323" s="6" t="s">
        <v>18</v>
      </c>
      <c r="B3323" s="7" t="s">
        <v>13</v>
      </c>
      <c r="C3323" s="7" t="s">
        <v>4053</v>
      </c>
      <c r="D3323" s="7">
        <v>-2.6388919999999998</v>
      </c>
      <c r="E3323" s="7">
        <v>-1.9124105</v>
      </c>
      <c r="F3323" s="9" t="str">
        <f t="shared" si="15"/>
        <v>Direct</v>
      </c>
      <c r="G3323" s="7" t="s">
        <v>11</v>
      </c>
    </row>
    <row r="3324" spans="1:7" x14ac:dyDescent="0.2">
      <c r="A3324" s="6" t="s">
        <v>18</v>
      </c>
      <c r="B3324" s="7" t="s">
        <v>13</v>
      </c>
      <c r="C3324" s="7" t="s">
        <v>4054</v>
      </c>
      <c r="D3324" s="7">
        <v>2.0541364500000001</v>
      </c>
      <c r="E3324" s="7">
        <v>5.3351164100000004</v>
      </c>
      <c r="F3324" s="9" t="str">
        <f t="shared" si="15"/>
        <v>Direct</v>
      </c>
      <c r="G3324" s="7" t="s">
        <v>11</v>
      </c>
    </row>
    <row r="3325" spans="1:7" x14ac:dyDescent="0.2">
      <c r="A3325" s="6" t="s">
        <v>18</v>
      </c>
      <c r="B3325" s="7" t="s">
        <v>13</v>
      </c>
      <c r="C3325" s="7" t="s">
        <v>4055</v>
      </c>
      <c r="D3325" s="7">
        <v>3.2160528899999998</v>
      </c>
      <c r="E3325" s="7">
        <v>1.3392641300000001</v>
      </c>
      <c r="F3325" s="9" t="str">
        <f t="shared" si="15"/>
        <v>Direct</v>
      </c>
      <c r="G3325" s="7" t="s">
        <v>4056</v>
      </c>
    </row>
    <row r="3326" spans="1:7" x14ac:dyDescent="0.2">
      <c r="A3326" s="6" t="s">
        <v>18</v>
      </c>
      <c r="B3326" s="7" t="s">
        <v>13</v>
      </c>
      <c r="C3326" s="7" t="s">
        <v>4057</v>
      </c>
      <c r="D3326" s="7">
        <v>-1.4007122000000001</v>
      </c>
      <c r="E3326" s="7">
        <v>-1.0332965000000001</v>
      </c>
      <c r="F3326" s="9" t="str">
        <f t="shared" si="15"/>
        <v>Direct</v>
      </c>
      <c r="G3326" s="7" t="s">
        <v>487</v>
      </c>
    </row>
    <row r="3327" spans="1:7" x14ac:dyDescent="0.2">
      <c r="A3327" s="6" t="s">
        <v>18</v>
      </c>
      <c r="B3327" s="7" t="s">
        <v>13</v>
      </c>
      <c r="C3327" s="7" t="s">
        <v>4058</v>
      </c>
      <c r="D3327" s="7">
        <v>-1.0381171</v>
      </c>
      <c r="E3327" s="7">
        <v>-1.1047908</v>
      </c>
      <c r="F3327" s="9" t="str">
        <f t="shared" si="15"/>
        <v>Direct</v>
      </c>
      <c r="G3327" s="7" t="s">
        <v>11</v>
      </c>
    </row>
    <row r="3328" spans="1:7" x14ac:dyDescent="0.2">
      <c r="A3328" s="6" t="s">
        <v>18</v>
      </c>
      <c r="B3328" s="7" t="s">
        <v>13</v>
      </c>
      <c r="C3328" s="7" t="s">
        <v>4059</v>
      </c>
      <c r="D3328" s="7">
        <v>-1.0707298999999999</v>
      </c>
      <c r="E3328" s="7">
        <v>-1.2913196</v>
      </c>
      <c r="F3328" s="9" t="str">
        <f t="shared" si="15"/>
        <v>Direct</v>
      </c>
      <c r="G3328" s="7" t="s">
        <v>11</v>
      </c>
    </row>
    <row r="3329" spans="1:7" x14ac:dyDescent="0.2">
      <c r="A3329" s="6" t="s">
        <v>18</v>
      </c>
      <c r="B3329" s="7" t="s">
        <v>13</v>
      </c>
      <c r="C3329" s="7" t="s">
        <v>3513</v>
      </c>
      <c r="D3329" s="7">
        <v>2.4662253299999999</v>
      </c>
      <c r="E3329" s="7">
        <v>1.04676904</v>
      </c>
      <c r="F3329" s="9" t="str">
        <f t="shared" si="15"/>
        <v>Direct</v>
      </c>
      <c r="G3329" s="7" t="s">
        <v>11</v>
      </c>
    </row>
    <row r="3330" spans="1:7" x14ac:dyDescent="0.2">
      <c r="A3330" s="6" t="s">
        <v>18</v>
      </c>
      <c r="B3330" s="7" t="s">
        <v>13</v>
      </c>
      <c r="C3330" s="7" t="s">
        <v>4060</v>
      </c>
      <c r="D3330" s="7">
        <v>-2.6436709</v>
      </c>
      <c r="E3330" s="7">
        <v>-1.030742</v>
      </c>
      <c r="F3330" s="9" t="str">
        <f t="shared" si="15"/>
        <v>Direct</v>
      </c>
      <c r="G3330" s="7" t="s">
        <v>11</v>
      </c>
    </row>
    <row r="3331" spans="1:7" x14ac:dyDescent="0.2">
      <c r="A3331" s="6" t="s">
        <v>18</v>
      </c>
      <c r="B3331" s="7" t="s">
        <v>13</v>
      </c>
      <c r="C3331" s="7" t="s">
        <v>4061</v>
      </c>
      <c r="D3331" s="7">
        <v>-2.3032727999999998</v>
      </c>
      <c r="E3331" s="7">
        <v>-2.0325293000000002</v>
      </c>
      <c r="F3331" s="9" t="str">
        <f t="shared" si="15"/>
        <v>Direct</v>
      </c>
      <c r="G3331" s="7" t="s">
        <v>11</v>
      </c>
    </row>
    <row r="3332" spans="1:7" x14ac:dyDescent="0.2">
      <c r="A3332" s="6" t="s">
        <v>18</v>
      </c>
      <c r="B3332" s="7" t="s">
        <v>13</v>
      </c>
      <c r="C3332" s="7" t="s">
        <v>4062</v>
      </c>
      <c r="D3332" s="7">
        <v>-4.4400855999999997</v>
      </c>
      <c r="E3332" s="7">
        <v>-1.8184799</v>
      </c>
      <c r="F3332" s="9" t="str">
        <f t="shared" si="15"/>
        <v>Direct</v>
      </c>
      <c r="G3332" s="7" t="s">
        <v>11</v>
      </c>
    </row>
    <row r="3333" spans="1:7" x14ac:dyDescent="0.2">
      <c r="A3333" s="6" t="s">
        <v>18</v>
      </c>
      <c r="B3333" s="7" t="s">
        <v>13</v>
      </c>
      <c r="C3333" s="7" t="s">
        <v>4063</v>
      </c>
      <c r="D3333" s="7">
        <v>1.91658945</v>
      </c>
      <c r="E3333" s="7">
        <v>1.3537266299999999</v>
      </c>
      <c r="F3333" s="9" t="str">
        <f t="shared" si="15"/>
        <v>Direct</v>
      </c>
      <c r="G3333" s="7" t="s">
        <v>11</v>
      </c>
    </row>
    <row r="3334" spans="1:7" x14ac:dyDescent="0.2">
      <c r="A3334" s="6" t="s">
        <v>18</v>
      </c>
      <c r="B3334" s="7" t="s">
        <v>13</v>
      </c>
      <c r="C3334" s="7" t="s">
        <v>4064</v>
      </c>
      <c r="D3334" s="7">
        <v>-1.1552853999999999</v>
      </c>
      <c r="E3334" s="7">
        <v>-2.2792602</v>
      </c>
      <c r="F3334" s="9" t="str">
        <f t="shared" si="15"/>
        <v>Direct</v>
      </c>
      <c r="G3334" s="7" t="s">
        <v>11</v>
      </c>
    </row>
    <row r="3335" spans="1:7" x14ac:dyDescent="0.2">
      <c r="A3335" s="6" t="s">
        <v>18</v>
      </c>
      <c r="B3335" s="7" t="s">
        <v>13</v>
      </c>
      <c r="C3335" s="7" t="s">
        <v>4065</v>
      </c>
      <c r="D3335" s="7">
        <v>-3.2285005</v>
      </c>
      <c r="E3335" s="7">
        <v>-2.2337275999999999</v>
      </c>
      <c r="F3335" s="9" t="str">
        <f t="shared" si="15"/>
        <v>Direct</v>
      </c>
      <c r="G3335" s="7" t="s">
        <v>11</v>
      </c>
    </row>
    <row r="3336" spans="1:7" x14ac:dyDescent="0.2">
      <c r="A3336" s="6" t="s">
        <v>18</v>
      </c>
      <c r="B3336" s="7" t="s">
        <v>13</v>
      </c>
      <c r="C3336" s="7" t="s">
        <v>4066</v>
      </c>
      <c r="D3336" s="7">
        <v>-1.1856096</v>
      </c>
      <c r="E3336" s="7">
        <v>-1.8791708</v>
      </c>
      <c r="F3336" s="9" t="str">
        <f t="shared" si="15"/>
        <v>Direct</v>
      </c>
      <c r="G3336" s="7" t="s">
        <v>11</v>
      </c>
    </row>
    <row r="3337" spans="1:7" x14ac:dyDescent="0.2">
      <c r="A3337" s="6" t="s">
        <v>18</v>
      </c>
      <c r="B3337" s="7" t="s">
        <v>13</v>
      </c>
      <c r="C3337" s="7" t="s">
        <v>4067</v>
      </c>
      <c r="D3337" s="7">
        <v>1.20989766</v>
      </c>
      <c r="E3337" s="7">
        <v>2.7696168299999999</v>
      </c>
      <c r="F3337" s="9" t="str">
        <f t="shared" si="15"/>
        <v>Direct</v>
      </c>
      <c r="G3337" s="7" t="s">
        <v>11</v>
      </c>
    </row>
    <row r="3338" spans="1:7" x14ac:dyDescent="0.2">
      <c r="A3338" s="6" t="s">
        <v>18</v>
      </c>
      <c r="B3338" s="7" t="s">
        <v>13</v>
      </c>
      <c r="C3338" s="7" t="s">
        <v>4068</v>
      </c>
      <c r="D3338" s="7">
        <v>-1.1009488000000001</v>
      </c>
      <c r="E3338" s="7">
        <v>-1.0857393</v>
      </c>
      <c r="F3338" s="9" t="str">
        <f t="shared" si="15"/>
        <v>Direct</v>
      </c>
      <c r="G3338" s="7" t="s">
        <v>3510</v>
      </c>
    </row>
    <row r="3339" spans="1:7" x14ac:dyDescent="0.2">
      <c r="A3339" s="6" t="s">
        <v>18</v>
      </c>
      <c r="B3339" s="7" t="s">
        <v>13</v>
      </c>
      <c r="C3339" s="7" t="s">
        <v>4069</v>
      </c>
      <c r="D3339" s="7">
        <v>-1.2361626999999999</v>
      </c>
      <c r="E3339" s="7">
        <v>-1.8392516000000001</v>
      </c>
      <c r="F3339" s="9" t="str">
        <f t="shared" si="15"/>
        <v>Direct</v>
      </c>
      <c r="G3339" s="7" t="s">
        <v>11</v>
      </c>
    </row>
    <row r="3340" spans="1:7" x14ac:dyDescent="0.2">
      <c r="A3340" s="6" t="s">
        <v>18</v>
      </c>
      <c r="B3340" s="7" t="s">
        <v>13</v>
      </c>
      <c r="C3340" s="7" t="s">
        <v>4070</v>
      </c>
      <c r="D3340" s="7">
        <v>4.0566119499999997</v>
      </c>
      <c r="E3340" s="7">
        <v>3.5624763800000001</v>
      </c>
      <c r="F3340" s="9" t="str">
        <f t="shared" si="15"/>
        <v>Direct</v>
      </c>
      <c r="G3340" s="7" t="s">
        <v>11</v>
      </c>
    </row>
    <row r="3341" spans="1:7" x14ac:dyDescent="0.2">
      <c r="A3341" s="6" t="s">
        <v>18</v>
      </c>
      <c r="B3341" s="7" t="s">
        <v>13</v>
      </c>
      <c r="C3341" s="7" t="s">
        <v>4071</v>
      </c>
      <c r="D3341" s="7">
        <v>-3.2479472</v>
      </c>
      <c r="E3341" s="7">
        <v>-1.5686829</v>
      </c>
      <c r="F3341" s="9" t="str">
        <f t="shared" si="15"/>
        <v>Direct</v>
      </c>
      <c r="G3341" s="7" t="s">
        <v>11</v>
      </c>
    </row>
    <row r="3342" spans="1:7" x14ac:dyDescent="0.2">
      <c r="A3342" s="6" t="s">
        <v>18</v>
      </c>
      <c r="B3342" s="7" t="s">
        <v>13</v>
      </c>
      <c r="C3342" s="7" t="s">
        <v>4072</v>
      </c>
      <c r="D3342" s="7">
        <v>1.23733505</v>
      </c>
      <c r="E3342" s="7">
        <v>3.5888132100000001</v>
      </c>
      <c r="F3342" s="9" t="str">
        <f t="shared" si="15"/>
        <v>Direct</v>
      </c>
      <c r="G3342" s="7" t="s">
        <v>11</v>
      </c>
    </row>
    <row r="3343" spans="1:7" x14ac:dyDescent="0.2">
      <c r="A3343" s="6" t="s">
        <v>18</v>
      </c>
      <c r="B3343" s="7" t="s">
        <v>13</v>
      </c>
      <c r="C3343" s="7" t="s">
        <v>4073</v>
      </c>
      <c r="D3343" s="7">
        <v>-3.1044535</v>
      </c>
      <c r="E3343" s="7">
        <v>-1.5654674</v>
      </c>
      <c r="F3343" s="9" t="str">
        <f t="shared" si="15"/>
        <v>Direct</v>
      </c>
      <c r="G3343" s="7" t="s">
        <v>11</v>
      </c>
    </row>
    <row r="3344" spans="1:7" x14ac:dyDescent="0.2">
      <c r="A3344" s="6" t="s">
        <v>18</v>
      </c>
      <c r="B3344" s="7" t="s">
        <v>13</v>
      </c>
      <c r="C3344" s="7" t="s">
        <v>3529</v>
      </c>
      <c r="D3344" s="7">
        <v>1.9676343700000001</v>
      </c>
      <c r="E3344" s="7">
        <v>2.0575047899999999</v>
      </c>
      <c r="F3344" s="9" t="str">
        <f t="shared" si="15"/>
        <v>Direct</v>
      </c>
      <c r="G3344" s="7" t="s">
        <v>693</v>
      </c>
    </row>
    <row r="3345" spans="1:7" x14ac:dyDescent="0.2">
      <c r="A3345" s="6" t="s">
        <v>18</v>
      </c>
      <c r="B3345" s="7" t="s">
        <v>13</v>
      </c>
      <c r="C3345" s="7" t="s">
        <v>4074</v>
      </c>
      <c r="D3345" s="7">
        <v>1.3681227600000001</v>
      </c>
      <c r="E3345" s="7">
        <v>1.1361316400000001</v>
      </c>
      <c r="F3345" s="9" t="str">
        <f t="shared" si="15"/>
        <v>Direct</v>
      </c>
      <c r="G3345" s="7" t="s">
        <v>11</v>
      </c>
    </row>
    <row r="3346" spans="1:7" x14ac:dyDescent="0.2">
      <c r="A3346" s="6" t="s">
        <v>18</v>
      </c>
      <c r="B3346" s="7" t="s">
        <v>13</v>
      </c>
      <c r="C3346" s="7" t="s">
        <v>4075</v>
      </c>
      <c r="D3346" s="7">
        <v>-1.9809739</v>
      </c>
      <c r="E3346" s="7">
        <v>-1.0423423999999999</v>
      </c>
      <c r="F3346" s="9" t="str">
        <f t="shared" si="15"/>
        <v>Direct</v>
      </c>
      <c r="G3346" s="7" t="s">
        <v>11</v>
      </c>
    </row>
    <row r="3347" spans="1:7" x14ac:dyDescent="0.2">
      <c r="A3347" s="6" t="s">
        <v>18</v>
      </c>
      <c r="B3347" s="7" t="s">
        <v>13</v>
      </c>
      <c r="C3347" s="7" t="s">
        <v>3533</v>
      </c>
      <c r="D3347" s="7">
        <v>2.3943513699999999</v>
      </c>
      <c r="E3347" s="7">
        <v>3.0552917499999999</v>
      </c>
      <c r="F3347" s="9" t="str">
        <f t="shared" si="15"/>
        <v>Direct</v>
      </c>
      <c r="G3347" s="7" t="s">
        <v>2509</v>
      </c>
    </row>
    <row r="3348" spans="1:7" x14ac:dyDescent="0.2">
      <c r="A3348" s="6" t="s">
        <v>18</v>
      </c>
      <c r="B3348" s="7" t="s">
        <v>13</v>
      </c>
      <c r="C3348" s="7" t="s">
        <v>4076</v>
      </c>
      <c r="D3348" s="7">
        <v>-3.0432332</v>
      </c>
      <c r="E3348" s="7">
        <v>-1.1325992</v>
      </c>
      <c r="F3348" s="9" t="str">
        <f t="shared" si="15"/>
        <v>Direct</v>
      </c>
      <c r="G3348" s="7" t="s">
        <v>11</v>
      </c>
    </row>
    <row r="3349" spans="1:7" x14ac:dyDescent="0.2">
      <c r="A3349" s="6" t="s">
        <v>18</v>
      </c>
      <c r="B3349" s="7" t="s">
        <v>13</v>
      </c>
      <c r="C3349" s="7" t="s">
        <v>3536</v>
      </c>
      <c r="D3349" s="7">
        <v>1.21687692</v>
      </c>
      <c r="E3349" s="7">
        <v>1.4004427699999999</v>
      </c>
      <c r="F3349" s="9" t="str">
        <f t="shared" si="15"/>
        <v>Direct</v>
      </c>
      <c r="G3349" s="7" t="s">
        <v>182</v>
      </c>
    </row>
    <row r="3350" spans="1:7" x14ac:dyDescent="0.2">
      <c r="A3350" s="6" t="s">
        <v>18</v>
      </c>
      <c r="B3350" s="7" t="s">
        <v>13</v>
      </c>
      <c r="C3350" s="7" t="s">
        <v>4077</v>
      </c>
      <c r="D3350" s="7">
        <v>-1.2665162999999999</v>
      </c>
      <c r="E3350" s="7">
        <v>-2.1469317000000001</v>
      </c>
      <c r="F3350" s="9" t="str">
        <f t="shared" si="15"/>
        <v>Direct</v>
      </c>
      <c r="G3350" s="7" t="s">
        <v>11</v>
      </c>
    </row>
    <row r="3351" spans="1:7" x14ac:dyDescent="0.2">
      <c r="A3351" s="6" t="s">
        <v>18</v>
      </c>
      <c r="B3351" s="7" t="s">
        <v>13</v>
      </c>
      <c r="C3351" s="7" t="s">
        <v>4078</v>
      </c>
      <c r="D3351" s="7">
        <v>-7.8934211000000003</v>
      </c>
      <c r="E3351" s="7">
        <v>-3.9327046999999999</v>
      </c>
      <c r="F3351" s="9" t="str">
        <f t="shared" si="15"/>
        <v>Direct</v>
      </c>
      <c r="G3351" s="7" t="s">
        <v>3324</v>
      </c>
    </row>
    <row r="3352" spans="1:7" x14ac:dyDescent="0.2">
      <c r="A3352" s="6" t="s">
        <v>18</v>
      </c>
      <c r="B3352" s="7" t="s">
        <v>13</v>
      </c>
      <c r="C3352" s="7" t="s">
        <v>3544</v>
      </c>
      <c r="D3352" s="7">
        <v>-1.1477506</v>
      </c>
      <c r="E3352" s="7">
        <v>-2.1008711</v>
      </c>
      <c r="F3352" s="9" t="str">
        <f t="shared" si="15"/>
        <v>Direct</v>
      </c>
      <c r="G3352" s="7" t="s">
        <v>3523</v>
      </c>
    </row>
    <row r="3353" spans="1:7" x14ac:dyDescent="0.2">
      <c r="A3353" s="6" t="s">
        <v>18</v>
      </c>
      <c r="B3353" s="7" t="s">
        <v>13</v>
      </c>
      <c r="C3353" s="7" t="s">
        <v>4079</v>
      </c>
      <c r="D3353" s="7">
        <v>-1.56162</v>
      </c>
      <c r="E3353" s="7">
        <v>-1.8791708</v>
      </c>
      <c r="F3353" s="9" t="str">
        <f t="shared" si="15"/>
        <v>Direct</v>
      </c>
      <c r="G3353" s="7" t="s">
        <v>11</v>
      </c>
    </row>
    <row r="3354" spans="1:7" x14ac:dyDescent="0.2">
      <c r="A3354" s="6" t="s">
        <v>18</v>
      </c>
      <c r="B3354" s="7" t="s">
        <v>13</v>
      </c>
      <c r="C3354" s="7" t="s">
        <v>4080</v>
      </c>
      <c r="D3354" s="7">
        <v>-2.0800958999999999</v>
      </c>
      <c r="E3354" s="7">
        <v>-1.5673584</v>
      </c>
      <c r="F3354" s="9" t="str">
        <f t="shared" si="15"/>
        <v>Direct</v>
      </c>
      <c r="G3354" s="7" t="s">
        <v>3510</v>
      </c>
    </row>
    <row r="3355" spans="1:7" x14ac:dyDescent="0.2">
      <c r="A3355" s="6" t="s">
        <v>18</v>
      </c>
      <c r="B3355" s="7" t="s">
        <v>13</v>
      </c>
      <c r="C3355" s="7" t="s">
        <v>4081</v>
      </c>
      <c r="D3355" s="7">
        <v>2.6436708599999998</v>
      </c>
      <c r="E3355" s="7">
        <v>1.66058299</v>
      </c>
      <c r="F3355" s="9" t="str">
        <f t="shared" si="15"/>
        <v>Direct</v>
      </c>
      <c r="G3355" s="7" t="s">
        <v>11</v>
      </c>
    </row>
    <row r="3356" spans="1:7" x14ac:dyDescent="0.2">
      <c r="A3356" s="6" t="s">
        <v>18</v>
      </c>
      <c r="B3356" s="7" t="s">
        <v>13</v>
      </c>
      <c r="C3356" s="7" t="s">
        <v>4082</v>
      </c>
      <c r="D3356" s="7">
        <v>-1.3779721</v>
      </c>
      <c r="E3356" s="7">
        <v>-1.6913848</v>
      </c>
      <c r="F3356" s="9" t="str">
        <f t="shared" si="15"/>
        <v>Direct</v>
      </c>
      <c r="G3356" s="7" t="s">
        <v>11</v>
      </c>
    </row>
    <row r="3357" spans="1:7" x14ac:dyDescent="0.2">
      <c r="A3357" s="6" t="s">
        <v>18</v>
      </c>
      <c r="B3357" s="7" t="s">
        <v>13</v>
      </c>
      <c r="C3357" s="7" t="s">
        <v>4083</v>
      </c>
      <c r="D3357" s="7">
        <v>-1.2995935000000001</v>
      </c>
      <c r="E3357" s="7">
        <v>-1.3098143</v>
      </c>
      <c r="F3357" s="9" t="str">
        <f t="shared" si="15"/>
        <v>Direct</v>
      </c>
      <c r="G3357" s="7" t="s">
        <v>11</v>
      </c>
    </row>
    <row r="3358" spans="1:7" x14ac:dyDescent="0.2">
      <c r="A3358" s="6" t="s">
        <v>18</v>
      </c>
      <c r="B3358" s="7" t="s">
        <v>13</v>
      </c>
      <c r="C3358" s="7" t="s">
        <v>4084</v>
      </c>
      <c r="D3358" s="7">
        <v>-2.1586436999999998</v>
      </c>
      <c r="E3358" s="7">
        <v>-2.3893243000000002</v>
      </c>
      <c r="F3358" s="9" t="str">
        <f t="shared" si="15"/>
        <v>Direct</v>
      </c>
      <c r="G3358" s="7" t="s">
        <v>3587</v>
      </c>
    </row>
    <row r="3359" spans="1:7" x14ac:dyDescent="0.2">
      <c r="A3359" s="6" t="s">
        <v>18</v>
      </c>
      <c r="B3359" s="7" t="s">
        <v>13</v>
      </c>
      <c r="C3359" s="7" t="s">
        <v>4085</v>
      </c>
      <c r="D3359" s="7">
        <v>-1.2984214000000001</v>
      </c>
      <c r="E3359" s="7">
        <v>-1.5030572</v>
      </c>
      <c r="F3359" s="9" t="str">
        <f t="shared" si="15"/>
        <v>Direct</v>
      </c>
      <c r="G3359" s="7" t="s">
        <v>11</v>
      </c>
    </row>
    <row r="3360" spans="1:7" x14ac:dyDescent="0.2">
      <c r="A3360" s="6" t="s">
        <v>18</v>
      </c>
      <c r="B3360" s="7" t="s">
        <v>13</v>
      </c>
      <c r="C3360" s="7" t="s">
        <v>4086</v>
      </c>
      <c r="D3360" s="7">
        <v>-1.8744269</v>
      </c>
      <c r="E3360" s="7">
        <v>-1.9393639</v>
      </c>
      <c r="F3360" s="9" t="str">
        <f t="shared" si="15"/>
        <v>Direct</v>
      </c>
      <c r="G3360" s="7" t="s">
        <v>11</v>
      </c>
    </row>
    <row r="3361" spans="1:7" x14ac:dyDescent="0.2">
      <c r="A3361" s="6" t="s">
        <v>18</v>
      </c>
      <c r="B3361" s="7" t="s">
        <v>13</v>
      </c>
      <c r="C3361" s="7" t="s">
        <v>4087</v>
      </c>
      <c r="D3361" s="7">
        <v>-2.8132736999999999</v>
      </c>
      <c r="E3361" s="7">
        <v>-3.4996323</v>
      </c>
      <c r="F3361" s="9" t="str">
        <f t="shared" si="15"/>
        <v>Direct</v>
      </c>
      <c r="G3361" s="7" t="s">
        <v>11</v>
      </c>
    </row>
    <row r="3362" spans="1:7" x14ac:dyDescent="0.2">
      <c r="A3362" s="6" t="s">
        <v>18</v>
      </c>
      <c r="B3362" s="7" t="s">
        <v>13</v>
      </c>
      <c r="C3362" s="7" t="s">
        <v>4088</v>
      </c>
      <c r="D3362" s="7">
        <v>1.7069494999999999</v>
      </c>
      <c r="E3362" s="7">
        <v>1.0172041300000001</v>
      </c>
      <c r="F3362" s="9" t="str">
        <f t="shared" si="15"/>
        <v>Direct</v>
      </c>
      <c r="G3362" s="7" t="s">
        <v>1818</v>
      </c>
    </row>
    <row r="3363" spans="1:7" x14ac:dyDescent="0.2">
      <c r="A3363" s="6" t="s">
        <v>18</v>
      </c>
      <c r="B3363" s="7" t="s">
        <v>13</v>
      </c>
      <c r="C3363" s="7" t="s">
        <v>4089</v>
      </c>
      <c r="D3363" s="7">
        <v>1.2703960999999999</v>
      </c>
      <c r="E3363" s="7">
        <v>1.9908514100000001</v>
      </c>
      <c r="F3363" s="9" t="str">
        <f t="shared" si="15"/>
        <v>Direct</v>
      </c>
      <c r="G3363" s="7" t="s">
        <v>11</v>
      </c>
    </row>
    <row r="3364" spans="1:7" x14ac:dyDescent="0.2">
      <c r="A3364" s="6" t="s">
        <v>18</v>
      </c>
      <c r="B3364" s="7" t="s">
        <v>13</v>
      </c>
      <c r="C3364" s="7" t="s">
        <v>4090</v>
      </c>
      <c r="D3364" s="7">
        <v>1.70285324</v>
      </c>
      <c r="E3364" s="7">
        <v>1.0184279899999999</v>
      </c>
      <c r="F3364" s="9" t="str">
        <f t="shared" si="15"/>
        <v>Direct</v>
      </c>
      <c r="G3364" s="7" t="s">
        <v>11</v>
      </c>
    </row>
    <row r="3365" spans="1:7" x14ac:dyDescent="0.2">
      <c r="A3365" s="6" t="s">
        <v>18</v>
      </c>
      <c r="B3365" s="7" t="s">
        <v>13</v>
      </c>
      <c r="C3365" s="7" t="s">
        <v>4091</v>
      </c>
      <c r="D3365" s="7">
        <v>2.5254127799999999</v>
      </c>
      <c r="E3365" s="7">
        <v>1.7133791300000001</v>
      </c>
      <c r="F3365" s="9" t="str">
        <f t="shared" si="15"/>
        <v>Direct</v>
      </c>
      <c r="G3365" s="7" t="s">
        <v>693</v>
      </c>
    </row>
    <row r="3366" spans="1:7" x14ac:dyDescent="0.2">
      <c r="A3366" s="6" t="s">
        <v>18</v>
      </c>
      <c r="B3366" s="7" t="s">
        <v>13</v>
      </c>
      <c r="C3366" s="7" t="s">
        <v>4092</v>
      </c>
      <c r="D3366" s="7">
        <v>-1.0147016</v>
      </c>
      <c r="E3366" s="7">
        <v>-1.2760174</v>
      </c>
      <c r="F3366" s="9" t="str">
        <f t="shared" si="15"/>
        <v>Direct</v>
      </c>
      <c r="G3366" s="7" t="s">
        <v>4093</v>
      </c>
    </row>
    <row r="3367" spans="1:7" x14ac:dyDescent="0.2">
      <c r="A3367" s="6" t="s">
        <v>18</v>
      </c>
      <c r="B3367" s="7" t="s">
        <v>13</v>
      </c>
      <c r="C3367" s="7" t="s">
        <v>3557</v>
      </c>
      <c r="D3367" s="7">
        <v>2.2439164100000002</v>
      </c>
      <c r="E3367" s="7">
        <v>1.4068453700000001</v>
      </c>
      <c r="F3367" s="9" t="str">
        <f t="shared" si="15"/>
        <v>Direct</v>
      </c>
      <c r="G3367" s="7" t="s">
        <v>11</v>
      </c>
    </row>
    <row r="3368" spans="1:7" x14ac:dyDescent="0.2">
      <c r="A3368" s="6" t="s">
        <v>18</v>
      </c>
      <c r="B3368" s="7" t="s">
        <v>13</v>
      </c>
      <c r="C3368" s="7" t="s">
        <v>4094</v>
      </c>
      <c r="D3368" s="7">
        <v>-3.7101465</v>
      </c>
      <c r="E3368" s="7">
        <v>-1.2290067</v>
      </c>
      <c r="F3368" s="9" t="str">
        <f t="shared" si="15"/>
        <v>Direct</v>
      </c>
      <c r="G3368" s="7" t="s">
        <v>11</v>
      </c>
    </row>
    <row r="3369" spans="1:7" x14ac:dyDescent="0.2">
      <c r="A3369" s="6" t="s">
        <v>18</v>
      </c>
      <c r="B3369" s="7" t="s">
        <v>13</v>
      </c>
      <c r="C3369" s="7" t="s">
        <v>4095</v>
      </c>
      <c r="D3369" s="7">
        <v>-1.2689241</v>
      </c>
      <c r="E3369" s="7">
        <v>-1.3235243999999999</v>
      </c>
      <c r="F3369" s="9" t="str">
        <f t="shared" si="15"/>
        <v>Direct</v>
      </c>
      <c r="G3369" s="7" t="s">
        <v>11</v>
      </c>
    </row>
    <row r="3370" spans="1:7" x14ac:dyDescent="0.2">
      <c r="A3370" s="6" t="s">
        <v>18</v>
      </c>
      <c r="B3370" s="7" t="s">
        <v>13</v>
      </c>
      <c r="C3370" s="7" t="s">
        <v>4096</v>
      </c>
      <c r="D3370" s="7">
        <v>-4.6661519</v>
      </c>
      <c r="E3370" s="7">
        <v>-7.0239617000000001</v>
      </c>
      <c r="F3370" s="9" t="str">
        <f t="shared" si="15"/>
        <v>Direct</v>
      </c>
      <c r="G3370" s="7" t="s">
        <v>11</v>
      </c>
    </row>
    <row r="3371" spans="1:7" x14ac:dyDescent="0.2">
      <c r="A3371" s="6" t="s">
        <v>18</v>
      </c>
      <c r="B3371" s="7" t="s">
        <v>13</v>
      </c>
      <c r="C3371" s="7" t="s">
        <v>4097</v>
      </c>
      <c r="D3371" s="7">
        <v>-1.1477506</v>
      </c>
      <c r="E3371" s="7">
        <v>-2.1036744000000001</v>
      </c>
      <c r="F3371" s="9" t="str">
        <f t="shared" si="15"/>
        <v>Direct</v>
      </c>
      <c r="G3371" s="7" t="s">
        <v>11</v>
      </c>
    </row>
    <row r="3372" spans="1:7" x14ac:dyDescent="0.2">
      <c r="A3372" s="6" t="s">
        <v>18</v>
      </c>
      <c r="B3372" s="7" t="s">
        <v>13</v>
      </c>
      <c r="C3372" s="7" t="s">
        <v>3568</v>
      </c>
      <c r="D3372" s="7">
        <v>4.1650468600000004</v>
      </c>
      <c r="E3372" s="7">
        <v>2.9933232400000001</v>
      </c>
      <c r="F3372" s="9" t="str">
        <f t="shared" si="15"/>
        <v>Direct</v>
      </c>
      <c r="G3372" s="7" t="s">
        <v>3569</v>
      </c>
    </row>
    <row r="3373" spans="1:7" x14ac:dyDescent="0.2">
      <c r="A3373" s="6" t="s">
        <v>18</v>
      </c>
      <c r="B3373" s="7" t="s">
        <v>13</v>
      </c>
      <c r="C3373" s="7" t="s">
        <v>3570</v>
      </c>
      <c r="D3373" s="7">
        <v>-1.0334017</v>
      </c>
      <c r="E3373" s="7">
        <v>-1.3619634</v>
      </c>
      <c r="F3373" s="9" t="str">
        <f t="shared" si="15"/>
        <v>Direct</v>
      </c>
      <c r="G3373" s="7" t="s">
        <v>200</v>
      </c>
    </row>
    <row r="3374" spans="1:7" x14ac:dyDescent="0.2">
      <c r="A3374" s="6" t="s">
        <v>18</v>
      </c>
      <c r="B3374" s="7" t="s">
        <v>13</v>
      </c>
      <c r="C3374" s="7" t="s">
        <v>4098</v>
      </c>
      <c r="D3374" s="7">
        <v>-1.4150502</v>
      </c>
      <c r="E3374" s="7">
        <v>-1.0843636999999999</v>
      </c>
      <c r="F3374" s="9" t="str">
        <f t="shared" si="15"/>
        <v>Direct</v>
      </c>
      <c r="G3374" s="7" t="s">
        <v>11</v>
      </c>
    </row>
    <row r="3375" spans="1:7" x14ac:dyDescent="0.2">
      <c r="A3375" s="6" t="s">
        <v>18</v>
      </c>
      <c r="B3375" s="7" t="s">
        <v>13</v>
      </c>
      <c r="C3375" s="7" t="s">
        <v>4099</v>
      </c>
      <c r="D3375" s="7">
        <v>-1.09853</v>
      </c>
      <c r="E3375" s="7">
        <v>-1.3173136000000001</v>
      </c>
      <c r="F3375" s="9" t="str">
        <f t="shared" si="15"/>
        <v>Direct</v>
      </c>
      <c r="G3375" s="7" t="s">
        <v>11</v>
      </c>
    </row>
    <row r="3376" spans="1:7" x14ac:dyDescent="0.2">
      <c r="A3376" s="6" t="s">
        <v>18</v>
      </c>
      <c r="B3376" s="7" t="s">
        <v>13</v>
      </c>
      <c r="C3376" s="7" t="s">
        <v>4100</v>
      </c>
      <c r="D3376" s="7">
        <v>-1.9105022</v>
      </c>
      <c r="E3376" s="7">
        <v>-2.0803256999999999</v>
      </c>
      <c r="F3376" s="9" t="str">
        <f t="shared" si="15"/>
        <v>Direct</v>
      </c>
      <c r="G3376" s="7" t="s">
        <v>11</v>
      </c>
    </row>
    <row r="3377" spans="1:7" x14ac:dyDescent="0.2">
      <c r="A3377" s="6" t="s">
        <v>18</v>
      </c>
      <c r="B3377" s="7" t="s">
        <v>13</v>
      </c>
      <c r="C3377" s="7" t="s">
        <v>4101</v>
      </c>
      <c r="D3377" s="7">
        <v>-1.0170482000000001</v>
      </c>
      <c r="E3377" s="7">
        <v>-1.5038582</v>
      </c>
      <c r="F3377" s="9" t="str">
        <f t="shared" si="15"/>
        <v>Direct</v>
      </c>
      <c r="G3377" s="7" t="s">
        <v>11</v>
      </c>
    </row>
    <row r="3378" spans="1:7" x14ac:dyDescent="0.2">
      <c r="A3378" s="6" t="s">
        <v>18</v>
      </c>
      <c r="B3378" s="7" t="s">
        <v>13</v>
      </c>
      <c r="C3378" s="7" t="s">
        <v>4102</v>
      </c>
      <c r="D3378" s="7">
        <v>-1.0331102999999999</v>
      </c>
      <c r="E3378" s="7">
        <v>-1.7097526999999999</v>
      </c>
      <c r="F3378" s="9" t="str">
        <f t="shared" si="15"/>
        <v>Direct</v>
      </c>
      <c r="G3378" s="7" t="s">
        <v>11</v>
      </c>
    </row>
    <row r="3379" spans="1:7" x14ac:dyDescent="0.2">
      <c r="A3379" s="6" t="s">
        <v>18</v>
      </c>
      <c r="B3379" s="7" t="s">
        <v>13</v>
      </c>
      <c r="C3379" s="7" t="s">
        <v>4103</v>
      </c>
      <c r="D3379" s="7">
        <v>1.5648292100000001</v>
      </c>
      <c r="E3379" s="7">
        <v>1.5025030100000001</v>
      </c>
      <c r="F3379" s="9" t="str">
        <f t="shared" si="15"/>
        <v>Direct</v>
      </c>
      <c r="G3379" s="7" t="s">
        <v>3575</v>
      </c>
    </row>
    <row r="3380" spans="1:7" x14ac:dyDescent="0.2">
      <c r="A3380" s="6" t="s">
        <v>18</v>
      </c>
      <c r="B3380" s="7" t="s">
        <v>13</v>
      </c>
      <c r="C3380" s="7" t="s">
        <v>4104</v>
      </c>
      <c r="D3380" s="7">
        <v>-1.8846731000000001</v>
      </c>
      <c r="E3380" s="7">
        <v>-1.138234</v>
      </c>
      <c r="F3380" s="9" t="str">
        <f t="shared" si="15"/>
        <v>Direct</v>
      </c>
      <c r="G3380" s="7" t="s">
        <v>11</v>
      </c>
    </row>
    <row r="3381" spans="1:7" x14ac:dyDescent="0.2">
      <c r="A3381" s="6" t="s">
        <v>18</v>
      </c>
      <c r="B3381" s="7" t="s">
        <v>13</v>
      </c>
      <c r="C3381" s="7" t="s">
        <v>4105</v>
      </c>
      <c r="D3381" s="7">
        <v>-2.2282266000000002</v>
      </c>
      <c r="E3381" s="7">
        <v>-2.3664654999999999</v>
      </c>
      <c r="F3381" s="9" t="str">
        <f t="shared" si="15"/>
        <v>Direct</v>
      </c>
      <c r="G3381" s="7" t="s">
        <v>3510</v>
      </c>
    </row>
    <row r="3382" spans="1:7" x14ac:dyDescent="0.2">
      <c r="A3382" s="6" t="s">
        <v>18</v>
      </c>
      <c r="B3382" s="7" t="s">
        <v>13</v>
      </c>
      <c r="C3382" s="7" t="s">
        <v>4106</v>
      </c>
      <c r="D3382" s="7">
        <v>-1.6355732999999999</v>
      </c>
      <c r="E3382" s="7">
        <v>-1.1565112</v>
      </c>
      <c r="F3382" s="9" t="str">
        <f t="shared" si="15"/>
        <v>Direct</v>
      </c>
      <c r="G3382" s="7" t="s">
        <v>4107</v>
      </c>
    </row>
    <row r="3383" spans="1:7" x14ac:dyDescent="0.2">
      <c r="A3383" s="19"/>
      <c r="B3383" s="19"/>
    </row>
    <row r="3384" spans="1:7" x14ac:dyDescent="0.2">
      <c r="A3384" s="19"/>
      <c r="B3384" s="19"/>
    </row>
    <row r="3385" spans="1:7" x14ac:dyDescent="0.2">
      <c r="A3385" s="19"/>
      <c r="B3385" s="19"/>
    </row>
    <row r="3386" spans="1:7" x14ac:dyDescent="0.2">
      <c r="A3386" s="19"/>
      <c r="B3386" s="19"/>
    </row>
    <row r="3387" spans="1:7" x14ac:dyDescent="0.2">
      <c r="A3387" s="19"/>
      <c r="B3387" s="19"/>
    </row>
    <row r="3388" spans="1:7" x14ac:dyDescent="0.2">
      <c r="A3388" s="19"/>
      <c r="B3388" s="19"/>
    </row>
    <row r="3389" spans="1:7" x14ac:dyDescent="0.2">
      <c r="A3389" s="19"/>
      <c r="B3389" s="19"/>
    </row>
    <row r="3390" spans="1:7" x14ac:dyDescent="0.2">
      <c r="A3390" s="19"/>
      <c r="B3390" s="19"/>
    </row>
    <row r="3391" spans="1:7" x14ac:dyDescent="0.2">
      <c r="A3391" s="19"/>
      <c r="B3391" s="19"/>
    </row>
    <row r="3392" spans="1:7" x14ac:dyDescent="0.2">
      <c r="A3392" s="19"/>
      <c r="B3392" s="19"/>
    </row>
    <row r="3393" spans="1:2" x14ac:dyDescent="0.2">
      <c r="A3393" s="19"/>
      <c r="B3393" s="19"/>
    </row>
    <row r="3394" spans="1:2" x14ac:dyDescent="0.2">
      <c r="A3394" s="19"/>
      <c r="B3394" s="19"/>
    </row>
    <row r="3395" spans="1:2" x14ac:dyDescent="0.2">
      <c r="A3395" s="19"/>
      <c r="B3395" s="19"/>
    </row>
    <row r="3396" spans="1:2" x14ac:dyDescent="0.2">
      <c r="A3396" s="19"/>
      <c r="B3396" s="19"/>
    </row>
    <row r="3397" spans="1:2" x14ac:dyDescent="0.2">
      <c r="A3397" s="19"/>
      <c r="B3397" s="19"/>
    </row>
    <row r="3398" spans="1:2" x14ac:dyDescent="0.2">
      <c r="A3398" s="19"/>
      <c r="B3398" s="19"/>
    </row>
    <row r="3399" spans="1:2" x14ac:dyDescent="0.2">
      <c r="A3399" s="19"/>
      <c r="B3399" s="19"/>
    </row>
    <row r="3400" spans="1:2" x14ac:dyDescent="0.2">
      <c r="A3400" s="19"/>
      <c r="B3400" s="19"/>
    </row>
    <row r="3401" spans="1:2" x14ac:dyDescent="0.2">
      <c r="A3401" s="19"/>
      <c r="B3401" s="19"/>
    </row>
    <row r="3402" spans="1:2" x14ac:dyDescent="0.2">
      <c r="A3402" s="19"/>
      <c r="B3402" s="19"/>
    </row>
    <row r="3403" spans="1:2" x14ac:dyDescent="0.2">
      <c r="A3403" s="19"/>
      <c r="B3403" s="19"/>
    </row>
    <row r="3404" spans="1:2" x14ac:dyDescent="0.2">
      <c r="A3404" s="19"/>
      <c r="B3404" s="19"/>
    </row>
    <row r="3405" spans="1:2" x14ac:dyDescent="0.2">
      <c r="A3405" s="19"/>
      <c r="B3405" s="19"/>
    </row>
    <row r="3406" spans="1:2" x14ac:dyDescent="0.2">
      <c r="A3406" s="19"/>
      <c r="B3406" s="19"/>
    </row>
    <row r="3407" spans="1:2" x14ac:dyDescent="0.2">
      <c r="A3407" s="19"/>
      <c r="B3407" s="19"/>
    </row>
    <row r="3408" spans="1:2" x14ac:dyDescent="0.2">
      <c r="A3408" s="19"/>
      <c r="B3408" s="19"/>
    </row>
    <row r="3409" spans="1:2" x14ac:dyDescent="0.2">
      <c r="A3409" s="19"/>
      <c r="B3409" s="19"/>
    </row>
    <row r="3410" spans="1:2" x14ac:dyDescent="0.2">
      <c r="A3410" s="19"/>
      <c r="B3410" s="19"/>
    </row>
    <row r="3411" spans="1:2" x14ac:dyDescent="0.2">
      <c r="A3411" s="19"/>
      <c r="B3411" s="19"/>
    </row>
    <row r="3412" spans="1:2" x14ac:dyDescent="0.2">
      <c r="A3412" s="19"/>
      <c r="B3412" s="19"/>
    </row>
    <row r="3413" spans="1:2" x14ac:dyDescent="0.2">
      <c r="A3413" s="19"/>
      <c r="B3413" s="19"/>
    </row>
    <row r="3414" spans="1:2" x14ac:dyDescent="0.2">
      <c r="A3414" s="19"/>
      <c r="B3414" s="19"/>
    </row>
    <row r="3415" spans="1:2" x14ac:dyDescent="0.2">
      <c r="A3415" s="19"/>
      <c r="B3415" s="19"/>
    </row>
    <row r="3416" spans="1:2" x14ac:dyDescent="0.2">
      <c r="A3416" s="19"/>
      <c r="B3416" s="19"/>
    </row>
    <row r="3417" spans="1:2" x14ac:dyDescent="0.2">
      <c r="A3417" s="19"/>
      <c r="B3417" s="19"/>
    </row>
    <row r="3418" spans="1:2" x14ac:dyDescent="0.2">
      <c r="A3418" s="19"/>
      <c r="B3418" s="19"/>
    </row>
    <row r="3419" spans="1:2" x14ac:dyDescent="0.2">
      <c r="A3419" s="19"/>
      <c r="B3419" s="19"/>
    </row>
    <row r="3420" spans="1:2" x14ac:dyDescent="0.2">
      <c r="A3420" s="19"/>
      <c r="B3420" s="19"/>
    </row>
    <row r="3421" spans="1:2" x14ac:dyDescent="0.2">
      <c r="A3421" s="19"/>
      <c r="B3421" s="19"/>
    </row>
    <row r="3422" spans="1:2" x14ac:dyDescent="0.2">
      <c r="A3422" s="19"/>
      <c r="B3422" s="19"/>
    </row>
    <row r="3423" spans="1:2" x14ac:dyDescent="0.2">
      <c r="A3423" s="19"/>
      <c r="B3423" s="19"/>
    </row>
    <row r="3424" spans="1:2" x14ac:dyDescent="0.2">
      <c r="A3424" s="19"/>
      <c r="B3424" s="19"/>
    </row>
    <row r="3425" spans="1:2" x14ac:dyDescent="0.2">
      <c r="A3425" s="19"/>
      <c r="B3425" s="19"/>
    </row>
    <row r="3426" spans="1:2" x14ac:dyDescent="0.2">
      <c r="A3426" s="19"/>
      <c r="B3426" s="19"/>
    </row>
    <row r="3427" spans="1:2" x14ac:dyDescent="0.2">
      <c r="A3427" s="19"/>
      <c r="B3427" s="19"/>
    </row>
    <row r="3428" spans="1:2" x14ac:dyDescent="0.2">
      <c r="A3428" s="19"/>
      <c r="B3428" s="19"/>
    </row>
    <row r="3429" spans="1:2" x14ac:dyDescent="0.2">
      <c r="A3429" s="19"/>
      <c r="B3429" s="19"/>
    </row>
    <row r="3430" spans="1:2" x14ac:dyDescent="0.2">
      <c r="A3430" s="19"/>
      <c r="B3430" s="19"/>
    </row>
    <row r="3431" spans="1:2" x14ac:dyDescent="0.2">
      <c r="A3431" s="19"/>
      <c r="B3431" s="19"/>
    </row>
    <row r="3432" spans="1:2" x14ac:dyDescent="0.2">
      <c r="A3432" s="19"/>
      <c r="B3432" s="19"/>
    </row>
    <row r="3433" spans="1:2" x14ac:dyDescent="0.2">
      <c r="A3433" s="19"/>
      <c r="B3433" s="19"/>
    </row>
    <row r="3434" spans="1:2" x14ac:dyDescent="0.2">
      <c r="A3434" s="19"/>
      <c r="B3434" s="19"/>
    </row>
    <row r="3435" spans="1:2" x14ac:dyDescent="0.2">
      <c r="A3435" s="19"/>
      <c r="B3435" s="19"/>
    </row>
    <row r="3436" spans="1:2" x14ac:dyDescent="0.2">
      <c r="A3436" s="19"/>
      <c r="B3436" s="19"/>
    </row>
    <row r="3437" spans="1:2" x14ac:dyDescent="0.2">
      <c r="A3437" s="19"/>
      <c r="B3437" s="19"/>
    </row>
    <row r="3438" spans="1:2" x14ac:dyDescent="0.2">
      <c r="A3438" s="19"/>
      <c r="B3438" s="19"/>
    </row>
    <row r="3439" spans="1:2" x14ac:dyDescent="0.2">
      <c r="A3439" s="19"/>
      <c r="B3439" s="19"/>
    </row>
    <row r="3440" spans="1:2" x14ac:dyDescent="0.2">
      <c r="A3440" s="19"/>
      <c r="B3440" s="19"/>
    </row>
    <row r="3441" spans="1:2" x14ac:dyDescent="0.2">
      <c r="A3441" s="19"/>
      <c r="B3441" s="19"/>
    </row>
    <row r="3442" spans="1:2" x14ac:dyDescent="0.2">
      <c r="A3442" s="19"/>
      <c r="B3442" s="19"/>
    </row>
    <row r="3443" spans="1:2" x14ac:dyDescent="0.2">
      <c r="A3443" s="19"/>
      <c r="B3443" s="19"/>
    </row>
    <row r="3444" spans="1:2" x14ac:dyDescent="0.2">
      <c r="A3444" s="19"/>
      <c r="B3444" s="19"/>
    </row>
    <row r="3445" spans="1:2" x14ac:dyDescent="0.2">
      <c r="A3445" s="19"/>
      <c r="B3445" s="19"/>
    </row>
    <row r="3446" spans="1:2" x14ac:dyDescent="0.2">
      <c r="A3446" s="19"/>
      <c r="B3446" s="19"/>
    </row>
    <row r="3447" spans="1:2" x14ac:dyDescent="0.2">
      <c r="A3447" s="19"/>
      <c r="B3447" s="19"/>
    </row>
    <row r="3448" spans="1:2" x14ac:dyDescent="0.2">
      <c r="A3448" s="19"/>
      <c r="B3448" s="19"/>
    </row>
    <row r="3449" spans="1:2" x14ac:dyDescent="0.2">
      <c r="A3449" s="19"/>
      <c r="B3449" s="19"/>
    </row>
    <row r="3450" spans="1:2" x14ac:dyDescent="0.2">
      <c r="A3450" s="19"/>
      <c r="B3450" s="19"/>
    </row>
    <row r="3451" spans="1:2" x14ac:dyDescent="0.2">
      <c r="A3451" s="19"/>
      <c r="B3451" s="19"/>
    </row>
    <row r="3452" spans="1:2" x14ac:dyDescent="0.2">
      <c r="A3452" s="19"/>
      <c r="B3452" s="19"/>
    </row>
    <row r="3453" spans="1:2" x14ac:dyDescent="0.2">
      <c r="A3453" s="19"/>
      <c r="B3453" s="19"/>
    </row>
    <row r="3454" spans="1:2" x14ac:dyDescent="0.2">
      <c r="A3454" s="19"/>
      <c r="B3454" s="19"/>
    </row>
    <row r="3455" spans="1:2" x14ac:dyDescent="0.2">
      <c r="A3455" s="19"/>
      <c r="B3455" s="19"/>
    </row>
    <row r="3456" spans="1:2" x14ac:dyDescent="0.2">
      <c r="A3456" s="19"/>
      <c r="B3456" s="19"/>
    </row>
    <row r="3457" spans="1:2" x14ac:dyDescent="0.2">
      <c r="A3457" s="19"/>
      <c r="B3457" s="19"/>
    </row>
    <row r="3458" spans="1:2" x14ac:dyDescent="0.2">
      <c r="A3458" s="19"/>
      <c r="B3458" s="19"/>
    </row>
    <row r="3459" spans="1:2" x14ac:dyDescent="0.2">
      <c r="A3459" s="19"/>
      <c r="B3459" s="19"/>
    </row>
    <row r="3460" spans="1:2" x14ac:dyDescent="0.2">
      <c r="A3460" s="19"/>
      <c r="B3460" s="19"/>
    </row>
    <row r="3461" spans="1:2" x14ac:dyDescent="0.2">
      <c r="A3461" s="19"/>
      <c r="B3461" s="19"/>
    </row>
    <row r="3462" spans="1:2" x14ac:dyDescent="0.2">
      <c r="A3462" s="19"/>
      <c r="B3462" s="19"/>
    </row>
    <row r="3463" spans="1:2" x14ac:dyDescent="0.2">
      <c r="A3463" s="19"/>
      <c r="B3463" s="19"/>
    </row>
    <row r="3464" spans="1:2" x14ac:dyDescent="0.2">
      <c r="A3464" s="19"/>
      <c r="B3464" s="19"/>
    </row>
    <row r="3465" spans="1:2" x14ac:dyDescent="0.2">
      <c r="A3465" s="19"/>
      <c r="B3465" s="19"/>
    </row>
    <row r="3466" spans="1:2" x14ac:dyDescent="0.2">
      <c r="A3466" s="19"/>
      <c r="B3466" s="19"/>
    </row>
    <row r="3467" spans="1:2" x14ac:dyDescent="0.2">
      <c r="A3467" s="19"/>
      <c r="B3467" s="19"/>
    </row>
    <row r="3468" spans="1:2" x14ac:dyDescent="0.2">
      <c r="A3468" s="19"/>
      <c r="B3468" s="19"/>
    </row>
    <row r="3469" spans="1:2" x14ac:dyDescent="0.2">
      <c r="A3469" s="19"/>
      <c r="B3469" s="19"/>
    </row>
    <row r="3470" spans="1:2" x14ac:dyDescent="0.2">
      <c r="A3470" s="19"/>
      <c r="B3470" s="19"/>
    </row>
    <row r="3471" spans="1:2" x14ac:dyDescent="0.2">
      <c r="A3471" s="19"/>
      <c r="B3471" s="19"/>
    </row>
    <row r="3472" spans="1:2" x14ac:dyDescent="0.2">
      <c r="A3472" s="19"/>
      <c r="B3472" s="19"/>
    </row>
    <row r="3473" spans="1:2" x14ac:dyDescent="0.2">
      <c r="A3473" s="19"/>
      <c r="B3473" s="19"/>
    </row>
    <row r="3474" spans="1:2" x14ac:dyDescent="0.2">
      <c r="A3474" s="19"/>
      <c r="B3474" s="19"/>
    </row>
    <row r="3475" spans="1:2" x14ac:dyDescent="0.2">
      <c r="A3475" s="19"/>
      <c r="B3475" s="19"/>
    </row>
    <row r="3476" spans="1:2" x14ac:dyDescent="0.2">
      <c r="A3476" s="19"/>
      <c r="B3476" s="19"/>
    </row>
    <row r="3477" spans="1:2" x14ac:dyDescent="0.2">
      <c r="A3477" s="19"/>
      <c r="B3477" s="19"/>
    </row>
    <row r="3478" spans="1:2" x14ac:dyDescent="0.2">
      <c r="A3478" s="19"/>
      <c r="B3478" s="19"/>
    </row>
    <row r="3479" spans="1:2" x14ac:dyDescent="0.2">
      <c r="A3479" s="19"/>
      <c r="B3479" s="19"/>
    </row>
    <row r="3480" spans="1:2" x14ac:dyDescent="0.2">
      <c r="A3480" s="19"/>
      <c r="B3480" s="19"/>
    </row>
    <row r="3481" spans="1:2" x14ac:dyDescent="0.2">
      <c r="A3481" s="19"/>
      <c r="B3481" s="19"/>
    </row>
    <row r="3482" spans="1:2" x14ac:dyDescent="0.2">
      <c r="A3482" s="19"/>
      <c r="B3482" s="19"/>
    </row>
    <row r="3483" spans="1:2" x14ac:dyDescent="0.2">
      <c r="A3483" s="19"/>
      <c r="B3483" s="19"/>
    </row>
    <row r="3484" spans="1:2" x14ac:dyDescent="0.2">
      <c r="A3484" s="19"/>
      <c r="B3484" s="19"/>
    </row>
    <row r="3485" spans="1:2" x14ac:dyDescent="0.2">
      <c r="A3485" s="19"/>
      <c r="B3485" s="19"/>
    </row>
    <row r="3486" spans="1:2" x14ac:dyDescent="0.2">
      <c r="A3486" s="19"/>
      <c r="B3486" s="19"/>
    </row>
    <row r="3487" spans="1:2" x14ac:dyDescent="0.2">
      <c r="A3487" s="19"/>
      <c r="B3487" s="19"/>
    </row>
    <row r="3488" spans="1:2" x14ac:dyDescent="0.2">
      <c r="A3488" s="19"/>
      <c r="B3488" s="19"/>
    </row>
    <row r="3489" spans="1:2" x14ac:dyDescent="0.2">
      <c r="A3489" s="19"/>
      <c r="B3489" s="19"/>
    </row>
    <row r="3490" spans="1:2" x14ac:dyDescent="0.2">
      <c r="A3490" s="19"/>
      <c r="B3490" s="19"/>
    </row>
    <row r="3491" spans="1:2" x14ac:dyDescent="0.2">
      <c r="A3491" s="19"/>
      <c r="B3491" s="19"/>
    </row>
    <row r="3492" spans="1:2" x14ac:dyDescent="0.2">
      <c r="A3492" s="19"/>
      <c r="B3492" s="19"/>
    </row>
    <row r="3493" spans="1:2" x14ac:dyDescent="0.2">
      <c r="A3493" s="19"/>
      <c r="B3493" s="19"/>
    </row>
    <row r="3494" spans="1:2" x14ac:dyDescent="0.2">
      <c r="A3494" s="19"/>
      <c r="B3494" s="19"/>
    </row>
    <row r="3495" spans="1:2" x14ac:dyDescent="0.2">
      <c r="A3495" s="19"/>
      <c r="B3495" s="19"/>
    </row>
    <row r="3496" spans="1:2" x14ac:dyDescent="0.2">
      <c r="A3496" s="19"/>
      <c r="B3496" s="19"/>
    </row>
    <row r="3497" spans="1:2" x14ac:dyDescent="0.2">
      <c r="A3497" s="19"/>
      <c r="B3497" s="19"/>
    </row>
    <row r="3498" spans="1:2" x14ac:dyDescent="0.2">
      <c r="A3498" s="19"/>
      <c r="B3498" s="19"/>
    </row>
    <row r="3499" spans="1:2" x14ac:dyDescent="0.2">
      <c r="A3499" s="19"/>
      <c r="B3499" s="19"/>
    </row>
    <row r="3500" spans="1:2" x14ac:dyDescent="0.2">
      <c r="A3500" s="19"/>
      <c r="B3500" s="19"/>
    </row>
    <row r="3501" spans="1:2" x14ac:dyDescent="0.2">
      <c r="A3501" s="19"/>
      <c r="B3501" s="19"/>
    </row>
    <row r="3502" spans="1:2" x14ac:dyDescent="0.2">
      <c r="A3502" s="19"/>
      <c r="B3502" s="19"/>
    </row>
    <row r="3503" spans="1:2" x14ac:dyDescent="0.2">
      <c r="A3503" s="19"/>
      <c r="B3503" s="19"/>
    </row>
    <row r="3504" spans="1:2" x14ac:dyDescent="0.2">
      <c r="A3504" s="19"/>
      <c r="B3504" s="19"/>
    </row>
    <row r="3505" spans="1:2" x14ac:dyDescent="0.2">
      <c r="A3505" s="19"/>
      <c r="B3505" s="19"/>
    </row>
    <row r="3506" spans="1:2" x14ac:dyDescent="0.2">
      <c r="A3506" s="19"/>
      <c r="B3506" s="19"/>
    </row>
    <row r="3507" spans="1:2" x14ac:dyDescent="0.2">
      <c r="A3507" s="19"/>
      <c r="B3507" s="19"/>
    </row>
    <row r="3508" spans="1:2" x14ac:dyDescent="0.2">
      <c r="A3508" s="19"/>
      <c r="B3508" s="19"/>
    </row>
    <row r="3509" spans="1:2" x14ac:dyDescent="0.2">
      <c r="A3509" s="19"/>
      <c r="B3509" s="19"/>
    </row>
    <row r="3510" spans="1:2" x14ac:dyDescent="0.2">
      <c r="A3510" s="19"/>
      <c r="B3510" s="19"/>
    </row>
    <row r="3511" spans="1:2" x14ac:dyDescent="0.2">
      <c r="A3511" s="19"/>
      <c r="B3511" s="19"/>
    </row>
    <row r="3512" spans="1:2" x14ac:dyDescent="0.2">
      <c r="A3512" s="19"/>
      <c r="B3512" s="19"/>
    </row>
    <row r="3513" spans="1:2" x14ac:dyDescent="0.2">
      <c r="A3513" s="19"/>
      <c r="B3513" s="19"/>
    </row>
    <row r="3514" spans="1:2" x14ac:dyDescent="0.2">
      <c r="A3514" s="19"/>
      <c r="B3514" s="19"/>
    </row>
    <row r="3515" spans="1:2" x14ac:dyDescent="0.2">
      <c r="A3515" s="19"/>
      <c r="B3515" s="19"/>
    </row>
    <row r="3516" spans="1:2" x14ac:dyDescent="0.2">
      <c r="A3516" s="19"/>
      <c r="B3516" s="19"/>
    </row>
    <row r="3517" spans="1:2" x14ac:dyDescent="0.2">
      <c r="A3517" s="19"/>
      <c r="B3517" s="19"/>
    </row>
    <row r="3518" spans="1:2" x14ac:dyDescent="0.2">
      <c r="A3518" s="19"/>
      <c r="B3518" s="19"/>
    </row>
    <row r="3519" spans="1:2" x14ac:dyDescent="0.2">
      <c r="A3519" s="19"/>
      <c r="B3519" s="19"/>
    </row>
    <row r="3520" spans="1:2" x14ac:dyDescent="0.2">
      <c r="A3520" s="19"/>
      <c r="B3520" s="19"/>
    </row>
    <row r="3521" spans="1:2" x14ac:dyDescent="0.2">
      <c r="A3521" s="19"/>
      <c r="B3521" s="19"/>
    </row>
    <row r="3522" spans="1:2" x14ac:dyDescent="0.2">
      <c r="A3522" s="19"/>
      <c r="B3522" s="19"/>
    </row>
    <row r="3523" spans="1:2" x14ac:dyDescent="0.2">
      <c r="A3523" s="19"/>
      <c r="B3523" s="19"/>
    </row>
    <row r="3524" spans="1:2" x14ac:dyDescent="0.2">
      <c r="A3524" s="19"/>
      <c r="B3524" s="19"/>
    </row>
    <row r="3525" spans="1:2" x14ac:dyDescent="0.2">
      <c r="A3525" s="19"/>
      <c r="B3525" s="19"/>
    </row>
    <row r="3526" spans="1:2" x14ac:dyDescent="0.2">
      <c r="A3526" s="19"/>
      <c r="B3526" s="19"/>
    </row>
    <row r="3527" spans="1:2" x14ac:dyDescent="0.2">
      <c r="A3527" s="19"/>
      <c r="B3527" s="19"/>
    </row>
    <row r="3528" spans="1:2" x14ac:dyDescent="0.2">
      <c r="A3528" s="19"/>
      <c r="B3528" s="19"/>
    </row>
    <row r="3529" spans="1:2" x14ac:dyDescent="0.2">
      <c r="A3529" s="19"/>
      <c r="B3529" s="19"/>
    </row>
    <row r="3530" spans="1:2" x14ac:dyDescent="0.2">
      <c r="A3530" s="19"/>
      <c r="B3530" s="19"/>
    </row>
    <row r="3531" spans="1:2" x14ac:dyDescent="0.2">
      <c r="A3531" s="19"/>
      <c r="B3531" s="19"/>
    </row>
    <row r="3532" spans="1:2" x14ac:dyDescent="0.2">
      <c r="A3532" s="19"/>
      <c r="B3532" s="19"/>
    </row>
    <row r="3533" spans="1:2" x14ac:dyDescent="0.2">
      <c r="A3533" s="19"/>
      <c r="B3533" s="19"/>
    </row>
    <row r="3534" spans="1:2" x14ac:dyDescent="0.2">
      <c r="A3534" s="19"/>
      <c r="B3534" s="19"/>
    </row>
    <row r="3535" spans="1:2" x14ac:dyDescent="0.2">
      <c r="A3535" s="19"/>
      <c r="B3535" s="19"/>
    </row>
    <row r="3536" spans="1:2" x14ac:dyDescent="0.2">
      <c r="A3536" s="19"/>
      <c r="B3536" s="19"/>
    </row>
    <row r="3537" spans="1:2" x14ac:dyDescent="0.2">
      <c r="A3537" s="19"/>
      <c r="B3537" s="19"/>
    </row>
    <row r="3538" spans="1:2" x14ac:dyDescent="0.2">
      <c r="A3538" s="19"/>
      <c r="B3538" s="19"/>
    </row>
    <row r="3539" spans="1:2" x14ac:dyDescent="0.2">
      <c r="A3539" s="19"/>
      <c r="B3539" s="19"/>
    </row>
    <row r="3540" spans="1:2" x14ac:dyDescent="0.2">
      <c r="A3540" s="19"/>
      <c r="B3540" s="19"/>
    </row>
    <row r="3541" spans="1:2" x14ac:dyDescent="0.2">
      <c r="A3541" s="19"/>
      <c r="B3541" s="19"/>
    </row>
    <row r="3542" spans="1:2" x14ac:dyDescent="0.2">
      <c r="A3542" s="19"/>
      <c r="B3542" s="19"/>
    </row>
    <row r="3543" spans="1:2" x14ac:dyDescent="0.2">
      <c r="A3543" s="19"/>
      <c r="B3543" s="19"/>
    </row>
    <row r="3544" spans="1:2" x14ac:dyDescent="0.2">
      <c r="A3544" s="19"/>
      <c r="B3544" s="19"/>
    </row>
    <row r="3545" spans="1:2" x14ac:dyDescent="0.2">
      <c r="A3545" s="19"/>
      <c r="B3545" s="19"/>
    </row>
    <row r="3546" spans="1:2" x14ac:dyDescent="0.2">
      <c r="A3546" s="19"/>
      <c r="B3546" s="19"/>
    </row>
    <row r="3547" spans="1:2" x14ac:dyDescent="0.2">
      <c r="A3547" s="19"/>
      <c r="B3547" s="19"/>
    </row>
    <row r="3548" spans="1:2" x14ac:dyDescent="0.2">
      <c r="A3548" s="19"/>
      <c r="B3548" s="19"/>
    </row>
    <row r="3549" spans="1:2" x14ac:dyDescent="0.2">
      <c r="A3549" s="19"/>
      <c r="B3549" s="19"/>
    </row>
    <row r="3550" spans="1:2" x14ac:dyDescent="0.2">
      <c r="A3550" s="19"/>
      <c r="B3550" s="19"/>
    </row>
    <row r="3551" spans="1:2" x14ac:dyDescent="0.2">
      <c r="A3551" s="19"/>
      <c r="B3551" s="19"/>
    </row>
    <row r="3552" spans="1:2" x14ac:dyDescent="0.2">
      <c r="A3552" s="19"/>
      <c r="B3552" s="19"/>
    </row>
    <row r="3553" spans="1:2" x14ac:dyDescent="0.2">
      <c r="A3553" s="19"/>
      <c r="B3553" s="19"/>
    </row>
    <row r="3554" spans="1:2" x14ac:dyDescent="0.2">
      <c r="A3554" s="19"/>
      <c r="B3554" s="19"/>
    </row>
    <row r="3555" spans="1:2" x14ac:dyDescent="0.2">
      <c r="A3555" s="19"/>
      <c r="B3555" s="19"/>
    </row>
    <row r="3556" spans="1:2" x14ac:dyDescent="0.2">
      <c r="A3556" s="19"/>
      <c r="B3556" s="19"/>
    </row>
    <row r="3557" spans="1:2" x14ac:dyDescent="0.2">
      <c r="A3557" s="19"/>
      <c r="B3557" s="19"/>
    </row>
    <row r="3558" spans="1:2" x14ac:dyDescent="0.2">
      <c r="A3558" s="19"/>
      <c r="B3558" s="19"/>
    </row>
    <row r="3559" spans="1:2" x14ac:dyDescent="0.2">
      <c r="A3559" s="19"/>
      <c r="B3559" s="19"/>
    </row>
    <row r="3560" spans="1:2" x14ac:dyDescent="0.2">
      <c r="A3560" s="19"/>
      <c r="B3560" s="19"/>
    </row>
    <row r="3561" spans="1:2" x14ac:dyDescent="0.2">
      <c r="A3561" s="19"/>
      <c r="B3561" s="19"/>
    </row>
    <row r="3562" spans="1:2" x14ac:dyDescent="0.2">
      <c r="A3562" s="19"/>
      <c r="B3562" s="19"/>
    </row>
    <row r="3563" spans="1:2" x14ac:dyDescent="0.2">
      <c r="A3563" s="19"/>
      <c r="B3563" s="19"/>
    </row>
    <row r="3564" spans="1:2" x14ac:dyDescent="0.2">
      <c r="A3564" s="19"/>
      <c r="B3564" s="19"/>
    </row>
    <row r="3565" spans="1:2" x14ac:dyDescent="0.2">
      <c r="A3565" s="19"/>
      <c r="B3565" s="19"/>
    </row>
    <row r="3566" spans="1:2" x14ac:dyDescent="0.2">
      <c r="A3566" s="19"/>
      <c r="B3566" s="19"/>
    </row>
    <row r="3567" spans="1:2" x14ac:dyDescent="0.2">
      <c r="A3567" s="19"/>
      <c r="B3567" s="19"/>
    </row>
    <row r="3568" spans="1:2" x14ac:dyDescent="0.2">
      <c r="A3568" s="19"/>
      <c r="B3568" s="19"/>
    </row>
    <row r="3569" spans="1:2" x14ac:dyDescent="0.2">
      <c r="A3569" s="19"/>
      <c r="B3569" s="19"/>
    </row>
    <row r="3570" spans="1:2" x14ac:dyDescent="0.2">
      <c r="A3570" s="19"/>
      <c r="B3570" s="19"/>
    </row>
    <row r="3571" spans="1:2" x14ac:dyDescent="0.2">
      <c r="A3571" s="19"/>
      <c r="B3571" s="19"/>
    </row>
    <row r="3572" spans="1:2" x14ac:dyDescent="0.2">
      <c r="A3572" s="19"/>
      <c r="B3572" s="19"/>
    </row>
    <row r="3573" spans="1:2" x14ac:dyDescent="0.2">
      <c r="A3573" s="19"/>
      <c r="B3573" s="19"/>
    </row>
    <row r="3574" spans="1:2" x14ac:dyDescent="0.2">
      <c r="A3574" s="19"/>
      <c r="B3574" s="19"/>
    </row>
    <row r="3575" spans="1:2" x14ac:dyDescent="0.2">
      <c r="A3575" s="19"/>
      <c r="B3575" s="19"/>
    </row>
    <row r="3576" spans="1:2" x14ac:dyDescent="0.2">
      <c r="A3576" s="19"/>
      <c r="B3576" s="19"/>
    </row>
    <row r="3577" spans="1:2" x14ac:dyDescent="0.2">
      <c r="A3577" s="19"/>
      <c r="B3577" s="19"/>
    </row>
    <row r="3578" spans="1:2" x14ac:dyDescent="0.2">
      <c r="A3578" s="19"/>
      <c r="B3578" s="19"/>
    </row>
    <row r="3579" spans="1:2" x14ac:dyDescent="0.2">
      <c r="A3579" s="19"/>
      <c r="B3579" s="19"/>
    </row>
    <row r="3580" spans="1:2" x14ac:dyDescent="0.2">
      <c r="A3580" s="19"/>
      <c r="B3580" s="19"/>
    </row>
    <row r="3581" spans="1:2" x14ac:dyDescent="0.2">
      <c r="A3581" s="19"/>
      <c r="B3581" s="19"/>
    </row>
    <row r="3582" spans="1:2" x14ac:dyDescent="0.2">
      <c r="A3582" s="19"/>
      <c r="B3582" s="19"/>
    </row>
    <row r="3583" spans="1:2" x14ac:dyDescent="0.2">
      <c r="A3583" s="19"/>
      <c r="B3583" s="19"/>
    </row>
    <row r="3584" spans="1:2" x14ac:dyDescent="0.2">
      <c r="A3584" s="19"/>
      <c r="B3584" s="19"/>
    </row>
    <row r="3585" spans="1:2" x14ac:dyDescent="0.2">
      <c r="A3585" s="19"/>
      <c r="B3585" s="19"/>
    </row>
    <row r="3586" spans="1:2" x14ac:dyDescent="0.2">
      <c r="A3586" s="19"/>
      <c r="B3586" s="19"/>
    </row>
    <row r="3587" spans="1:2" x14ac:dyDescent="0.2">
      <c r="A3587" s="19"/>
      <c r="B3587" s="19"/>
    </row>
    <row r="3588" spans="1:2" x14ac:dyDescent="0.2">
      <c r="A3588" s="19"/>
      <c r="B3588" s="19"/>
    </row>
    <row r="3589" spans="1:2" x14ac:dyDescent="0.2">
      <c r="A3589" s="19"/>
      <c r="B3589" s="19"/>
    </row>
    <row r="3590" spans="1:2" x14ac:dyDescent="0.2">
      <c r="A3590" s="19"/>
      <c r="B3590" s="19"/>
    </row>
    <row r="3591" spans="1:2" x14ac:dyDescent="0.2">
      <c r="A3591" s="19"/>
      <c r="B3591" s="19"/>
    </row>
    <row r="3592" spans="1:2" x14ac:dyDescent="0.2">
      <c r="A3592" s="19"/>
      <c r="B3592" s="19"/>
    </row>
    <row r="3593" spans="1:2" x14ac:dyDescent="0.2">
      <c r="A3593" s="19"/>
      <c r="B3593" s="19"/>
    </row>
    <row r="3594" spans="1:2" x14ac:dyDescent="0.2">
      <c r="A3594" s="19"/>
      <c r="B3594" s="19"/>
    </row>
    <row r="3595" spans="1:2" x14ac:dyDescent="0.2">
      <c r="A3595" s="19"/>
      <c r="B3595" s="19"/>
    </row>
    <row r="3596" spans="1:2" x14ac:dyDescent="0.2">
      <c r="A3596" s="19"/>
      <c r="B3596" s="19"/>
    </row>
    <row r="3597" spans="1:2" x14ac:dyDescent="0.2">
      <c r="A3597" s="19"/>
      <c r="B3597" s="19"/>
    </row>
    <row r="3598" spans="1:2" x14ac:dyDescent="0.2">
      <c r="A3598" s="19"/>
      <c r="B3598" s="19"/>
    </row>
    <row r="3599" spans="1:2" x14ac:dyDescent="0.2">
      <c r="A3599" s="19"/>
      <c r="B3599" s="19"/>
    </row>
    <row r="3600" spans="1:2" x14ac:dyDescent="0.2">
      <c r="A3600" s="19"/>
      <c r="B3600" s="19"/>
    </row>
    <row r="3601" spans="1:2" x14ac:dyDescent="0.2">
      <c r="A3601" s="19"/>
      <c r="B3601" s="19"/>
    </row>
    <row r="3602" spans="1:2" x14ac:dyDescent="0.2">
      <c r="A3602" s="19"/>
      <c r="B3602" s="19"/>
    </row>
    <row r="3603" spans="1:2" x14ac:dyDescent="0.2">
      <c r="A3603" s="19"/>
      <c r="B3603" s="19"/>
    </row>
    <row r="3604" spans="1:2" x14ac:dyDescent="0.2">
      <c r="A3604" s="19"/>
      <c r="B3604" s="19"/>
    </row>
    <row r="3605" spans="1:2" x14ac:dyDescent="0.2">
      <c r="A3605" s="19"/>
      <c r="B3605" s="19"/>
    </row>
    <row r="3606" spans="1:2" x14ac:dyDescent="0.2">
      <c r="A3606" s="19"/>
      <c r="B3606" s="19"/>
    </row>
    <row r="3607" spans="1:2" x14ac:dyDescent="0.2">
      <c r="A3607" s="19"/>
      <c r="B3607" s="19"/>
    </row>
    <row r="3608" spans="1:2" x14ac:dyDescent="0.2">
      <c r="A3608" s="19"/>
      <c r="B3608" s="19"/>
    </row>
    <row r="3609" spans="1:2" x14ac:dyDescent="0.2">
      <c r="A3609" s="19"/>
      <c r="B3609" s="19"/>
    </row>
    <row r="3610" spans="1:2" x14ac:dyDescent="0.2">
      <c r="A3610" s="19"/>
      <c r="B3610" s="19"/>
    </row>
    <row r="3611" spans="1:2" x14ac:dyDescent="0.2">
      <c r="A3611" s="19"/>
      <c r="B3611" s="19"/>
    </row>
    <row r="3612" spans="1:2" x14ac:dyDescent="0.2">
      <c r="A3612" s="19"/>
      <c r="B3612" s="19"/>
    </row>
    <row r="3613" spans="1:2" x14ac:dyDescent="0.2">
      <c r="A3613" s="19"/>
      <c r="B3613" s="19"/>
    </row>
    <row r="3614" spans="1:2" x14ac:dyDescent="0.2">
      <c r="A3614" s="19"/>
      <c r="B3614" s="19"/>
    </row>
    <row r="3615" spans="1:2" x14ac:dyDescent="0.2">
      <c r="A3615" s="19"/>
      <c r="B3615" s="19"/>
    </row>
    <row r="3616" spans="1:2" x14ac:dyDescent="0.2">
      <c r="A3616" s="19"/>
      <c r="B3616" s="19"/>
    </row>
    <row r="3617" spans="1:2" x14ac:dyDescent="0.2">
      <c r="A3617" s="19"/>
      <c r="B3617" s="19"/>
    </row>
    <row r="3618" spans="1:2" x14ac:dyDescent="0.2">
      <c r="A3618" s="19"/>
      <c r="B3618" s="19"/>
    </row>
    <row r="3619" spans="1:2" x14ac:dyDescent="0.2">
      <c r="A3619" s="19"/>
      <c r="B3619" s="19"/>
    </row>
    <row r="3620" spans="1:2" x14ac:dyDescent="0.2">
      <c r="A3620" s="19"/>
      <c r="B3620" s="19"/>
    </row>
    <row r="3621" spans="1:2" x14ac:dyDescent="0.2">
      <c r="A3621" s="19"/>
      <c r="B3621" s="19"/>
    </row>
    <row r="3622" spans="1:2" x14ac:dyDescent="0.2">
      <c r="A3622" s="19"/>
      <c r="B3622" s="19"/>
    </row>
    <row r="3623" spans="1:2" x14ac:dyDescent="0.2">
      <c r="A3623" s="19"/>
      <c r="B3623" s="19"/>
    </row>
    <row r="3624" spans="1:2" x14ac:dyDescent="0.2">
      <c r="A3624" s="19"/>
      <c r="B3624" s="19"/>
    </row>
    <row r="3625" spans="1:2" x14ac:dyDescent="0.2">
      <c r="A3625" s="19"/>
      <c r="B3625" s="19"/>
    </row>
    <row r="3626" spans="1:2" x14ac:dyDescent="0.2">
      <c r="A3626" s="19"/>
      <c r="B3626" s="19"/>
    </row>
    <row r="3627" spans="1:2" x14ac:dyDescent="0.2">
      <c r="A3627" s="19"/>
      <c r="B3627" s="19"/>
    </row>
    <row r="3628" spans="1:2" x14ac:dyDescent="0.2">
      <c r="A3628" s="19"/>
      <c r="B3628" s="19"/>
    </row>
    <row r="3629" spans="1:2" x14ac:dyDescent="0.2">
      <c r="A3629" s="19"/>
      <c r="B3629" s="19"/>
    </row>
    <row r="3630" spans="1:2" x14ac:dyDescent="0.2">
      <c r="A3630" s="19"/>
      <c r="B3630" s="19"/>
    </row>
    <row r="3631" spans="1:2" x14ac:dyDescent="0.2">
      <c r="A3631" s="19"/>
      <c r="B3631" s="19"/>
    </row>
    <row r="3632" spans="1:2" x14ac:dyDescent="0.2">
      <c r="A3632" s="19"/>
      <c r="B3632" s="19"/>
    </row>
    <row r="3633" spans="1:2" x14ac:dyDescent="0.2">
      <c r="A3633" s="19"/>
      <c r="B3633" s="19"/>
    </row>
    <row r="3634" spans="1:2" x14ac:dyDescent="0.2">
      <c r="A3634" s="19"/>
      <c r="B3634" s="19"/>
    </row>
    <row r="3635" spans="1:2" x14ac:dyDescent="0.2">
      <c r="A3635" s="19"/>
      <c r="B3635" s="19"/>
    </row>
    <row r="3636" spans="1:2" x14ac:dyDescent="0.2">
      <c r="A3636" s="19"/>
      <c r="B3636" s="19"/>
    </row>
    <row r="3637" spans="1:2" x14ac:dyDescent="0.2">
      <c r="A3637" s="19"/>
      <c r="B3637" s="19"/>
    </row>
    <row r="3638" spans="1:2" x14ac:dyDescent="0.2">
      <c r="A3638" s="19"/>
      <c r="B3638" s="19"/>
    </row>
    <row r="3639" spans="1:2" x14ac:dyDescent="0.2">
      <c r="A3639" s="19"/>
      <c r="B3639" s="19"/>
    </row>
    <row r="3640" spans="1:2" x14ac:dyDescent="0.2">
      <c r="A3640" s="19"/>
      <c r="B3640" s="19"/>
    </row>
    <row r="3641" spans="1:2" x14ac:dyDescent="0.2">
      <c r="A3641" s="19"/>
      <c r="B3641" s="19"/>
    </row>
    <row r="3642" spans="1:2" x14ac:dyDescent="0.2">
      <c r="A3642" s="19"/>
      <c r="B3642" s="19"/>
    </row>
    <row r="3643" spans="1:2" x14ac:dyDescent="0.2">
      <c r="A3643" s="19"/>
      <c r="B3643" s="19"/>
    </row>
    <row r="3644" spans="1:2" x14ac:dyDescent="0.2">
      <c r="A3644" s="19"/>
      <c r="B3644" s="19"/>
    </row>
    <row r="3645" spans="1:2" x14ac:dyDescent="0.2">
      <c r="A3645" s="19"/>
      <c r="B3645" s="19"/>
    </row>
    <row r="3646" spans="1:2" x14ac:dyDescent="0.2">
      <c r="A3646" s="19"/>
      <c r="B3646" s="19"/>
    </row>
    <row r="3647" spans="1:2" x14ac:dyDescent="0.2">
      <c r="A3647" s="19"/>
      <c r="B3647" s="19"/>
    </row>
    <row r="3648" spans="1:2" x14ac:dyDescent="0.2">
      <c r="A3648" s="19"/>
      <c r="B3648" s="19"/>
    </row>
    <row r="3649" spans="1:2" x14ac:dyDescent="0.2">
      <c r="A3649" s="19"/>
      <c r="B3649" s="19"/>
    </row>
    <row r="3650" spans="1:2" x14ac:dyDescent="0.2">
      <c r="A3650" s="19"/>
      <c r="B3650" s="19"/>
    </row>
    <row r="3651" spans="1:2" x14ac:dyDescent="0.2">
      <c r="A3651" s="19"/>
      <c r="B3651" s="19"/>
    </row>
    <row r="3652" spans="1:2" x14ac:dyDescent="0.2">
      <c r="A3652" s="19"/>
      <c r="B3652" s="19"/>
    </row>
    <row r="3653" spans="1:2" x14ac:dyDescent="0.2">
      <c r="A3653" s="19"/>
      <c r="B3653" s="19"/>
    </row>
    <row r="3654" spans="1:2" x14ac:dyDescent="0.2">
      <c r="A3654" s="19"/>
      <c r="B3654" s="19"/>
    </row>
    <row r="3655" spans="1:2" x14ac:dyDescent="0.2">
      <c r="A3655" s="19"/>
      <c r="B3655" s="19"/>
    </row>
    <row r="3656" spans="1:2" x14ac:dyDescent="0.2">
      <c r="A3656" s="19"/>
      <c r="B3656" s="19"/>
    </row>
    <row r="3657" spans="1:2" x14ac:dyDescent="0.2">
      <c r="A3657" s="19"/>
      <c r="B3657" s="19"/>
    </row>
    <row r="3658" spans="1:2" x14ac:dyDescent="0.2">
      <c r="A3658" s="19"/>
      <c r="B3658" s="19"/>
    </row>
    <row r="3659" spans="1:2" x14ac:dyDescent="0.2">
      <c r="A3659" s="19"/>
      <c r="B3659" s="19"/>
    </row>
    <row r="3660" spans="1:2" x14ac:dyDescent="0.2">
      <c r="A3660" s="19"/>
      <c r="B3660" s="19"/>
    </row>
    <row r="3661" spans="1:2" x14ac:dyDescent="0.2">
      <c r="A3661" s="19"/>
      <c r="B3661" s="19"/>
    </row>
    <row r="3662" spans="1:2" x14ac:dyDescent="0.2">
      <c r="A3662" s="19"/>
      <c r="B3662" s="19"/>
    </row>
    <row r="3663" spans="1:2" x14ac:dyDescent="0.2">
      <c r="A3663" s="19"/>
      <c r="B3663" s="19"/>
    </row>
    <row r="3664" spans="1:2" x14ac:dyDescent="0.2">
      <c r="A3664" s="19"/>
      <c r="B3664" s="19"/>
    </row>
    <row r="3665" spans="1:2" x14ac:dyDescent="0.2">
      <c r="A3665" s="19"/>
      <c r="B3665" s="19"/>
    </row>
    <row r="3666" spans="1:2" x14ac:dyDescent="0.2">
      <c r="A3666" s="19"/>
      <c r="B3666" s="19"/>
    </row>
    <row r="3667" spans="1:2" x14ac:dyDescent="0.2">
      <c r="A3667" s="19"/>
      <c r="B3667" s="19"/>
    </row>
    <row r="3668" spans="1:2" x14ac:dyDescent="0.2">
      <c r="A3668" s="19"/>
      <c r="B3668" s="19"/>
    </row>
    <row r="3669" spans="1:2" x14ac:dyDescent="0.2">
      <c r="A3669" s="19"/>
      <c r="B3669" s="19"/>
    </row>
    <row r="3670" spans="1:2" x14ac:dyDescent="0.2">
      <c r="A3670" s="19"/>
      <c r="B3670" s="19"/>
    </row>
    <row r="3671" spans="1:2" x14ac:dyDescent="0.2">
      <c r="A3671" s="19"/>
      <c r="B3671" s="19"/>
    </row>
    <row r="3672" spans="1:2" x14ac:dyDescent="0.2">
      <c r="A3672" s="19"/>
      <c r="B3672" s="19"/>
    </row>
    <row r="3673" spans="1:2" x14ac:dyDescent="0.2">
      <c r="A3673" s="19"/>
      <c r="B3673" s="19"/>
    </row>
    <row r="3674" spans="1:2" x14ac:dyDescent="0.2">
      <c r="A3674" s="19"/>
      <c r="B3674" s="19"/>
    </row>
    <row r="3675" spans="1:2" x14ac:dyDescent="0.2">
      <c r="A3675" s="19"/>
      <c r="B3675" s="19"/>
    </row>
    <row r="3676" spans="1:2" x14ac:dyDescent="0.2">
      <c r="A3676" s="19"/>
      <c r="B3676" s="19"/>
    </row>
    <row r="3677" spans="1:2" x14ac:dyDescent="0.2">
      <c r="A3677" s="19"/>
      <c r="B3677" s="19"/>
    </row>
    <row r="3678" spans="1:2" x14ac:dyDescent="0.2">
      <c r="A3678" s="19"/>
      <c r="B3678" s="19"/>
    </row>
    <row r="3679" spans="1:2" x14ac:dyDescent="0.2">
      <c r="A3679" s="19"/>
      <c r="B3679" s="19"/>
    </row>
    <row r="3680" spans="1:2" x14ac:dyDescent="0.2">
      <c r="A3680" s="19"/>
      <c r="B3680" s="19"/>
    </row>
    <row r="3681" spans="1:2" x14ac:dyDescent="0.2">
      <c r="A3681" s="19"/>
      <c r="B3681" s="19"/>
    </row>
    <row r="3682" spans="1:2" x14ac:dyDescent="0.2">
      <c r="A3682" s="19"/>
      <c r="B3682" s="19"/>
    </row>
    <row r="3683" spans="1:2" x14ac:dyDescent="0.2">
      <c r="A3683" s="19"/>
      <c r="B3683" s="19"/>
    </row>
    <row r="3684" spans="1:2" x14ac:dyDescent="0.2">
      <c r="A3684" s="19"/>
      <c r="B3684" s="19"/>
    </row>
    <row r="3685" spans="1:2" x14ac:dyDescent="0.2">
      <c r="A3685" s="19"/>
      <c r="B3685" s="19"/>
    </row>
    <row r="3686" spans="1:2" x14ac:dyDescent="0.2">
      <c r="A3686" s="19"/>
      <c r="B3686" s="19"/>
    </row>
    <row r="3687" spans="1:2" x14ac:dyDescent="0.2">
      <c r="A3687" s="19"/>
      <c r="B3687" s="19"/>
    </row>
    <row r="3688" spans="1:2" x14ac:dyDescent="0.2">
      <c r="A3688" s="19"/>
      <c r="B3688" s="19"/>
    </row>
    <row r="3689" spans="1:2" x14ac:dyDescent="0.2">
      <c r="A3689" s="19"/>
      <c r="B3689" s="19"/>
    </row>
    <row r="3690" spans="1:2" x14ac:dyDescent="0.2">
      <c r="A3690" s="19"/>
      <c r="B3690" s="19"/>
    </row>
    <row r="3691" spans="1:2" x14ac:dyDescent="0.2">
      <c r="A3691" s="19"/>
      <c r="B3691" s="19"/>
    </row>
    <row r="3692" spans="1:2" x14ac:dyDescent="0.2">
      <c r="A3692" s="19"/>
      <c r="B3692" s="19"/>
    </row>
    <row r="3693" spans="1:2" x14ac:dyDescent="0.2">
      <c r="A3693" s="19"/>
      <c r="B3693" s="19"/>
    </row>
    <row r="3694" spans="1:2" x14ac:dyDescent="0.2">
      <c r="A3694" s="19"/>
      <c r="B3694" s="19"/>
    </row>
    <row r="3695" spans="1:2" x14ac:dyDescent="0.2">
      <c r="A3695" s="19"/>
      <c r="B3695" s="19"/>
    </row>
    <row r="3696" spans="1:2" x14ac:dyDescent="0.2">
      <c r="A3696" s="19"/>
      <c r="B3696" s="19"/>
    </row>
    <row r="3697" spans="1:2" x14ac:dyDescent="0.2">
      <c r="A3697" s="19"/>
      <c r="B3697" s="19"/>
    </row>
    <row r="3698" spans="1:2" x14ac:dyDescent="0.2">
      <c r="A3698" s="19"/>
      <c r="B3698" s="19"/>
    </row>
    <row r="3699" spans="1:2" x14ac:dyDescent="0.2">
      <c r="A3699" s="19"/>
      <c r="B3699" s="19"/>
    </row>
    <row r="3700" spans="1:2" x14ac:dyDescent="0.2">
      <c r="A3700" s="19"/>
      <c r="B3700" s="19"/>
    </row>
    <row r="3701" spans="1:2" x14ac:dyDescent="0.2">
      <c r="A3701" s="19"/>
      <c r="B3701" s="19"/>
    </row>
    <row r="3702" spans="1:2" x14ac:dyDescent="0.2">
      <c r="A3702" s="19"/>
      <c r="B3702" s="19"/>
    </row>
    <row r="3703" spans="1:2" x14ac:dyDescent="0.2">
      <c r="A3703" s="19"/>
      <c r="B3703" s="19"/>
    </row>
    <row r="3704" spans="1:2" x14ac:dyDescent="0.2">
      <c r="A3704" s="19"/>
      <c r="B3704" s="19"/>
    </row>
    <row r="3705" spans="1:2" x14ac:dyDescent="0.2">
      <c r="A3705" s="19"/>
      <c r="B3705" s="19"/>
    </row>
    <row r="3706" spans="1:2" x14ac:dyDescent="0.2">
      <c r="A3706" s="19"/>
      <c r="B3706" s="19"/>
    </row>
    <row r="3707" spans="1:2" x14ac:dyDescent="0.2">
      <c r="A3707" s="19"/>
      <c r="B3707" s="19"/>
    </row>
    <row r="3708" spans="1:2" x14ac:dyDescent="0.2">
      <c r="A3708" s="19"/>
      <c r="B3708" s="19"/>
    </row>
    <row r="3709" spans="1:2" x14ac:dyDescent="0.2">
      <c r="A3709" s="19"/>
      <c r="B3709" s="19"/>
    </row>
    <row r="3710" spans="1:2" x14ac:dyDescent="0.2">
      <c r="A3710" s="19"/>
      <c r="B3710" s="19"/>
    </row>
    <row r="3711" spans="1:2" x14ac:dyDescent="0.2">
      <c r="A3711" s="19"/>
      <c r="B3711" s="19"/>
    </row>
    <row r="3712" spans="1:2" x14ac:dyDescent="0.2">
      <c r="A3712" s="19"/>
      <c r="B3712" s="19"/>
    </row>
    <row r="3713" spans="1:2" x14ac:dyDescent="0.2">
      <c r="A3713" s="19"/>
      <c r="B3713" s="19"/>
    </row>
    <row r="3714" spans="1:2" x14ac:dyDescent="0.2">
      <c r="A3714" s="19"/>
      <c r="B3714" s="19"/>
    </row>
    <row r="3715" spans="1:2" x14ac:dyDescent="0.2">
      <c r="A3715" s="19"/>
      <c r="B3715" s="19"/>
    </row>
    <row r="3716" spans="1:2" x14ac:dyDescent="0.2">
      <c r="A3716" s="19"/>
      <c r="B3716" s="19"/>
    </row>
    <row r="3717" spans="1:2" x14ac:dyDescent="0.2">
      <c r="A3717" s="19"/>
      <c r="B3717" s="19"/>
    </row>
    <row r="3718" spans="1:2" x14ac:dyDescent="0.2">
      <c r="A3718" s="19"/>
      <c r="B3718" s="19"/>
    </row>
    <row r="3719" spans="1:2" x14ac:dyDescent="0.2">
      <c r="A3719" s="19"/>
      <c r="B3719" s="19"/>
    </row>
    <row r="3720" spans="1:2" x14ac:dyDescent="0.2">
      <c r="A3720" s="19"/>
      <c r="B3720" s="19"/>
    </row>
    <row r="3721" spans="1:2" x14ac:dyDescent="0.2">
      <c r="A3721" s="19"/>
      <c r="B3721" s="19"/>
    </row>
    <row r="3722" spans="1:2" x14ac:dyDescent="0.2">
      <c r="A3722" s="19"/>
      <c r="B3722" s="19"/>
    </row>
    <row r="3723" spans="1:2" x14ac:dyDescent="0.2">
      <c r="A3723" s="19"/>
      <c r="B3723" s="19"/>
    </row>
    <row r="3724" spans="1:2" x14ac:dyDescent="0.2">
      <c r="A3724" s="19"/>
      <c r="B3724" s="19"/>
    </row>
    <row r="3725" spans="1:2" x14ac:dyDescent="0.2">
      <c r="A3725" s="19"/>
      <c r="B3725" s="19"/>
    </row>
    <row r="3726" spans="1:2" x14ac:dyDescent="0.2">
      <c r="A3726" s="19"/>
      <c r="B3726" s="19"/>
    </row>
    <row r="3727" spans="1:2" x14ac:dyDescent="0.2">
      <c r="A3727" s="19"/>
      <c r="B3727" s="19"/>
    </row>
    <row r="3728" spans="1:2" x14ac:dyDescent="0.2">
      <c r="A3728" s="19"/>
      <c r="B3728" s="19"/>
    </row>
    <row r="3729" spans="1:2" x14ac:dyDescent="0.2">
      <c r="A3729" s="19"/>
      <c r="B3729" s="19"/>
    </row>
    <row r="3730" spans="1:2" x14ac:dyDescent="0.2">
      <c r="A3730" s="19"/>
      <c r="B3730" s="19"/>
    </row>
    <row r="3731" spans="1:2" x14ac:dyDescent="0.2">
      <c r="A3731" s="19"/>
      <c r="B3731" s="19"/>
    </row>
    <row r="3732" spans="1:2" x14ac:dyDescent="0.2">
      <c r="A3732" s="19"/>
      <c r="B3732" s="19"/>
    </row>
    <row r="3733" spans="1:2" x14ac:dyDescent="0.2">
      <c r="A3733" s="19"/>
      <c r="B3733" s="19"/>
    </row>
    <row r="3734" spans="1:2" x14ac:dyDescent="0.2">
      <c r="A3734" s="19"/>
      <c r="B3734" s="19"/>
    </row>
    <row r="3735" spans="1:2" x14ac:dyDescent="0.2">
      <c r="A3735" s="19"/>
      <c r="B3735" s="19"/>
    </row>
    <row r="3736" spans="1:2" x14ac:dyDescent="0.2">
      <c r="A3736" s="19"/>
      <c r="B3736" s="19"/>
    </row>
    <row r="3737" spans="1:2" x14ac:dyDescent="0.2">
      <c r="A3737" s="19"/>
      <c r="B3737" s="19"/>
    </row>
    <row r="3738" spans="1:2" x14ac:dyDescent="0.2">
      <c r="A3738" s="19"/>
      <c r="B3738" s="19"/>
    </row>
    <row r="3739" spans="1:2" x14ac:dyDescent="0.2">
      <c r="A3739" s="19"/>
      <c r="B3739" s="19"/>
    </row>
    <row r="3740" spans="1:2" x14ac:dyDescent="0.2">
      <c r="A3740" s="19"/>
      <c r="B3740" s="19"/>
    </row>
    <row r="3741" spans="1:2" x14ac:dyDescent="0.2">
      <c r="A3741" s="19"/>
      <c r="B3741" s="19"/>
    </row>
    <row r="3742" spans="1:2" x14ac:dyDescent="0.2">
      <c r="A3742" s="19"/>
      <c r="B3742" s="19"/>
    </row>
    <row r="3743" spans="1:2" x14ac:dyDescent="0.2">
      <c r="A3743" s="19"/>
      <c r="B3743" s="19"/>
    </row>
    <row r="3744" spans="1:2" x14ac:dyDescent="0.2">
      <c r="A3744" s="19"/>
      <c r="B3744" s="19"/>
    </row>
    <row r="3745" spans="1:2" x14ac:dyDescent="0.2">
      <c r="A3745" s="19"/>
      <c r="B3745" s="19"/>
    </row>
    <row r="3746" spans="1:2" x14ac:dyDescent="0.2">
      <c r="A3746" s="19"/>
      <c r="B3746" s="19"/>
    </row>
    <row r="3747" spans="1:2" x14ac:dyDescent="0.2">
      <c r="A3747" s="19"/>
      <c r="B3747" s="19"/>
    </row>
    <row r="3748" spans="1:2" x14ac:dyDescent="0.2">
      <c r="A3748" s="19"/>
      <c r="B3748" s="19"/>
    </row>
    <row r="3749" spans="1:2" x14ac:dyDescent="0.2">
      <c r="A3749" s="19"/>
      <c r="B3749" s="19"/>
    </row>
    <row r="3750" spans="1:2" x14ac:dyDescent="0.2">
      <c r="A3750" s="19"/>
      <c r="B3750" s="19"/>
    </row>
    <row r="3751" spans="1:2" x14ac:dyDescent="0.2">
      <c r="A3751" s="19"/>
      <c r="B3751" s="19"/>
    </row>
    <row r="3752" spans="1:2" x14ac:dyDescent="0.2">
      <c r="A3752" s="19"/>
      <c r="B3752" s="19"/>
    </row>
    <row r="3753" spans="1:2" x14ac:dyDescent="0.2">
      <c r="A3753" s="19"/>
      <c r="B3753" s="19"/>
    </row>
    <row r="3754" spans="1:2" x14ac:dyDescent="0.2">
      <c r="A3754" s="19"/>
      <c r="B3754" s="19"/>
    </row>
    <row r="3755" spans="1:2" x14ac:dyDescent="0.2">
      <c r="A3755" s="19"/>
      <c r="B3755" s="19"/>
    </row>
    <row r="3756" spans="1:2" x14ac:dyDescent="0.2">
      <c r="A3756" s="19"/>
      <c r="B3756" s="19"/>
    </row>
    <row r="3757" spans="1:2" x14ac:dyDescent="0.2">
      <c r="A3757" s="19"/>
      <c r="B3757" s="19"/>
    </row>
    <row r="3758" spans="1:2" x14ac:dyDescent="0.2">
      <c r="A3758" s="19"/>
      <c r="B3758" s="19"/>
    </row>
    <row r="3759" spans="1:2" x14ac:dyDescent="0.2">
      <c r="A3759" s="19"/>
      <c r="B3759" s="19"/>
    </row>
    <row r="3760" spans="1:2" x14ac:dyDescent="0.2">
      <c r="A3760" s="19"/>
      <c r="B3760" s="19"/>
    </row>
    <row r="3761" spans="1:2" x14ac:dyDescent="0.2">
      <c r="A3761" s="19"/>
      <c r="B3761" s="19"/>
    </row>
    <row r="3762" spans="1:2" x14ac:dyDescent="0.2">
      <c r="A3762" s="19"/>
      <c r="B3762" s="19"/>
    </row>
    <row r="3763" spans="1:2" x14ac:dyDescent="0.2">
      <c r="A3763" s="19"/>
      <c r="B3763" s="19"/>
    </row>
    <row r="3764" spans="1:2" x14ac:dyDescent="0.2">
      <c r="A3764" s="19"/>
      <c r="B3764" s="19"/>
    </row>
    <row r="3765" spans="1:2" x14ac:dyDescent="0.2">
      <c r="A3765" s="19"/>
      <c r="B3765" s="19"/>
    </row>
    <row r="3766" spans="1:2" x14ac:dyDescent="0.2">
      <c r="A3766" s="19"/>
      <c r="B3766" s="19"/>
    </row>
    <row r="3767" spans="1:2" x14ac:dyDescent="0.2">
      <c r="A3767" s="19"/>
      <c r="B3767" s="19"/>
    </row>
    <row r="3768" spans="1:2" x14ac:dyDescent="0.2">
      <c r="A3768" s="19"/>
      <c r="B3768" s="19"/>
    </row>
    <row r="3769" spans="1:2" x14ac:dyDescent="0.2">
      <c r="A3769" s="19"/>
      <c r="B3769" s="19"/>
    </row>
    <row r="3770" spans="1:2" x14ac:dyDescent="0.2">
      <c r="A3770" s="19"/>
      <c r="B3770" s="19"/>
    </row>
    <row r="3771" spans="1:2" x14ac:dyDescent="0.2">
      <c r="A3771" s="19"/>
      <c r="B3771" s="19"/>
    </row>
    <row r="3772" spans="1:2" x14ac:dyDescent="0.2">
      <c r="A3772" s="19"/>
      <c r="B3772" s="19"/>
    </row>
    <row r="3773" spans="1:2" x14ac:dyDescent="0.2">
      <c r="A3773" s="19"/>
      <c r="B3773" s="19"/>
    </row>
    <row r="3774" spans="1:2" x14ac:dyDescent="0.2">
      <c r="A3774" s="19"/>
      <c r="B3774" s="19"/>
    </row>
    <row r="3775" spans="1:2" x14ac:dyDescent="0.2">
      <c r="A3775" s="19"/>
      <c r="B3775" s="19"/>
    </row>
    <row r="3776" spans="1:2" x14ac:dyDescent="0.2">
      <c r="A3776" s="19"/>
      <c r="B3776" s="19"/>
    </row>
    <row r="3777" spans="1:2" x14ac:dyDescent="0.2">
      <c r="A3777" s="19"/>
      <c r="B3777" s="19"/>
    </row>
    <row r="3778" spans="1:2" x14ac:dyDescent="0.2">
      <c r="A3778" s="19"/>
      <c r="B3778" s="19"/>
    </row>
    <row r="3779" spans="1:2" x14ac:dyDescent="0.2">
      <c r="A3779" s="19"/>
      <c r="B3779" s="19"/>
    </row>
    <row r="3780" spans="1:2" x14ac:dyDescent="0.2">
      <c r="A3780" s="19"/>
      <c r="B3780" s="19"/>
    </row>
    <row r="3781" spans="1:2" x14ac:dyDescent="0.2">
      <c r="A3781" s="19"/>
      <c r="B3781" s="19"/>
    </row>
    <row r="3782" spans="1:2" x14ac:dyDescent="0.2">
      <c r="A3782" s="19"/>
      <c r="B3782" s="19"/>
    </row>
    <row r="3783" spans="1:2" x14ac:dyDescent="0.2">
      <c r="A3783" s="19"/>
      <c r="B3783" s="19"/>
    </row>
    <row r="3784" spans="1:2" x14ac:dyDescent="0.2">
      <c r="A3784" s="19"/>
      <c r="B3784" s="19"/>
    </row>
    <row r="3785" spans="1:2" x14ac:dyDescent="0.2">
      <c r="A3785" s="19"/>
      <c r="B3785" s="19"/>
    </row>
    <row r="3786" spans="1:2" x14ac:dyDescent="0.2">
      <c r="A3786" s="19"/>
      <c r="B3786" s="19"/>
    </row>
    <row r="3787" spans="1:2" x14ac:dyDescent="0.2">
      <c r="A3787" s="19"/>
      <c r="B3787" s="19"/>
    </row>
    <row r="3788" spans="1:2" x14ac:dyDescent="0.2">
      <c r="A3788" s="19"/>
      <c r="B3788" s="19"/>
    </row>
    <row r="3789" spans="1:2" x14ac:dyDescent="0.2">
      <c r="A3789" s="19"/>
      <c r="B3789" s="19"/>
    </row>
    <row r="3790" spans="1:2" x14ac:dyDescent="0.2">
      <c r="A3790" s="19"/>
      <c r="B3790" s="19"/>
    </row>
    <row r="3791" spans="1:2" x14ac:dyDescent="0.2">
      <c r="A3791" s="19"/>
      <c r="B3791" s="19"/>
    </row>
    <row r="3792" spans="1:2" x14ac:dyDescent="0.2">
      <c r="A3792" s="19"/>
      <c r="B3792" s="19"/>
    </row>
    <row r="3793" spans="1:2" x14ac:dyDescent="0.2">
      <c r="A3793" s="19"/>
      <c r="B3793" s="19"/>
    </row>
    <row r="3794" spans="1:2" x14ac:dyDescent="0.2">
      <c r="A3794" s="19"/>
      <c r="B3794" s="19"/>
    </row>
    <row r="3795" spans="1:2" x14ac:dyDescent="0.2">
      <c r="A3795" s="19"/>
      <c r="B3795" s="19"/>
    </row>
    <row r="3796" spans="1:2" x14ac:dyDescent="0.2">
      <c r="A3796" s="19"/>
      <c r="B3796" s="19"/>
    </row>
    <row r="3797" spans="1:2" x14ac:dyDescent="0.2">
      <c r="A3797" s="19"/>
      <c r="B3797" s="19"/>
    </row>
    <row r="3798" spans="1:2" x14ac:dyDescent="0.2">
      <c r="A3798" s="19"/>
      <c r="B3798" s="19"/>
    </row>
    <row r="3799" spans="1:2" x14ac:dyDescent="0.2">
      <c r="A3799" s="19"/>
      <c r="B3799" s="19"/>
    </row>
    <row r="3800" spans="1:2" x14ac:dyDescent="0.2">
      <c r="A3800" s="19"/>
      <c r="B3800" s="19"/>
    </row>
    <row r="3801" spans="1:2" x14ac:dyDescent="0.2">
      <c r="A3801" s="19"/>
      <c r="B3801" s="19"/>
    </row>
    <row r="3802" spans="1:2" x14ac:dyDescent="0.2">
      <c r="A3802" s="19"/>
      <c r="B3802" s="19"/>
    </row>
    <row r="3803" spans="1:2" x14ac:dyDescent="0.2">
      <c r="A3803" s="19"/>
      <c r="B3803" s="19"/>
    </row>
    <row r="3804" spans="1:2" x14ac:dyDescent="0.2">
      <c r="A3804" s="19"/>
      <c r="B3804" s="19"/>
    </row>
    <row r="3805" spans="1:2" x14ac:dyDescent="0.2">
      <c r="A3805" s="19"/>
      <c r="B3805" s="19"/>
    </row>
    <row r="3806" spans="1:2" x14ac:dyDescent="0.2">
      <c r="A3806" s="19"/>
      <c r="B3806" s="19"/>
    </row>
    <row r="3807" spans="1:2" x14ac:dyDescent="0.2">
      <c r="A3807" s="19"/>
      <c r="B3807" s="19"/>
    </row>
    <row r="3808" spans="1:2" x14ac:dyDescent="0.2">
      <c r="A3808" s="19"/>
      <c r="B3808" s="19"/>
    </row>
    <row r="3809" spans="1:2" x14ac:dyDescent="0.2">
      <c r="A3809" s="19"/>
      <c r="B3809" s="19"/>
    </row>
    <row r="3810" spans="1:2" x14ac:dyDescent="0.2">
      <c r="A3810" s="19"/>
      <c r="B3810" s="19"/>
    </row>
    <row r="3811" spans="1:2" x14ac:dyDescent="0.2">
      <c r="A3811" s="19"/>
      <c r="B3811" s="19"/>
    </row>
    <row r="3812" spans="1:2" x14ac:dyDescent="0.2">
      <c r="A3812" s="19"/>
      <c r="B3812" s="19"/>
    </row>
    <row r="3813" spans="1:2" x14ac:dyDescent="0.2">
      <c r="A3813" s="19"/>
      <c r="B3813" s="19"/>
    </row>
    <row r="3814" spans="1:2" x14ac:dyDescent="0.2">
      <c r="A3814" s="19"/>
      <c r="B3814" s="19"/>
    </row>
    <row r="3815" spans="1:2" x14ac:dyDescent="0.2">
      <c r="A3815" s="19"/>
      <c r="B3815" s="19"/>
    </row>
    <row r="3816" spans="1:2" x14ac:dyDescent="0.2">
      <c r="A3816" s="19"/>
      <c r="B3816" s="19"/>
    </row>
    <row r="3817" spans="1:2" x14ac:dyDescent="0.2">
      <c r="A3817" s="19"/>
      <c r="B3817" s="19"/>
    </row>
    <row r="3818" spans="1:2" x14ac:dyDescent="0.2">
      <c r="A3818" s="19"/>
      <c r="B3818" s="19"/>
    </row>
    <row r="3819" spans="1:2" x14ac:dyDescent="0.2">
      <c r="A3819" s="19"/>
      <c r="B3819" s="19"/>
    </row>
    <row r="3820" spans="1:2" x14ac:dyDescent="0.2">
      <c r="A3820" s="19"/>
      <c r="B3820" s="19"/>
    </row>
    <row r="3821" spans="1:2" x14ac:dyDescent="0.2">
      <c r="A3821" s="19"/>
      <c r="B3821" s="19"/>
    </row>
    <row r="3822" spans="1:2" x14ac:dyDescent="0.2">
      <c r="A3822" s="19"/>
      <c r="B3822" s="19"/>
    </row>
    <row r="3823" spans="1:2" x14ac:dyDescent="0.2">
      <c r="A3823" s="19"/>
      <c r="B3823" s="19"/>
    </row>
    <row r="3824" spans="1:2" x14ac:dyDescent="0.2">
      <c r="A3824" s="19"/>
      <c r="B3824" s="19"/>
    </row>
    <row r="3825" spans="1:2" x14ac:dyDescent="0.2">
      <c r="A3825" s="19"/>
      <c r="B3825" s="19"/>
    </row>
    <row r="3826" spans="1:2" x14ac:dyDescent="0.2">
      <c r="A3826" s="19"/>
      <c r="B3826" s="19"/>
    </row>
    <row r="3827" spans="1:2" x14ac:dyDescent="0.2">
      <c r="A3827" s="19"/>
      <c r="B3827" s="19"/>
    </row>
    <row r="3828" spans="1:2" x14ac:dyDescent="0.2">
      <c r="A3828" s="19"/>
      <c r="B3828" s="19"/>
    </row>
    <row r="3829" spans="1:2" x14ac:dyDescent="0.2">
      <c r="A3829" s="19"/>
      <c r="B3829" s="19"/>
    </row>
    <row r="3830" spans="1:2" x14ac:dyDescent="0.2">
      <c r="A3830" s="19"/>
      <c r="B3830" s="19"/>
    </row>
    <row r="3831" spans="1:2" x14ac:dyDescent="0.2">
      <c r="A3831" s="19"/>
      <c r="B3831" s="19"/>
    </row>
    <row r="3832" spans="1:2" x14ac:dyDescent="0.2">
      <c r="A3832" s="19"/>
      <c r="B3832" s="19"/>
    </row>
    <row r="3833" spans="1:2" x14ac:dyDescent="0.2">
      <c r="A3833" s="19"/>
      <c r="B3833" s="19"/>
    </row>
    <row r="3834" spans="1:2" x14ac:dyDescent="0.2">
      <c r="A3834" s="19"/>
      <c r="B3834" s="19"/>
    </row>
    <row r="3835" spans="1:2" x14ac:dyDescent="0.2">
      <c r="A3835" s="19"/>
      <c r="B3835" s="19"/>
    </row>
    <row r="3836" spans="1:2" x14ac:dyDescent="0.2">
      <c r="A3836" s="19"/>
      <c r="B3836" s="19"/>
    </row>
    <row r="3837" spans="1:2" x14ac:dyDescent="0.2">
      <c r="A3837" s="19"/>
      <c r="B3837" s="19"/>
    </row>
    <row r="3838" spans="1:2" x14ac:dyDescent="0.2">
      <c r="A3838" s="19"/>
      <c r="B3838" s="19"/>
    </row>
    <row r="3839" spans="1:2" x14ac:dyDescent="0.2">
      <c r="A3839" s="19"/>
      <c r="B3839" s="19"/>
    </row>
    <row r="3840" spans="1:2" x14ac:dyDescent="0.2">
      <c r="A3840" s="19"/>
      <c r="B3840" s="19"/>
    </row>
    <row r="3841" spans="1:2" x14ac:dyDescent="0.2">
      <c r="A3841" s="19"/>
      <c r="B3841" s="19"/>
    </row>
    <row r="3842" spans="1:2" x14ac:dyDescent="0.2">
      <c r="A3842" s="19"/>
      <c r="B3842" s="19"/>
    </row>
    <row r="3843" spans="1:2" x14ac:dyDescent="0.2">
      <c r="A3843" s="19"/>
      <c r="B3843" s="19"/>
    </row>
    <row r="3844" spans="1:2" x14ac:dyDescent="0.2">
      <c r="A3844" s="19"/>
      <c r="B3844" s="19"/>
    </row>
    <row r="3845" spans="1:2" x14ac:dyDescent="0.2">
      <c r="A3845" s="19"/>
      <c r="B3845" s="19"/>
    </row>
    <row r="3846" spans="1:2" x14ac:dyDescent="0.2">
      <c r="A3846" s="19"/>
      <c r="B3846" s="19"/>
    </row>
    <row r="3847" spans="1:2" x14ac:dyDescent="0.2">
      <c r="A3847" s="19"/>
      <c r="B3847" s="19"/>
    </row>
    <row r="3848" spans="1:2" x14ac:dyDescent="0.2">
      <c r="A3848" s="19"/>
      <c r="B3848" s="19"/>
    </row>
    <row r="3849" spans="1:2" x14ac:dyDescent="0.2">
      <c r="A3849" s="19"/>
      <c r="B3849" s="19"/>
    </row>
    <row r="3850" spans="1:2" x14ac:dyDescent="0.2">
      <c r="A3850" s="19"/>
      <c r="B3850" s="19"/>
    </row>
    <row r="3851" spans="1:2" x14ac:dyDescent="0.2">
      <c r="A3851" s="19"/>
      <c r="B3851" s="19"/>
    </row>
    <row r="3852" spans="1:2" x14ac:dyDescent="0.2">
      <c r="A3852" s="19"/>
      <c r="B3852" s="19"/>
    </row>
    <row r="3853" spans="1:2" x14ac:dyDescent="0.2">
      <c r="A3853" s="19"/>
      <c r="B3853" s="19"/>
    </row>
    <row r="3854" spans="1:2" x14ac:dyDescent="0.2">
      <c r="A3854" s="19"/>
      <c r="B3854" s="19"/>
    </row>
    <row r="3855" spans="1:2" x14ac:dyDescent="0.2">
      <c r="A3855" s="19"/>
      <c r="B3855" s="19"/>
    </row>
    <row r="3856" spans="1:2" x14ac:dyDescent="0.2">
      <c r="A3856" s="19"/>
      <c r="B3856" s="19"/>
    </row>
    <row r="3857" spans="1:2" x14ac:dyDescent="0.2">
      <c r="A3857" s="19"/>
      <c r="B3857" s="19"/>
    </row>
    <row r="3858" spans="1:2" x14ac:dyDescent="0.2">
      <c r="A3858" s="19"/>
      <c r="B3858" s="19"/>
    </row>
    <row r="3859" spans="1:2" x14ac:dyDescent="0.2">
      <c r="A3859" s="19"/>
      <c r="B3859" s="19"/>
    </row>
    <row r="3860" spans="1:2" x14ac:dyDescent="0.2">
      <c r="A3860" s="19"/>
      <c r="B3860" s="19"/>
    </row>
    <row r="3861" spans="1:2" x14ac:dyDescent="0.2">
      <c r="A3861" s="19"/>
      <c r="B3861" s="19"/>
    </row>
    <row r="3862" spans="1:2" x14ac:dyDescent="0.2">
      <c r="A3862" s="19"/>
      <c r="B3862" s="19"/>
    </row>
    <row r="3863" spans="1:2" x14ac:dyDescent="0.2">
      <c r="A3863" s="19"/>
      <c r="B3863" s="19"/>
    </row>
    <row r="3864" spans="1:2" x14ac:dyDescent="0.2">
      <c r="A3864" s="19"/>
      <c r="B3864" s="19"/>
    </row>
    <row r="3865" spans="1:2" x14ac:dyDescent="0.2">
      <c r="A3865" s="19"/>
      <c r="B3865" s="19"/>
    </row>
    <row r="3866" spans="1:2" x14ac:dyDescent="0.2">
      <c r="A3866" s="19"/>
      <c r="B3866" s="19"/>
    </row>
    <row r="3867" spans="1:2" x14ac:dyDescent="0.2">
      <c r="A3867" s="19"/>
      <c r="B3867" s="19"/>
    </row>
    <row r="3868" spans="1:2" x14ac:dyDescent="0.2">
      <c r="A3868" s="19"/>
      <c r="B3868" s="19"/>
    </row>
    <row r="3869" spans="1:2" x14ac:dyDescent="0.2">
      <c r="A3869" s="19"/>
      <c r="B3869" s="19"/>
    </row>
    <row r="3870" spans="1:2" x14ac:dyDescent="0.2">
      <c r="A3870" s="19"/>
      <c r="B3870" s="19"/>
    </row>
    <row r="3871" spans="1:2" x14ac:dyDescent="0.2">
      <c r="A3871" s="19"/>
      <c r="B3871" s="19"/>
    </row>
    <row r="3872" spans="1:2" x14ac:dyDescent="0.2">
      <c r="A3872" s="19"/>
      <c r="B3872" s="19"/>
    </row>
    <row r="3873" spans="1:2" x14ac:dyDescent="0.2">
      <c r="A3873" s="19"/>
      <c r="B3873" s="19"/>
    </row>
    <row r="3874" spans="1:2" x14ac:dyDescent="0.2">
      <c r="A3874" s="19"/>
      <c r="B3874" s="19"/>
    </row>
    <row r="3875" spans="1:2" x14ac:dyDescent="0.2">
      <c r="A3875" s="19"/>
      <c r="B3875" s="19"/>
    </row>
    <row r="3876" spans="1:2" x14ac:dyDescent="0.2">
      <c r="A3876" s="19"/>
      <c r="B3876" s="19"/>
    </row>
    <row r="3877" spans="1:2" x14ac:dyDescent="0.2">
      <c r="A3877" s="19"/>
      <c r="B3877" s="19"/>
    </row>
    <row r="3878" spans="1:2" x14ac:dyDescent="0.2">
      <c r="A3878" s="19"/>
      <c r="B3878" s="19"/>
    </row>
    <row r="3879" spans="1:2" x14ac:dyDescent="0.2">
      <c r="A3879" s="19"/>
      <c r="B3879" s="19"/>
    </row>
    <row r="3880" spans="1:2" x14ac:dyDescent="0.2">
      <c r="A3880" s="19"/>
      <c r="B3880" s="19"/>
    </row>
    <row r="3881" spans="1:2" x14ac:dyDescent="0.2">
      <c r="A3881" s="19"/>
      <c r="B3881" s="19"/>
    </row>
    <row r="3882" spans="1:2" x14ac:dyDescent="0.2">
      <c r="A3882" s="19"/>
      <c r="B3882" s="19"/>
    </row>
    <row r="3883" spans="1:2" x14ac:dyDescent="0.2">
      <c r="A3883" s="19"/>
      <c r="B3883" s="19"/>
    </row>
    <row r="3884" spans="1:2" x14ac:dyDescent="0.2">
      <c r="A3884" s="19"/>
      <c r="B3884" s="19"/>
    </row>
    <row r="3885" spans="1:2" x14ac:dyDescent="0.2">
      <c r="A3885" s="19"/>
      <c r="B3885" s="19"/>
    </row>
    <row r="3886" spans="1:2" x14ac:dyDescent="0.2">
      <c r="A3886" s="19"/>
      <c r="B3886" s="19"/>
    </row>
    <row r="3887" spans="1:2" x14ac:dyDescent="0.2">
      <c r="A3887" s="19"/>
      <c r="B3887" s="19"/>
    </row>
    <row r="3888" spans="1:2" x14ac:dyDescent="0.2">
      <c r="A3888" s="19"/>
      <c r="B3888" s="19"/>
    </row>
    <row r="3889" spans="1:2" x14ac:dyDescent="0.2">
      <c r="A3889" s="19"/>
      <c r="B3889" s="19"/>
    </row>
    <row r="3890" spans="1:2" x14ac:dyDescent="0.2">
      <c r="A3890" s="19"/>
      <c r="B3890" s="19"/>
    </row>
    <row r="3891" spans="1:2" x14ac:dyDescent="0.2">
      <c r="A3891" s="19"/>
      <c r="B3891" s="19"/>
    </row>
    <row r="3892" spans="1:2" x14ac:dyDescent="0.2">
      <c r="A3892" s="19"/>
      <c r="B3892" s="19"/>
    </row>
    <row r="3893" spans="1:2" x14ac:dyDescent="0.2">
      <c r="A3893" s="19"/>
      <c r="B3893" s="19"/>
    </row>
    <row r="3894" spans="1:2" x14ac:dyDescent="0.2">
      <c r="A3894" s="19"/>
      <c r="B3894" s="19"/>
    </row>
    <row r="3895" spans="1:2" x14ac:dyDescent="0.2">
      <c r="A3895" s="19"/>
      <c r="B3895" s="19"/>
    </row>
    <row r="3896" spans="1:2" x14ac:dyDescent="0.2">
      <c r="A3896" s="19"/>
      <c r="B3896" s="19"/>
    </row>
    <row r="3897" spans="1:2" x14ac:dyDescent="0.2">
      <c r="A3897" s="19"/>
      <c r="B3897" s="19"/>
    </row>
    <row r="3898" spans="1:2" x14ac:dyDescent="0.2">
      <c r="A3898" s="19"/>
      <c r="B3898" s="19"/>
    </row>
    <row r="3899" spans="1:2" x14ac:dyDescent="0.2">
      <c r="A3899" s="19"/>
      <c r="B3899" s="19"/>
    </row>
    <row r="3900" spans="1:2" x14ac:dyDescent="0.2">
      <c r="A3900" s="19"/>
      <c r="B3900" s="19"/>
    </row>
    <row r="3901" spans="1:2" x14ac:dyDescent="0.2">
      <c r="A3901" s="19"/>
      <c r="B3901" s="19"/>
    </row>
    <row r="3902" spans="1:2" x14ac:dyDescent="0.2">
      <c r="A3902" s="19"/>
      <c r="B3902" s="19"/>
    </row>
    <row r="3903" spans="1:2" x14ac:dyDescent="0.2">
      <c r="A3903" s="19"/>
      <c r="B3903" s="19"/>
    </row>
    <row r="3904" spans="1:2" x14ac:dyDescent="0.2">
      <c r="A3904" s="19"/>
      <c r="B3904" s="19"/>
    </row>
    <row r="3905" spans="1:2" x14ac:dyDescent="0.2">
      <c r="A3905" s="19"/>
      <c r="B3905" s="19"/>
    </row>
    <row r="3906" spans="1:2" x14ac:dyDescent="0.2">
      <c r="A3906" s="19"/>
      <c r="B3906" s="19"/>
    </row>
    <row r="3907" spans="1:2" x14ac:dyDescent="0.2">
      <c r="A3907" s="19"/>
      <c r="B3907" s="19"/>
    </row>
    <row r="3908" spans="1:2" x14ac:dyDescent="0.2">
      <c r="A3908" s="19"/>
      <c r="B3908" s="19"/>
    </row>
    <row r="3909" spans="1:2" x14ac:dyDescent="0.2">
      <c r="A3909" s="19"/>
      <c r="B3909" s="19"/>
    </row>
    <row r="3910" spans="1:2" x14ac:dyDescent="0.2">
      <c r="A3910" s="19"/>
      <c r="B3910" s="19"/>
    </row>
    <row r="3911" spans="1:2" x14ac:dyDescent="0.2">
      <c r="A3911" s="19"/>
      <c r="B3911" s="19"/>
    </row>
    <row r="3912" spans="1:2" x14ac:dyDescent="0.2">
      <c r="A3912" s="19"/>
      <c r="B3912" s="19"/>
    </row>
    <row r="3913" spans="1:2" x14ac:dyDescent="0.2">
      <c r="A3913" s="19"/>
      <c r="B3913" s="19"/>
    </row>
    <row r="3914" spans="1:2" x14ac:dyDescent="0.2">
      <c r="A3914" s="19"/>
      <c r="B3914" s="19"/>
    </row>
    <row r="3915" spans="1:2" x14ac:dyDescent="0.2">
      <c r="A3915" s="19"/>
      <c r="B3915" s="19"/>
    </row>
    <row r="3916" spans="1:2" x14ac:dyDescent="0.2">
      <c r="A3916" s="19"/>
      <c r="B3916" s="19"/>
    </row>
    <row r="3917" spans="1:2" x14ac:dyDescent="0.2">
      <c r="A3917" s="19"/>
      <c r="B3917" s="19"/>
    </row>
    <row r="3918" spans="1:2" x14ac:dyDescent="0.2">
      <c r="A3918" s="19"/>
      <c r="B3918" s="19"/>
    </row>
    <row r="3919" spans="1:2" x14ac:dyDescent="0.2">
      <c r="A3919" s="19"/>
      <c r="B3919" s="19"/>
    </row>
    <row r="3920" spans="1:2" x14ac:dyDescent="0.2">
      <c r="A3920" s="19"/>
      <c r="B3920" s="19"/>
    </row>
    <row r="3921" spans="1:2" x14ac:dyDescent="0.2">
      <c r="A3921" s="19"/>
      <c r="B3921" s="19"/>
    </row>
    <row r="3922" spans="1:2" x14ac:dyDescent="0.2">
      <c r="A3922" s="19"/>
      <c r="B3922" s="19"/>
    </row>
    <row r="3923" spans="1:2" x14ac:dyDescent="0.2">
      <c r="A3923" s="19"/>
      <c r="B3923" s="19"/>
    </row>
    <row r="3924" spans="1:2" x14ac:dyDescent="0.2">
      <c r="A3924" s="19"/>
      <c r="B3924" s="19"/>
    </row>
    <row r="3925" spans="1:2" x14ac:dyDescent="0.2">
      <c r="A3925" s="19"/>
      <c r="B3925" s="19"/>
    </row>
    <row r="3926" spans="1:2" x14ac:dyDescent="0.2">
      <c r="A3926" s="19"/>
      <c r="B3926" s="19"/>
    </row>
    <row r="3927" spans="1:2" x14ac:dyDescent="0.2">
      <c r="A3927" s="19"/>
      <c r="B3927" s="19"/>
    </row>
    <row r="3928" spans="1:2" x14ac:dyDescent="0.2">
      <c r="A3928" s="19"/>
      <c r="B3928" s="19"/>
    </row>
    <row r="3929" spans="1:2" x14ac:dyDescent="0.2">
      <c r="A3929" s="19"/>
      <c r="B3929" s="19"/>
    </row>
    <row r="3930" spans="1:2" x14ac:dyDescent="0.2">
      <c r="A3930" s="19"/>
      <c r="B3930" s="19"/>
    </row>
    <row r="3931" spans="1:2" x14ac:dyDescent="0.2">
      <c r="A3931" s="19"/>
      <c r="B3931" s="19"/>
    </row>
    <row r="3932" spans="1:2" x14ac:dyDescent="0.2">
      <c r="A3932" s="19"/>
      <c r="B3932" s="19"/>
    </row>
    <row r="3933" spans="1:2" x14ac:dyDescent="0.2">
      <c r="A3933" s="19"/>
      <c r="B3933" s="19"/>
    </row>
    <row r="3934" spans="1:2" x14ac:dyDescent="0.2">
      <c r="A3934" s="19"/>
      <c r="B3934" s="19"/>
    </row>
    <row r="3935" spans="1:2" x14ac:dyDescent="0.2">
      <c r="A3935" s="19"/>
      <c r="B3935" s="19"/>
    </row>
    <row r="3936" spans="1:2" x14ac:dyDescent="0.2">
      <c r="A3936" s="19"/>
      <c r="B3936" s="19"/>
    </row>
    <row r="3937" spans="1:2" x14ac:dyDescent="0.2">
      <c r="A3937" s="19"/>
      <c r="B3937" s="19"/>
    </row>
    <row r="3938" spans="1:2" x14ac:dyDescent="0.2">
      <c r="A3938" s="19"/>
      <c r="B3938" s="19"/>
    </row>
    <row r="3939" spans="1:2" x14ac:dyDescent="0.2">
      <c r="A3939" s="19"/>
      <c r="B3939" s="19"/>
    </row>
    <row r="3940" spans="1:2" x14ac:dyDescent="0.2">
      <c r="A3940" s="19"/>
      <c r="B3940" s="19"/>
    </row>
    <row r="3941" spans="1:2" x14ac:dyDescent="0.2">
      <c r="A3941" s="19"/>
      <c r="B3941" s="19"/>
    </row>
    <row r="3942" spans="1:2" x14ac:dyDescent="0.2">
      <c r="A3942" s="19"/>
      <c r="B3942" s="19"/>
    </row>
    <row r="3943" spans="1:2" x14ac:dyDescent="0.2">
      <c r="A3943" s="19"/>
      <c r="B3943" s="19"/>
    </row>
    <row r="3944" spans="1:2" x14ac:dyDescent="0.2">
      <c r="A3944" s="19"/>
      <c r="B3944" s="19"/>
    </row>
    <row r="3945" spans="1:2" x14ac:dyDescent="0.2">
      <c r="A3945" s="19"/>
      <c r="B3945" s="19"/>
    </row>
    <row r="3946" spans="1:2" x14ac:dyDescent="0.2">
      <c r="A3946" s="19"/>
      <c r="B3946" s="19"/>
    </row>
    <row r="3947" spans="1:2" x14ac:dyDescent="0.2">
      <c r="A3947" s="19"/>
      <c r="B3947" s="19"/>
    </row>
    <row r="3948" spans="1:2" x14ac:dyDescent="0.2">
      <c r="A3948" s="19"/>
      <c r="B3948" s="19"/>
    </row>
    <row r="3949" spans="1:2" x14ac:dyDescent="0.2">
      <c r="A3949" s="19"/>
      <c r="B3949" s="19"/>
    </row>
    <row r="3950" spans="1:2" x14ac:dyDescent="0.2">
      <c r="A3950" s="19"/>
      <c r="B3950" s="19"/>
    </row>
    <row r="3951" spans="1:2" x14ac:dyDescent="0.2">
      <c r="A3951" s="19"/>
      <c r="B3951" s="19"/>
    </row>
    <row r="3952" spans="1:2" x14ac:dyDescent="0.2">
      <c r="A3952" s="19"/>
      <c r="B3952" s="19"/>
    </row>
    <row r="3953" spans="1:2" x14ac:dyDescent="0.2">
      <c r="A3953" s="19"/>
      <c r="B3953" s="19"/>
    </row>
    <row r="3954" spans="1:2" x14ac:dyDescent="0.2">
      <c r="A3954" s="19"/>
      <c r="B3954" s="19"/>
    </row>
    <row r="3955" spans="1:2" x14ac:dyDescent="0.2">
      <c r="A3955" s="19"/>
      <c r="B3955" s="19"/>
    </row>
    <row r="3956" spans="1:2" x14ac:dyDescent="0.2">
      <c r="A3956" s="19"/>
      <c r="B3956" s="19"/>
    </row>
    <row r="3957" spans="1:2" x14ac:dyDescent="0.2">
      <c r="A3957" s="19"/>
      <c r="B3957" s="19"/>
    </row>
    <row r="3958" spans="1:2" x14ac:dyDescent="0.2">
      <c r="A3958" s="19"/>
      <c r="B3958" s="19"/>
    </row>
    <row r="3959" spans="1:2" x14ac:dyDescent="0.2">
      <c r="A3959" s="19"/>
      <c r="B3959" s="19"/>
    </row>
    <row r="3960" spans="1:2" x14ac:dyDescent="0.2">
      <c r="A3960" s="19"/>
      <c r="B3960" s="19"/>
    </row>
    <row r="3961" spans="1:2" x14ac:dyDescent="0.2">
      <c r="A3961" s="19"/>
      <c r="B3961" s="19"/>
    </row>
    <row r="3962" spans="1:2" x14ac:dyDescent="0.2">
      <c r="A3962" s="19"/>
      <c r="B3962" s="19"/>
    </row>
    <row r="3963" spans="1:2" x14ac:dyDescent="0.2">
      <c r="A3963" s="19"/>
      <c r="B3963" s="19"/>
    </row>
    <row r="3964" spans="1:2" x14ac:dyDescent="0.2">
      <c r="A3964" s="19"/>
      <c r="B3964" s="19"/>
    </row>
    <row r="3965" spans="1:2" x14ac:dyDescent="0.2">
      <c r="A3965" s="19"/>
      <c r="B3965" s="19"/>
    </row>
    <row r="3966" spans="1:2" x14ac:dyDescent="0.2">
      <c r="A3966" s="19"/>
      <c r="B3966" s="19"/>
    </row>
    <row r="3967" spans="1:2" x14ac:dyDescent="0.2">
      <c r="A3967" s="19"/>
      <c r="B3967" s="19"/>
    </row>
    <row r="3968" spans="1:2" x14ac:dyDescent="0.2">
      <c r="A3968" s="19"/>
      <c r="B3968" s="19"/>
    </row>
    <row r="3969" spans="1:2" x14ac:dyDescent="0.2">
      <c r="A3969" s="19"/>
      <c r="B3969" s="19"/>
    </row>
    <row r="3970" spans="1:2" x14ac:dyDescent="0.2">
      <c r="A3970" s="19"/>
      <c r="B3970" s="19"/>
    </row>
    <row r="3971" spans="1:2" x14ac:dyDescent="0.2">
      <c r="A3971" s="19"/>
      <c r="B3971" s="19"/>
    </row>
    <row r="3972" spans="1:2" x14ac:dyDescent="0.2">
      <c r="A3972" s="19"/>
      <c r="B3972" s="19"/>
    </row>
    <row r="3973" spans="1:2" x14ac:dyDescent="0.2">
      <c r="A3973" s="19"/>
      <c r="B3973" s="19"/>
    </row>
    <row r="3974" spans="1:2" x14ac:dyDescent="0.2">
      <c r="A3974" s="19"/>
      <c r="B3974" s="19"/>
    </row>
    <row r="3975" spans="1:2" x14ac:dyDescent="0.2">
      <c r="A3975" s="19"/>
      <c r="B3975" s="19"/>
    </row>
    <row r="3976" spans="1:2" x14ac:dyDescent="0.2">
      <c r="A3976" s="19"/>
      <c r="B3976" s="19"/>
    </row>
    <row r="3977" spans="1:2" x14ac:dyDescent="0.2">
      <c r="A3977" s="19"/>
      <c r="B3977" s="19"/>
    </row>
    <row r="3978" spans="1:2" x14ac:dyDescent="0.2">
      <c r="A3978" s="19"/>
      <c r="B3978" s="19"/>
    </row>
    <row r="3979" spans="1:2" x14ac:dyDescent="0.2">
      <c r="A3979" s="19"/>
      <c r="B3979" s="19"/>
    </row>
    <row r="3980" spans="1:2" x14ac:dyDescent="0.2">
      <c r="A3980" s="19"/>
      <c r="B3980" s="19"/>
    </row>
    <row r="3981" spans="1:2" x14ac:dyDescent="0.2">
      <c r="A3981" s="19"/>
      <c r="B3981" s="19"/>
    </row>
    <row r="3982" spans="1:2" x14ac:dyDescent="0.2">
      <c r="A3982" s="19"/>
      <c r="B3982" s="19"/>
    </row>
    <row r="3983" spans="1:2" x14ac:dyDescent="0.2">
      <c r="A3983" s="19"/>
      <c r="B3983" s="19"/>
    </row>
    <row r="3984" spans="1:2" x14ac:dyDescent="0.2">
      <c r="A3984" s="19"/>
      <c r="B3984" s="19"/>
    </row>
    <row r="3985" spans="1:2" x14ac:dyDescent="0.2">
      <c r="A3985" s="19"/>
      <c r="B3985" s="19"/>
    </row>
    <row r="3986" spans="1:2" x14ac:dyDescent="0.2">
      <c r="A3986" s="19"/>
      <c r="B3986" s="19"/>
    </row>
    <row r="3987" spans="1:2" x14ac:dyDescent="0.2">
      <c r="A3987" s="19"/>
      <c r="B3987" s="19"/>
    </row>
    <row r="3988" spans="1:2" x14ac:dyDescent="0.2">
      <c r="A3988" s="19"/>
      <c r="B3988" s="19"/>
    </row>
    <row r="3989" spans="1:2" x14ac:dyDescent="0.2">
      <c r="A3989" s="19"/>
      <c r="B3989" s="19"/>
    </row>
    <row r="3990" spans="1:2" x14ac:dyDescent="0.2">
      <c r="A3990" s="19"/>
      <c r="B3990" s="19"/>
    </row>
    <row r="3991" spans="1:2" x14ac:dyDescent="0.2">
      <c r="A3991" s="19"/>
      <c r="B3991" s="19"/>
    </row>
    <row r="3992" spans="1:2" x14ac:dyDescent="0.2">
      <c r="A3992" s="19"/>
      <c r="B3992" s="19"/>
    </row>
    <row r="3993" spans="1:2" x14ac:dyDescent="0.2">
      <c r="A3993" s="19"/>
      <c r="B3993" s="19"/>
    </row>
    <row r="3994" spans="1:2" x14ac:dyDescent="0.2">
      <c r="A3994" s="19"/>
      <c r="B3994" s="19"/>
    </row>
    <row r="3995" spans="1:2" x14ac:dyDescent="0.2">
      <c r="A3995" s="19"/>
      <c r="B3995" s="19"/>
    </row>
    <row r="3996" spans="1:2" x14ac:dyDescent="0.2">
      <c r="A3996" s="19"/>
      <c r="B3996" s="19"/>
    </row>
    <row r="3997" spans="1:2" x14ac:dyDescent="0.2">
      <c r="A3997" s="19"/>
      <c r="B3997" s="19"/>
    </row>
    <row r="3998" spans="1:2" x14ac:dyDescent="0.2">
      <c r="A3998" s="19"/>
      <c r="B3998" s="19"/>
    </row>
    <row r="3999" spans="1:2" x14ac:dyDescent="0.2">
      <c r="A3999" s="19"/>
      <c r="B3999" s="19"/>
    </row>
    <row r="4000" spans="1:2" x14ac:dyDescent="0.2">
      <c r="A4000" s="19"/>
      <c r="B4000" s="19"/>
    </row>
    <row r="4001" spans="1:2" x14ac:dyDescent="0.2">
      <c r="A4001" s="19"/>
      <c r="B4001" s="19"/>
    </row>
    <row r="4002" spans="1:2" x14ac:dyDescent="0.2">
      <c r="A4002" s="19"/>
      <c r="B4002" s="19"/>
    </row>
    <row r="4003" spans="1:2" x14ac:dyDescent="0.2">
      <c r="A4003" s="19"/>
      <c r="B4003" s="19"/>
    </row>
    <row r="4004" spans="1:2" x14ac:dyDescent="0.2">
      <c r="A4004" s="19"/>
      <c r="B4004" s="19"/>
    </row>
    <row r="4005" spans="1:2" x14ac:dyDescent="0.2">
      <c r="A4005" s="19"/>
      <c r="B4005" s="19"/>
    </row>
    <row r="4006" spans="1:2" x14ac:dyDescent="0.2">
      <c r="A4006" s="19"/>
      <c r="B4006" s="19"/>
    </row>
    <row r="4007" spans="1:2" x14ac:dyDescent="0.2">
      <c r="A4007" s="19"/>
      <c r="B4007" s="19"/>
    </row>
    <row r="4008" spans="1:2" x14ac:dyDescent="0.2">
      <c r="A4008" s="19"/>
      <c r="B4008" s="19"/>
    </row>
    <row r="4009" spans="1:2" x14ac:dyDescent="0.2">
      <c r="A4009" s="19"/>
      <c r="B4009" s="19"/>
    </row>
    <row r="4010" spans="1:2" x14ac:dyDescent="0.2">
      <c r="A4010" s="19"/>
      <c r="B4010" s="19"/>
    </row>
    <row r="4011" spans="1:2" x14ac:dyDescent="0.2">
      <c r="A4011" s="19"/>
      <c r="B4011" s="19"/>
    </row>
    <row r="4012" spans="1:2" x14ac:dyDescent="0.2">
      <c r="A4012" s="19"/>
      <c r="B4012" s="19"/>
    </row>
    <row r="4013" spans="1:2" x14ac:dyDescent="0.2">
      <c r="A4013" s="19"/>
      <c r="B4013" s="19"/>
    </row>
    <row r="4014" spans="1:2" x14ac:dyDescent="0.2">
      <c r="A4014" s="19"/>
      <c r="B4014" s="19"/>
    </row>
    <row r="4015" spans="1:2" x14ac:dyDescent="0.2">
      <c r="A4015" s="19"/>
      <c r="B4015" s="19"/>
    </row>
    <row r="4016" spans="1:2" x14ac:dyDescent="0.2">
      <c r="A4016" s="19"/>
      <c r="B4016" s="19"/>
    </row>
    <row r="4017" spans="1:2" x14ac:dyDescent="0.2">
      <c r="A4017" s="19"/>
      <c r="B4017" s="19"/>
    </row>
    <row r="4018" spans="1:2" x14ac:dyDescent="0.2">
      <c r="A4018" s="19"/>
      <c r="B4018" s="19"/>
    </row>
    <row r="4019" spans="1:2" x14ac:dyDescent="0.2">
      <c r="A4019" s="19"/>
      <c r="B4019" s="19"/>
    </row>
    <row r="4020" spans="1:2" x14ac:dyDescent="0.2">
      <c r="A4020" s="19"/>
      <c r="B4020" s="19"/>
    </row>
    <row r="4021" spans="1:2" x14ac:dyDescent="0.2">
      <c r="A4021" s="19"/>
      <c r="B4021" s="19"/>
    </row>
    <row r="4022" spans="1:2" x14ac:dyDescent="0.2">
      <c r="A4022" s="19"/>
      <c r="B4022" s="19"/>
    </row>
    <row r="4023" spans="1:2" x14ac:dyDescent="0.2">
      <c r="A4023" s="19"/>
      <c r="B4023" s="19"/>
    </row>
    <row r="4024" spans="1:2" x14ac:dyDescent="0.2">
      <c r="A4024" s="19"/>
      <c r="B4024" s="19"/>
    </row>
    <row r="4025" spans="1:2" x14ac:dyDescent="0.2">
      <c r="A4025" s="19"/>
      <c r="B4025" s="19"/>
    </row>
    <row r="4026" spans="1:2" x14ac:dyDescent="0.2">
      <c r="A4026" s="19"/>
      <c r="B4026" s="19"/>
    </row>
    <row r="4027" spans="1:2" x14ac:dyDescent="0.2">
      <c r="A4027" s="19"/>
      <c r="B4027" s="19"/>
    </row>
    <row r="4028" spans="1:2" x14ac:dyDescent="0.2">
      <c r="A4028" s="19"/>
      <c r="B4028" s="19"/>
    </row>
    <row r="4029" spans="1:2" x14ac:dyDescent="0.2">
      <c r="A4029" s="19"/>
      <c r="B4029" s="19"/>
    </row>
    <row r="4030" spans="1:2" x14ac:dyDescent="0.2">
      <c r="A4030" s="19"/>
      <c r="B4030" s="19"/>
    </row>
    <row r="4031" spans="1:2" x14ac:dyDescent="0.2">
      <c r="A4031" s="19"/>
      <c r="B4031" s="19"/>
    </row>
    <row r="4032" spans="1:2" x14ac:dyDescent="0.2">
      <c r="A4032" s="19"/>
      <c r="B4032" s="19"/>
    </row>
    <row r="4033" spans="1:2" x14ac:dyDescent="0.2">
      <c r="A4033" s="19"/>
      <c r="B4033" s="19"/>
    </row>
    <row r="4034" spans="1:2" x14ac:dyDescent="0.2">
      <c r="A4034" s="19"/>
      <c r="B4034" s="19"/>
    </row>
    <row r="4035" spans="1:2" x14ac:dyDescent="0.2">
      <c r="A4035" s="19"/>
      <c r="B4035" s="19"/>
    </row>
    <row r="4036" spans="1:2" x14ac:dyDescent="0.2">
      <c r="A4036" s="19"/>
      <c r="B4036" s="19"/>
    </row>
    <row r="4037" spans="1:2" x14ac:dyDescent="0.2">
      <c r="A4037" s="19"/>
      <c r="B4037" s="19"/>
    </row>
    <row r="4038" spans="1:2" x14ac:dyDescent="0.2">
      <c r="A4038" s="19"/>
      <c r="B4038" s="19"/>
    </row>
    <row r="4039" spans="1:2" x14ac:dyDescent="0.2">
      <c r="A4039" s="19"/>
      <c r="B4039" s="19"/>
    </row>
    <row r="4040" spans="1:2" x14ac:dyDescent="0.2">
      <c r="A4040" s="19"/>
      <c r="B4040" s="19"/>
    </row>
    <row r="4041" spans="1:2" x14ac:dyDescent="0.2">
      <c r="A4041" s="19"/>
      <c r="B4041" s="19"/>
    </row>
    <row r="4042" spans="1:2" x14ac:dyDescent="0.2">
      <c r="A4042" s="19"/>
      <c r="B4042" s="19"/>
    </row>
    <row r="4043" spans="1:2" x14ac:dyDescent="0.2">
      <c r="A4043" s="19"/>
      <c r="B4043" s="19"/>
    </row>
    <row r="4044" spans="1:2" x14ac:dyDescent="0.2">
      <c r="A4044" s="19"/>
      <c r="B4044" s="19"/>
    </row>
    <row r="4045" spans="1:2" x14ac:dyDescent="0.2">
      <c r="A4045" s="19"/>
      <c r="B4045" s="19"/>
    </row>
    <row r="4046" spans="1:2" x14ac:dyDescent="0.2">
      <c r="A4046" s="19"/>
      <c r="B4046" s="19"/>
    </row>
    <row r="4047" spans="1:2" x14ac:dyDescent="0.2">
      <c r="A4047" s="19"/>
      <c r="B4047" s="19"/>
    </row>
    <row r="4048" spans="1:2" x14ac:dyDescent="0.2">
      <c r="A4048" s="19"/>
      <c r="B4048" s="19"/>
    </row>
    <row r="4049" spans="1:2" x14ac:dyDescent="0.2">
      <c r="A4049" s="19"/>
      <c r="B4049" s="19"/>
    </row>
    <row r="4050" spans="1:2" x14ac:dyDescent="0.2">
      <c r="A4050" s="19"/>
      <c r="B4050" s="19"/>
    </row>
    <row r="4051" spans="1:2" x14ac:dyDescent="0.2">
      <c r="A4051" s="19"/>
      <c r="B4051" s="19"/>
    </row>
    <row r="4052" spans="1:2" x14ac:dyDescent="0.2">
      <c r="A4052" s="19"/>
      <c r="B4052" s="19"/>
    </row>
    <row r="4053" spans="1:2" x14ac:dyDescent="0.2">
      <c r="A4053" s="19"/>
      <c r="B4053" s="19"/>
    </row>
    <row r="4054" spans="1:2" x14ac:dyDescent="0.2">
      <c r="A4054" s="19"/>
      <c r="B4054" s="19"/>
    </row>
    <row r="4055" spans="1:2" x14ac:dyDescent="0.2">
      <c r="A4055" s="19"/>
      <c r="B4055" s="19"/>
    </row>
    <row r="4056" spans="1:2" x14ac:dyDescent="0.2">
      <c r="A4056" s="19"/>
      <c r="B4056" s="19"/>
    </row>
    <row r="4057" spans="1:2" x14ac:dyDescent="0.2">
      <c r="A4057" s="19"/>
      <c r="B4057" s="19"/>
    </row>
    <row r="4058" spans="1:2" x14ac:dyDescent="0.2">
      <c r="A4058" s="19"/>
      <c r="B4058" s="19"/>
    </row>
    <row r="4059" spans="1:2" x14ac:dyDescent="0.2">
      <c r="A4059" s="19"/>
      <c r="B4059" s="19"/>
    </row>
    <row r="4060" spans="1:2" x14ac:dyDescent="0.2">
      <c r="A4060" s="19"/>
      <c r="B4060" s="19"/>
    </row>
    <row r="4061" spans="1:2" x14ac:dyDescent="0.2">
      <c r="A4061" s="19"/>
      <c r="B4061" s="19"/>
    </row>
    <row r="4062" spans="1:2" x14ac:dyDescent="0.2">
      <c r="A4062" s="19"/>
      <c r="B4062" s="19"/>
    </row>
    <row r="4063" spans="1:2" x14ac:dyDescent="0.2">
      <c r="A4063" s="19"/>
      <c r="B4063" s="19"/>
    </row>
    <row r="4064" spans="1:2" x14ac:dyDescent="0.2">
      <c r="A4064" s="19"/>
      <c r="B4064" s="19"/>
    </row>
    <row r="4065" spans="1:2" x14ac:dyDescent="0.2">
      <c r="A4065" s="19"/>
      <c r="B4065" s="19"/>
    </row>
    <row r="4066" spans="1:2" x14ac:dyDescent="0.2">
      <c r="A4066" s="19"/>
      <c r="B4066" s="19"/>
    </row>
    <row r="4067" spans="1:2" x14ac:dyDescent="0.2">
      <c r="A4067" s="19"/>
      <c r="B4067" s="19"/>
    </row>
    <row r="4068" spans="1:2" x14ac:dyDescent="0.2">
      <c r="A4068" s="19"/>
      <c r="B4068" s="19"/>
    </row>
    <row r="4069" spans="1:2" x14ac:dyDescent="0.2">
      <c r="A4069" s="19"/>
      <c r="B4069" s="19"/>
    </row>
    <row r="4070" spans="1:2" x14ac:dyDescent="0.2">
      <c r="A4070" s="19"/>
      <c r="B4070" s="19"/>
    </row>
    <row r="4071" spans="1:2" x14ac:dyDescent="0.2">
      <c r="A4071" s="19"/>
      <c r="B4071" s="19"/>
    </row>
    <row r="4072" spans="1:2" x14ac:dyDescent="0.2">
      <c r="A4072" s="19"/>
      <c r="B4072" s="19"/>
    </row>
    <row r="4073" spans="1:2" x14ac:dyDescent="0.2">
      <c r="A4073" s="19"/>
      <c r="B4073" s="19"/>
    </row>
    <row r="4074" spans="1:2" x14ac:dyDescent="0.2">
      <c r="A4074" s="19"/>
      <c r="B4074" s="19"/>
    </row>
    <row r="4075" spans="1:2" x14ac:dyDescent="0.2">
      <c r="A4075" s="19"/>
      <c r="B4075" s="19"/>
    </row>
    <row r="4076" spans="1:2" x14ac:dyDescent="0.2">
      <c r="A4076" s="19"/>
      <c r="B4076" s="19"/>
    </row>
    <row r="4077" spans="1:2" x14ac:dyDescent="0.2">
      <c r="A4077" s="19"/>
      <c r="B4077" s="19"/>
    </row>
    <row r="4078" spans="1:2" x14ac:dyDescent="0.2">
      <c r="A4078" s="19"/>
      <c r="B4078" s="19"/>
    </row>
    <row r="4079" spans="1:2" x14ac:dyDescent="0.2">
      <c r="A4079" s="19"/>
      <c r="B4079" s="19"/>
    </row>
    <row r="4080" spans="1:2" x14ac:dyDescent="0.2">
      <c r="A4080" s="19"/>
      <c r="B4080" s="19"/>
    </row>
    <row r="4081" spans="1:2" x14ac:dyDescent="0.2">
      <c r="A4081" s="19"/>
      <c r="B4081" s="19"/>
    </row>
    <row r="4082" spans="1:2" x14ac:dyDescent="0.2">
      <c r="A4082" s="19"/>
      <c r="B4082" s="19"/>
    </row>
    <row r="4083" spans="1:2" x14ac:dyDescent="0.2">
      <c r="A4083" s="19"/>
      <c r="B4083" s="19"/>
    </row>
    <row r="4084" spans="1:2" x14ac:dyDescent="0.2">
      <c r="A4084" s="19"/>
      <c r="B4084" s="19"/>
    </row>
    <row r="4085" spans="1:2" x14ac:dyDescent="0.2">
      <c r="A4085" s="19"/>
      <c r="B4085" s="19"/>
    </row>
    <row r="4086" spans="1:2" x14ac:dyDescent="0.2">
      <c r="A4086" s="19"/>
      <c r="B4086" s="19"/>
    </row>
    <row r="4087" spans="1:2" x14ac:dyDescent="0.2">
      <c r="A4087" s="19"/>
      <c r="B4087" s="19"/>
    </row>
    <row r="4088" spans="1:2" x14ac:dyDescent="0.2">
      <c r="A4088" s="19"/>
      <c r="B4088" s="19"/>
    </row>
    <row r="4089" spans="1:2" x14ac:dyDescent="0.2">
      <c r="A4089" s="19"/>
      <c r="B4089" s="19"/>
    </row>
    <row r="4090" spans="1:2" x14ac:dyDescent="0.2">
      <c r="A4090" s="19"/>
      <c r="B4090" s="19"/>
    </row>
    <row r="4091" spans="1:2" x14ac:dyDescent="0.2">
      <c r="A4091" s="19"/>
      <c r="B4091" s="19"/>
    </row>
    <row r="4092" spans="1:2" x14ac:dyDescent="0.2">
      <c r="A4092" s="19"/>
      <c r="B4092" s="19"/>
    </row>
    <row r="4093" spans="1:2" x14ac:dyDescent="0.2">
      <c r="A4093" s="19"/>
      <c r="B4093" s="19"/>
    </row>
    <row r="4094" spans="1:2" x14ac:dyDescent="0.2">
      <c r="A4094" s="19"/>
      <c r="B4094" s="19"/>
    </row>
    <row r="4095" spans="1:2" x14ac:dyDescent="0.2">
      <c r="A4095" s="19"/>
      <c r="B4095" s="19"/>
    </row>
    <row r="4096" spans="1:2" x14ac:dyDescent="0.2">
      <c r="A4096" s="19"/>
      <c r="B4096" s="19"/>
    </row>
    <row r="4097" spans="1:2" x14ac:dyDescent="0.2">
      <c r="A4097" s="19"/>
      <c r="B4097" s="19"/>
    </row>
    <row r="4098" spans="1:2" x14ac:dyDescent="0.2">
      <c r="A4098" s="19"/>
      <c r="B4098" s="19"/>
    </row>
    <row r="4099" spans="1:2" x14ac:dyDescent="0.2">
      <c r="A4099" s="19"/>
      <c r="B4099" s="19"/>
    </row>
    <row r="4100" spans="1:2" x14ac:dyDescent="0.2">
      <c r="A4100" s="19"/>
      <c r="B4100" s="19"/>
    </row>
    <row r="4101" spans="1:2" x14ac:dyDescent="0.2">
      <c r="A4101" s="19"/>
      <c r="B4101" s="19"/>
    </row>
    <row r="4102" spans="1:2" x14ac:dyDescent="0.2">
      <c r="A4102" s="19"/>
      <c r="B4102" s="19"/>
    </row>
    <row r="4103" spans="1:2" x14ac:dyDescent="0.2">
      <c r="A4103" s="19"/>
      <c r="B4103" s="19"/>
    </row>
    <row r="4104" spans="1:2" x14ac:dyDescent="0.2">
      <c r="A4104" s="19"/>
      <c r="B4104" s="19"/>
    </row>
    <row r="4105" spans="1:2" x14ac:dyDescent="0.2">
      <c r="A4105" s="19"/>
      <c r="B4105" s="19"/>
    </row>
    <row r="4106" spans="1:2" x14ac:dyDescent="0.2">
      <c r="A4106" s="19"/>
      <c r="B4106" s="19"/>
    </row>
    <row r="4107" spans="1:2" x14ac:dyDescent="0.2">
      <c r="A4107" s="19"/>
      <c r="B4107" s="19"/>
    </row>
    <row r="4108" spans="1:2" x14ac:dyDescent="0.2">
      <c r="A4108" s="19"/>
      <c r="B4108" s="19"/>
    </row>
    <row r="4109" spans="1:2" x14ac:dyDescent="0.2">
      <c r="A4109" s="19"/>
      <c r="B4109" s="19"/>
    </row>
    <row r="4110" spans="1:2" x14ac:dyDescent="0.2">
      <c r="A4110" s="19"/>
      <c r="B4110" s="19"/>
    </row>
    <row r="4111" spans="1:2" x14ac:dyDescent="0.2">
      <c r="A4111" s="19"/>
      <c r="B4111" s="19"/>
    </row>
    <row r="4112" spans="1:2" x14ac:dyDescent="0.2">
      <c r="A4112" s="19"/>
      <c r="B4112" s="19"/>
    </row>
    <row r="4113" spans="1:2" x14ac:dyDescent="0.2">
      <c r="A4113" s="19"/>
      <c r="B4113" s="19"/>
    </row>
    <row r="4114" spans="1:2" x14ac:dyDescent="0.2">
      <c r="A4114" s="19"/>
      <c r="B4114" s="19"/>
    </row>
    <row r="4115" spans="1:2" x14ac:dyDescent="0.2">
      <c r="A4115" s="19"/>
      <c r="B4115" s="19"/>
    </row>
    <row r="4116" spans="1:2" x14ac:dyDescent="0.2">
      <c r="A4116" s="19"/>
      <c r="B4116" s="19"/>
    </row>
    <row r="4117" spans="1:2" x14ac:dyDescent="0.2">
      <c r="A4117" s="19"/>
      <c r="B4117" s="19"/>
    </row>
    <row r="4118" spans="1:2" x14ac:dyDescent="0.2">
      <c r="A4118" s="19"/>
      <c r="B4118" s="19"/>
    </row>
    <row r="4119" spans="1:2" x14ac:dyDescent="0.2">
      <c r="A4119" s="19"/>
      <c r="B4119" s="19"/>
    </row>
    <row r="4120" spans="1:2" x14ac:dyDescent="0.2">
      <c r="A4120" s="19"/>
      <c r="B4120" s="19"/>
    </row>
    <row r="4121" spans="1:2" x14ac:dyDescent="0.2">
      <c r="A4121" s="19"/>
      <c r="B4121" s="19"/>
    </row>
    <row r="4122" spans="1:2" x14ac:dyDescent="0.2">
      <c r="A4122" s="19"/>
      <c r="B4122" s="19"/>
    </row>
    <row r="4123" spans="1:2" x14ac:dyDescent="0.2">
      <c r="A4123" s="19"/>
      <c r="B4123" s="19"/>
    </row>
    <row r="4124" spans="1:2" x14ac:dyDescent="0.2">
      <c r="A4124" s="19"/>
      <c r="B4124" s="19"/>
    </row>
    <row r="4125" spans="1:2" x14ac:dyDescent="0.2">
      <c r="A4125" s="19"/>
      <c r="B4125" s="19"/>
    </row>
    <row r="4126" spans="1:2" x14ac:dyDescent="0.2">
      <c r="A4126" s="19"/>
      <c r="B4126" s="19"/>
    </row>
    <row r="4127" spans="1:2" x14ac:dyDescent="0.2">
      <c r="A4127" s="19"/>
      <c r="B4127" s="19"/>
    </row>
    <row r="4128" spans="1:2" x14ac:dyDescent="0.2">
      <c r="A4128" s="19"/>
      <c r="B4128" s="19"/>
    </row>
    <row r="4129" spans="1:2" x14ac:dyDescent="0.2">
      <c r="A4129" s="19"/>
      <c r="B4129" s="19"/>
    </row>
    <row r="4130" spans="1:2" x14ac:dyDescent="0.2">
      <c r="A4130" s="19"/>
      <c r="B4130" s="19"/>
    </row>
    <row r="4131" spans="1:2" x14ac:dyDescent="0.2">
      <c r="A4131" s="19"/>
      <c r="B4131" s="19"/>
    </row>
    <row r="4132" spans="1:2" x14ac:dyDescent="0.2">
      <c r="A4132" s="19"/>
      <c r="B4132" s="19"/>
    </row>
    <row r="4133" spans="1:2" x14ac:dyDescent="0.2">
      <c r="A4133" s="19"/>
      <c r="B4133" s="19"/>
    </row>
    <row r="4134" spans="1:2" x14ac:dyDescent="0.2">
      <c r="A4134" s="19"/>
      <c r="B4134" s="19"/>
    </row>
    <row r="4135" spans="1:2" x14ac:dyDescent="0.2">
      <c r="A4135" s="19"/>
      <c r="B4135" s="19"/>
    </row>
    <row r="4136" spans="1:2" x14ac:dyDescent="0.2">
      <c r="A4136" s="19"/>
      <c r="B4136" s="19"/>
    </row>
    <row r="4137" spans="1:2" x14ac:dyDescent="0.2">
      <c r="A4137" s="19"/>
      <c r="B4137" s="19"/>
    </row>
    <row r="4138" spans="1:2" x14ac:dyDescent="0.2">
      <c r="A4138" s="19"/>
      <c r="B4138" s="19"/>
    </row>
    <row r="4139" spans="1:2" x14ac:dyDescent="0.2">
      <c r="A4139" s="19"/>
      <c r="B4139" s="19"/>
    </row>
    <row r="4140" spans="1:2" x14ac:dyDescent="0.2">
      <c r="A4140" s="19"/>
      <c r="B4140" s="19"/>
    </row>
    <row r="4141" spans="1:2" x14ac:dyDescent="0.2">
      <c r="A4141" s="19"/>
      <c r="B4141" s="19"/>
    </row>
    <row r="4142" spans="1:2" x14ac:dyDescent="0.2">
      <c r="A4142" s="19"/>
      <c r="B4142" s="19"/>
    </row>
    <row r="4143" spans="1:2" x14ac:dyDescent="0.2">
      <c r="A4143" s="19"/>
      <c r="B4143" s="19"/>
    </row>
    <row r="4144" spans="1:2" x14ac:dyDescent="0.2">
      <c r="A4144" s="19"/>
      <c r="B4144" s="19"/>
    </row>
    <row r="4145" spans="1:2" x14ac:dyDescent="0.2">
      <c r="A4145" s="19"/>
      <c r="B4145" s="19"/>
    </row>
    <row r="4146" spans="1:2" x14ac:dyDescent="0.2">
      <c r="A4146" s="19"/>
      <c r="B4146" s="19"/>
    </row>
    <row r="4147" spans="1:2" x14ac:dyDescent="0.2">
      <c r="A4147" s="19"/>
      <c r="B4147" s="19"/>
    </row>
    <row r="4148" spans="1:2" x14ac:dyDescent="0.2">
      <c r="A4148" s="19"/>
      <c r="B4148" s="19"/>
    </row>
    <row r="4149" spans="1:2" x14ac:dyDescent="0.2">
      <c r="A4149" s="19"/>
      <c r="B4149" s="19"/>
    </row>
    <row r="4150" spans="1:2" x14ac:dyDescent="0.2">
      <c r="A4150" s="19"/>
      <c r="B4150" s="19"/>
    </row>
    <row r="4151" spans="1:2" x14ac:dyDescent="0.2">
      <c r="A4151" s="19"/>
      <c r="B4151" s="19"/>
    </row>
    <row r="4152" spans="1:2" x14ac:dyDescent="0.2">
      <c r="A4152" s="19"/>
      <c r="B4152" s="19"/>
    </row>
    <row r="4153" spans="1:2" x14ac:dyDescent="0.2">
      <c r="A4153" s="19"/>
      <c r="B4153" s="19"/>
    </row>
    <row r="4154" spans="1:2" x14ac:dyDescent="0.2">
      <c r="A4154" s="19"/>
      <c r="B4154" s="19"/>
    </row>
    <row r="4155" spans="1:2" x14ac:dyDescent="0.2">
      <c r="A4155" s="19"/>
      <c r="B4155" s="19"/>
    </row>
    <row r="4156" spans="1:2" x14ac:dyDescent="0.2">
      <c r="A4156" s="19"/>
      <c r="B4156" s="19"/>
    </row>
    <row r="4157" spans="1:2" x14ac:dyDescent="0.2">
      <c r="A4157" s="19"/>
      <c r="B4157" s="19"/>
    </row>
    <row r="4158" spans="1:2" x14ac:dyDescent="0.2">
      <c r="A4158" s="19"/>
      <c r="B4158" s="19"/>
    </row>
    <row r="4159" spans="1:2" x14ac:dyDescent="0.2">
      <c r="A4159" s="19"/>
      <c r="B4159" s="19"/>
    </row>
    <row r="4160" spans="1:2" x14ac:dyDescent="0.2">
      <c r="A4160" s="19"/>
      <c r="B4160" s="19"/>
    </row>
    <row r="4161" spans="1:2" x14ac:dyDescent="0.2">
      <c r="A4161" s="19"/>
      <c r="B4161" s="19"/>
    </row>
    <row r="4162" spans="1:2" x14ac:dyDescent="0.2">
      <c r="A4162" s="19"/>
      <c r="B4162" s="19"/>
    </row>
    <row r="4163" spans="1:2" x14ac:dyDescent="0.2">
      <c r="A4163" s="19"/>
      <c r="B4163" s="19"/>
    </row>
    <row r="4164" spans="1:2" x14ac:dyDescent="0.2">
      <c r="A4164" s="19"/>
      <c r="B4164" s="19"/>
    </row>
    <row r="4165" spans="1:2" x14ac:dyDescent="0.2">
      <c r="A4165" s="19"/>
      <c r="B4165" s="19"/>
    </row>
    <row r="4166" spans="1:2" x14ac:dyDescent="0.2">
      <c r="A4166" s="19"/>
      <c r="B4166" s="19"/>
    </row>
    <row r="4167" spans="1:2" x14ac:dyDescent="0.2">
      <c r="A4167" s="19"/>
      <c r="B4167" s="19"/>
    </row>
    <row r="4168" spans="1:2" x14ac:dyDescent="0.2">
      <c r="A4168" s="19"/>
      <c r="B4168" s="19"/>
    </row>
    <row r="4169" spans="1:2" x14ac:dyDescent="0.2">
      <c r="A4169" s="19"/>
      <c r="B4169" s="19"/>
    </row>
    <row r="4170" spans="1:2" x14ac:dyDescent="0.2">
      <c r="A4170" s="19"/>
      <c r="B4170" s="19"/>
    </row>
    <row r="4171" spans="1:2" x14ac:dyDescent="0.2">
      <c r="A4171" s="19"/>
      <c r="B4171" s="19"/>
    </row>
    <row r="4172" spans="1:2" x14ac:dyDescent="0.2">
      <c r="A4172" s="19"/>
      <c r="B4172" s="19"/>
    </row>
    <row r="4173" spans="1:2" x14ac:dyDescent="0.2">
      <c r="A4173" s="19"/>
      <c r="B4173" s="19"/>
    </row>
    <row r="4174" spans="1:2" x14ac:dyDescent="0.2">
      <c r="A4174" s="19"/>
      <c r="B4174" s="19"/>
    </row>
    <row r="4175" spans="1:2" x14ac:dyDescent="0.2">
      <c r="A4175" s="19"/>
      <c r="B4175" s="19"/>
    </row>
    <row r="4176" spans="1:2" x14ac:dyDescent="0.2">
      <c r="A4176" s="19"/>
      <c r="B4176" s="19"/>
    </row>
    <row r="4177" spans="1:2" x14ac:dyDescent="0.2">
      <c r="A4177" s="19"/>
      <c r="B4177" s="19"/>
    </row>
    <row r="4178" spans="1:2" x14ac:dyDescent="0.2">
      <c r="A4178" s="19"/>
      <c r="B4178" s="19"/>
    </row>
    <row r="4179" spans="1:2" x14ac:dyDescent="0.2">
      <c r="A4179" s="19"/>
      <c r="B4179" s="19"/>
    </row>
    <row r="4180" spans="1:2" x14ac:dyDescent="0.2">
      <c r="A4180" s="19"/>
      <c r="B4180" s="19"/>
    </row>
    <row r="4181" spans="1:2" x14ac:dyDescent="0.2">
      <c r="A4181" s="19"/>
      <c r="B4181" s="19"/>
    </row>
    <row r="4182" spans="1:2" x14ac:dyDescent="0.2">
      <c r="A4182" s="19"/>
      <c r="B4182" s="19"/>
    </row>
    <row r="4183" spans="1:2" x14ac:dyDescent="0.2">
      <c r="A4183" s="19"/>
      <c r="B4183" s="19"/>
    </row>
    <row r="4184" spans="1:2" x14ac:dyDescent="0.2">
      <c r="A4184" s="19"/>
      <c r="B4184" s="19"/>
    </row>
    <row r="4185" spans="1:2" x14ac:dyDescent="0.2">
      <c r="A4185" s="19"/>
      <c r="B4185" s="19"/>
    </row>
    <row r="4186" spans="1:2" x14ac:dyDescent="0.2">
      <c r="A4186" s="19"/>
      <c r="B4186" s="19"/>
    </row>
    <row r="4187" spans="1:2" x14ac:dyDescent="0.2">
      <c r="A4187" s="19"/>
      <c r="B4187" s="19"/>
    </row>
    <row r="4188" spans="1:2" x14ac:dyDescent="0.2">
      <c r="A4188" s="19"/>
      <c r="B4188" s="19"/>
    </row>
    <row r="4189" spans="1:2" x14ac:dyDescent="0.2">
      <c r="A4189" s="19"/>
      <c r="B4189" s="19"/>
    </row>
    <row r="4190" spans="1:2" x14ac:dyDescent="0.2">
      <c r="A4190" s="19"/>
      <c r="B4190" s="19"/>
    </row>
    <row r="4191" spans="1:2" x14ac:dyDescent="0.2">
      <c r="A4191" s="19"/>
      <c r="B4191" s="19"/>
    </row>
    <row r="4192" spans="1:2" x14ac:dyDescent="0.2">
      <c r="A4192" s="19"/>
      <c r="B4192" s="19"/>
    </row>
    <row r="4193" spans="1:2" x14ac:dyDescent="0.2">
      <c r="A4193" s="19"/>
      <c r="B4193" s="19"/>
    </row>
    <row r="4194" spans="1:2" x14ac:dyDescent="0.2">
      <c r="A4194" s="19"/>
      <c r="B4194" s="19"/>
    </row>
    <row r="4195" spans="1:2" x14ac:dyDescent="0.2">
      <c r="A4195" s="19"/>
      <c r="B4195" s="19"/>
    </row>
    <row r="4196" spans="1:2" x14ac:dyDescent="0.2">
      <c r="A4196" s="19"/>
      <c r="B4196" s="19"/>
    </row>
    <row r="4197" spans="1:2" x14ac:dyDescent="0.2">
      <c r="A4197" s="19"/>
      <c r="B4197" s="19"/>
    </row>
    <row r="4198" spans="1:2" x14ac:dyDescent="0.2">
      <c r="A4198" s="19"/>
      <c r="B4198" s="19"/>
    </row>
    <row r="4199" spans="1:2" x14ac:dyDescent="0.2">
      <c r="A4199" s="19"/>
      <c r="B4199" s="19"/>
    </row>
    <row r="4200" spans="1:2" x14ac:dyDescent="0.2">
      <c r="A4200" s="19"/>
      <c r="B4200" s="19"/>
    </row>
    <row r="4201" spans="1:2" x14ac:dyDescent="0.2">
      <c r="A4201" s="19"/>
      <c r="B4201" s="19"/>
    </row>
    <row r="4202" spans="1:2" x14ac:dyDescent="0.2">
      <c r="A4202" s="19"/>
      <c r="B4202" s="19"/>
    </row>
    <row r="4203" spans="1:2" x14ac:dyDescent="0.2">
      <c r="A4203" s="19"/>
      <c r="B4203" s="19"/>
    </row>
    <row r="4204" spans="1:2" x14ac:dyDescent="0.2">
      <c r="A4204" s="19"/>
      <c r="B4204" s="19"/>
    </row>
    <row r="4205" spans="1:2" x14ac:dyDescent="0.2">
      <c r="A4205" s="19"/>
      <c r="B4205" s="19"/>
    </row>
    <row r="4206" spans="1:2" x14ac:dyDescent="0.2">
      <c r="A4206" s="19"/>
      <c r="B4206" s="19"/>
    </row>
    <row r="4207" spans="1:2" x14ac:dyDescent="0.2">
      <c r="A4207" s="19"/>
      <c r="B4207" s="19"/>
    </row>
    <row r="4208" spans="1:2" x14ac:dyDescent="0.2">
      <c r="A4208" s="19"/>
      <c r="B4208" s="19"/>
    </row>
    <row r="4209" spans="1:2" x14ac:dyDescent="0.2">
      <c r="A4209" s="19"/>
      <c r="B4209" s="19"/>
    </row>
    <row r="4210" spans="1:2" x14ac:dyDescent="0.2">
      <c r="A4210" s="19"/>
      <c r="B4210" s="19"/>
    </row>
    <row r="4211" spans="1:2" x14ac:dyDescent="0.2">
      <c r="A4211" s="19"/>
      <c r="B4211" s="19"/>
    </row>
    <row r="4212" spans="1:2" x14ac:dyDescent="0.2">
      <c r="A4212" s="19"/>
      <c r="B4212" s="19"/>
    </row>
    <row r="4213" spans="1:2" x14ac:dyDescent="0.2">
      <c r="A4213" s="19"/>
      <c r="B4213" s="19"/>
    </row>
    <row r="4214" spans="1:2" x14ac:dyDescent="0.2">
      <c r="A4214" s="19"/>
      <c r="B4214" s="19"/>
    </row>
    <row r="4215" spans="1:2" x14ac:dyDescent="0.2">
      <c r="A4215" s="19"/>
      <c r="B4215" s="19"/>
    </row>
    <row r="4216" spans="1:2" x14ac:dyDescent="0.2">
      <c r="A4216" s="19"/>
      <c r="B4216" s="19"/>
    </row>
    <row r="4217" spans="1:2" x14ac:dyDescent="0.2">
      <c r="A4217" s="19"/>
      <c r="B4217" s="19"/>
    </row>
    <row r="4218" spans="1:2" x14ac:dyDescent="0.2">
      <c r="A4218" s="19"/>
      <c r="B4218" s="19"/>
    </row>
    <row r="4219" spans="1:2" x14ac:dyDescent="0.2">
      <c r="A4219" s="19"/>
      <c r="B4219" s="19"/>
    </row>
    <row r="4220" spans="1:2" x14ac:dyDescent="0.2">
      <c r="A4220" s="19"/>
      <c r="B4220" s="19"/>
    </row>
    <row r="4221" spans="1:2" x14ac:dyDescent="0.2">
      <c r="A4221" s="19"/>
      <c r="B4221" s="19"/>
    </row>
    <row r="4222" spans="1:2" x14ac:dyDescent="0.2">
      <c r="A4222" s="19"/>
      <c r="B4222" s="19"/>
    </row>
    <row r="4223" spans="1:2" x14ac:dyDescent="0.2">
      <c r="A4223" s="19"/>
      <c r="B4223" s="19"/>
    </row>
    <row r="4224" spans="1:2" x14ac:dyDescent="0.2">
      <c r="A4224" s="19"/>
      <c r="B4224" s="19"/>
    </row>
    <row r="4225" spans="1:2" x14ac:dyDescent="0.2">
      <c r="A4225" s="19"/>
      <c r="B4225" s="19"/>
    </row>
    <row r="4226" spans="1:2" x14ac:dyDescent="0.2">
      <c r="A4226" s="19"/>
      <c r="B4226" s="19"/>
    </row>
    <row r="4227" spans="1:2" x14ac:dyDescent="0.2">
      <c r="A4227" s="19"/>
      <c r="B4227" s="19"/>
    </row>
    <row r="4228" spans="1:2" x14ac:dyDescent="0.2">
      <c r="A4228" s="19"/>
      <c r="B4228" s="19"/>
    </row>
    <row r="4229" spans="1:2" x14ac:dyDescent="0.2">
      <c r="A4229" s="19"/>
      <c r="B4229" s="19"/>
    </row>
    <row r="4230" spans="1:2" x14ac:dyDescent="0.2">
      <c r="A4230" s="19"/>
      <c r="B4230" s="19"/>
    </row>
    <row r="4231" spans="1:2" x14ac:dyDescent="0.2">
      <c r="A4231" s="19"/>
      <c r="B4231" s="19"/>
    </row>
    <row r="4232" spans="1:2" x14ac:dyDescent="0.2">
      <c r="A4232" s="19"/>
      <c r="B4232" s="19"/>
    </row>
    <row r="4233" spans="1:2" x14ac:dyDescent="0.2">
      <c r="A4233" s="19"/>
      <c r="B4233" s="19"/>
    </row>
    <row r="4234" spans="1:2" x14ac:dyDescent="0.2">
      <c r="A4234" s="19"/>
      <c r="B4234" s="19"/>
    </row>
    <row r="4235" spans="1:2" x14ac:dyDescent="0.2">
      <c r="A4235" s="19"/>
      <c r="B4235" s="19"/>
    </row>
    <row r="4236" spans="1:2" x14ac:dyDescent="0.2">
      <c r="A4236" s="19"/>
      <c r="B4236" s="19"/>
    </row>
    <row r="4237" spans="1:2" x14ac:dyDescent="0.2">
      <c r="A4237" s="19"/>
      <c r="B4237" s="19"/>
    </row>
    <row r="4238" spans="1:2" x14ac:dyDescent="0.2">
      <c r="A4238" s="19"/>
      <c r="B4238" s="19"/>
    </row>
    <row r="4239" spans="1:2" x14ac:dyDescent="0.2">
      <c r="A4239" s="19"/>
      <c r="B4239" s="19"/>
    </row>
    <row r="4240" spans="1:2" x14ac:dyDescent="0.2">
      <c r="A4240" s="19"/>
      <c r="B4240" s="19"/>
    </row>
    <row r="4241" spans="1:2" x14ac:dyDescent="0.2">
      <c r="A4241" s="19"/>
      <c r="B4241" s="19"/>
    </row>
    <row r="4242" spans="1:2" x14ac:dyDescent="0.2">
      <c r="A4242" s="19"/>
      <c r="B4242" s="19"/>
    </row>
    <row r="4243" spans="1:2" x14ac:dyDescent="0.2">
      <c r="A4243" s="19"/>
      <c r="B4243" s="19"/>
    </row>
    <row r="4244" spans="1:2" x14ac:dyDescent="0.2">
      <c r="A4244" s="19"/>
      <c r="B4244" s="19"/>
    </row>
    <row r="4245" spans="1:2" x14ac:dyDescent="0.2">
      <c r="A4245" s="19"/>
      <c r="B4245" s="19"/>
    </row>
    <row r="4246" spans="1:2" x14ac:dyDescent="0.2">
      <c r="A4246" s="19"/>
      <c r="B4246" s="19"/>
    </row>
    <row r="4247" spans="1:2" x14ac:dyDescent="0.2">
      <c r="A4247" s="19"/>
      <c r="B4247" s="19"/>
    </row>
    <row r="4248" spans="1:2" x14ac:dyDescent="0.2">
      <c r="A4248" s="19"/>
      <c r="B4248" s="19"/>
    </row>
    <row r="4249" spans="1:2" x14ac:dyDescent="0.2">
      <c r="A4249" s="19"/>
      <c r="B4249" s="19"/>
    </row>
    <row r="4250" spans="1:2" x14ac:dyDescent="0.2">
      <c r="A4250" s="19"/>
      <c r="B4250" s="19"/>
    </row>
    <row r="4251" spans="1:2" x14ac:dyDescent="0.2">
      <c r="A4251" s="19"/>
      <c r="B4251" s="19"/>
    </row>
    <row r="4252" spans="1:2" x14ac:dyDescent="0.2">
      <c r="A4252" s="19"/>
      <c r="B4252" s="19"/>
    </row>
    <row r="4253" spans="1:2" x14ac:dyDescent="0.2">
      <c r="A4253" s="19"/>
      <c r="B4253" s="19"/>
    </row>
    <row r="4254" spans="1:2" x14ac:dyDescent="0.2">
      <c r="A4254" s="19"/>
      <c r="B4254" s="19"/>
    </row>
    <row r="4255" spans="1:2" x14ac:dyDescent="0.2">
      <c r="A4255" s="19"/>
      <c r="B4255" s="19"/>
    </row>
    <row r="4256" spans="1:2" x14ac:dyDescent="0.2">
      <c r="A4256" s="19"/>
      <c r="B4256" s="19"/>
    </row>
    <row r="4257" spans="1:2" x14ac:dyDescent="0.2">
      <c r="A4257" s="19"/>
      <c r="B4257" s="19"/>
    </row>
    <row r="4258" spans="1:2" x14ac:dyDescent="0.2">
      <c r="A4258" s="19"/>
      <c r="B4258" s="19"/>
    </row>
    <row r="4259" spans="1:2" x14ac:dyDescent="0.2">
      <c r="A4259" s="19"/>
      <c r="B4259" s="19"/>
    </row>
    <row r="4260" spans="1:2" x14ac:dyDescent="0.2">
      <c r="A4260" s="19"/>
      <c r="B4260" s="19"/>
    </row>
    <row r="4261" spans="1:2" x14ac:dyDescent="0.2">
      <c r="A4261" s="19"/>
      <c r="B4261" s="19"/>
    </row>
    <row r="4262" spans="1:2" x14ac:dyDescent="0.2">
      <c r="A4262" s="19"/>
      <c r="B4262" s="19"/>
    </row>
    <row r="4263" spans="1:2" x14ac:dyDescent="0.2">
      <c r="A4263" s="19"/>
      <c r="B4263" s="19"/>
    </row>
    <row r="4264" spans="1:2" x14ac:dyDescent="0.2">
      <c r="A4264" s="19"/>
      <c r="B4264" s="19"/>
    </row>
    <row r="4265" spans="1:2" x14ac:dyDescent="0.2">
      <c r="A4265" s="19"/>
      <c r="B4265" s="19"/>
    </row>
    <row r="4266" spans="1:2" x14ac:dyDescent="0.2">
      <c r="A4266" s="19"/>
      <c r="B4266" s="19"/>
    </row>
    <row r="4267" spans="1:2" x14ac:dyDescent="0.2">
      <c r="A4267" s="19"/>
      <c r="B4267" s="19"/>
    </row>
    <row r="4268" spans="1:2" x14ac:dyDescent="0.2">
      <c r="A4268" s="19"/>
      <c r="B4268" s="19"/>
    </row>
    <row r="4269" spans="1:2" x14ac:dyDescent="0.2">
      <c r="A4269" s="19"/>
      <c r="B4269" s="19"/>
    </row>
    <row r="4270" spans="1:2" x14ac:dyDescent="0.2">
      <c r="A4270" s="19"/>
      <c r="B4270" s="19"/>
    </row>
    <row r="4271" spans="1:2" x14ac:dyDescent="0.2">
      <c r="A4271" s="19"/>
      <c r="B4271" s="19"/>
    </row>
    <row r="4272" spans="1:2" x14ac:dyDescent="0.2">
      <c r="A4272" s="19"/>
      <c r="B4272" s="19"/>
    </row>
    <row r="4273" spans="1:2" x14ac:dyDescent="0.2">
      <c r="A4273" s="19"/>
      <c r="B4273" s="19"/>
    </row>
    <row r="4274" spans="1:2" x14ac:dyDescent="0.2">
      <c r="A4274" s="19"/>
      <c r="B4274" s="19"/>
    </row>
    <row r="4275" spans="1:2" x14ac:dyDescent="0.2">
      <c r="A4275" s="19"/>
      <c r="B4275" s="19"/>
    </row>
    <row r="4276" spans="1:2" x14ac:dyDescent="0.2">
      <c r="A4276" s="19"/>
      <c r="B4276" s="19"/>
    </row>
    <row r="4277" spans="1:2" x14ac:dyDescent="0.2">
      <c r="A4277" s="19"/>
      <c r="B4277" s="19"/>
    </row>
    <row r="4278" spans="1:2" x14ac:dyDescent="0.2">
      <c r="A4278" s="19"/>
      <c r="B4278" s="19"/>
    </row>
    <row r="4279" spans="1:2" x14ac:dyDescent="0.2">
      <c r="A4279" s="19"/>
      <c r="B4279" s="19"/>
    </row>
    <row r="4280" spans="1:2" x14ac:dyDescent="0.2">
      <c r="A4280" s="19"/>
      <c r="B4280" s="19"/>
    </row>
    <row r="4281" spans="1:2" x14ac:dyDescent="0.2">
      <c r="A4281" s="19"/>
      <c r="B4281" s="19"/>
    </row>
    <row r="4282" spans="1:2" x14ac:dyDescent="0.2">
      <c r="A4282" s="19"/>
      <c r="B4282" s="19"/>
    </row>
    <row r="4283" spans="1:2" x14ac:dyDescent="0.2">
      <c r="A4283" s="19"/>
      <c r="B4283" s="19"/>
    </row>
    <row r="4284" spans="1:2" x14ac:dyDescent="0.2">
      <c r="A4284" s="19"/>
      <c r="B4284" s="19"/>
    </row>
    <row r="4285" spans="1:2" x14ac:dyDescent="0.2">
      <c r="A4285" s="19"/>
      <c r="B4285" s="19"/>
    </row>
    <row r="4286" spans="1:2" x14ac:dyDescent="0.2">
      <c r="A4286" s="19"/>
      <c r="B4286" s="19"/>
    </row>
    <row r="4287" spans="1:2" x14ac:dyDescent="0.2">
      <c r="A4287" s="19"/>
      <c r="B4287" s="19"/>
    </row>
    <row r="4288" spans="1:2" x14ac:dyDescent="0.2">
      <c r="A4288" s="19"/>
      <c r="B4288" s="19"/>
    </row>
    <row r="4289" spans="1:2" x14ac:dyDescent="0.2">
      <c r="A4289" s="19"/>
      <c r="B4289" s="19"/>
    </row>
    <row r="4290" spans="1:2" x14ac:dyDescent="0.2">
      <c r="A4290" s="19"/>
      <c r="B4290" s="19"/>
    </row>
    <row r="4291" spans="1:2" x14ac:dyDescent="0.2">
      <c r="A4291" s="19"/>
      <c r="B4291" s="19"/>
    </row>
    <row r="4292" spans="1:2" x14ac:dyDescent="0.2">
      <c r="A4292" s="19"/>
      <c r="B4292" s="19"/>
    </row>
    <row r="4293" spans="1:2" x14ac:dyDescent="0.2">
      <c r="A4293" s="19"/>
      <c r="B4293" s="19"/>
    </row>
    <row r="4294" spans="1:2" x14ac:dyDescent="0.2">
      <c r="A4294" s="19"/>
      <c r="B4294" s="19"/>
    </row>
    <row r="4295" spans="1:2" x14ac:dyDescent="0.2">
      <c r="A4295" s="19"/>
      <c r="B4295" s="19"/>
    </row>
    <row r="4296" spans="1:2" x14ac:dyDescent="0.2">
      <c r="A4296" s="19"/>
      <c r="B4296" s="19"/>
    </row>
    <row r="4297" spans="1:2" x14ac:dyDescent="0.2">
      <c r="A4297" s="19"/>
      <c r="B4297" s="19"/>
    </row>
    <row r="4298" spans="1:2" x14ac:dyDescent="0.2">
      <c r="A4298" s="19"/>
      <c r="B4298" s="19"/>
    </row>
    <row r="4299" spans="1:2" x14ac:dyDescent="0.2">
      <c r="A4299" s="19"/>
      <c r="B4299" s="19"/>
    </row>
    <row r="4300" spans="1:2" x14ac:dyDescent="0.2">
      <c r="A4300" s="19"/>
      <c r="B4300" s="19"/>
    </row>
    <row r="4301" spans="1:2" x14ac:dyDescent="0.2">
      <c r="A4301" s="19"/>
      <c r="B4301" s="19"/>
    </row>
    <row r="4302" spans="1:2" x14ac:dyDescent="0.2">
      <c r="A4302" s="19"/>
      <c r="B4302" s="19"/>
    </row>
    <row r="4303" spans="1:2" x14ac:dyDescent="0.2">
      <c r="A4303" s="19"/>
      <c r="B4303" s="19"/>
    </row>
    <row r="4304" spans="1:2" x14ac:dyDescent="0.2">
      <c r="A4304" s="19"/>
      <c r="B4304" s="19"/>
    </row>
    <row r="4305" spans="1:2" x14ac:dyDescent="0.2">
      <c r="A4305" s="19"/>
      <c r="B4305" s="19"/>
    </row>
    <row r="4306" spans="1:2" x14ac:dyDescent="0.2">
      <c r="A4306" s="19"/>
      <c r="B4306" s="19"/>
    </row>
    <row r="4307" spans="1:2" x14ac:dyDescent="0.2">
      <c r="A4307" s="19"/>
      <c r="B4307" s="19"/>
    </row>
    <row r="4308" spans="1:2" x14ac:dyDescent="0.2">
      <c r="A4308" s="19"/>
      <c r="B4308" s="19"/>
    </row>
    <row r="4309" spans="1:2" x14ac:dyDescent="0.2">
      <c r="A4309" s="19"/>
      <c r="B4309" s="19"/>
    </row>
    <row r="4310" spans="1:2" x14ac:dyDescent="0.2">
      <c r="A4310" s="19"/>
      <c r="B4310" s="19"/>
    </row>
    <row r="4311" spans="1:2" x14ac:dyDescent="0.2">
      <c r="A4311" s="19"/>
      <c r="B4311" s="19"/>
    </row>
    <row r="4312" spans="1:2" x14ac:dyDescent="0.2">
      <c r="A4312" s="19"/>
      <c r="B4312" s="19"/>
    </row>
    <row r="4313" spans="1:2" x14ac:dyDescent="0.2">
      <c r="A4313" s="19"/>
      <c r="B4313" s="19"/>
    </row>
    <row r="4314" spans="1:2" x14ac:dyDescent="0.2">
      <c r="A4314" s="19"/>
      <c r="B4314" s="19"/>
    </row>
    <row r="4315" spans="1:2" x14ac:dyDescent="0.2">
      <c r="A4315" s="19"/>
      <c r="B4315" s="19"/>
    </row>
    <row r="4316" spans="1:2" x14ac:dyDescent="0.2">
      <c r="A4316" s="19"/>
      <c r="B4316" s="19"/>
    </row>
    <row r="4317" spans="1:2" x14ac:dyDescent="0.2">
      <c r="A4317" s="19"/>
      <c r="B4317" s="19"/>
    </row>
    <row r="4318" spans="1:2" x14ac:dyDescent="0.2">
      <c r="A4318" s="19"/>
      <c r="B4318" s="19"/>
    </row>
    <row r="4319" spans="1:2" x14ac:dyDescent="0.2">
      <c r="A4319" s="19"/>
      <c r="B4319" s="19"/>
    </row>
    <row r="4320" spans="1:2" x14ac:dyDescent="0.2">
      <c r="A4320" s="19"/>
      <c r="B4320" s="19"/>
    </row>
    <row r="4321" spans="1:2" x14ac:dyDescent="0.2">
      <c r="A4321" s="19"/>
      <c r="B4321" s="19"/>
    </row>
    <row r="4322" spans="1:2" x14ac:dyDescent="0.2">
      <c r="A4322" s="19"/>
      <c r="B4322" s="19"/>
    </row>
    <row r="4323" spans="1:2" x14ac:dyDescent="0.2">
      <c r="A4323" s="19"/>
      <c r="B4323" s="19"/>
    </row>
    <row r="4324" spans="1:2" x14ac:dyDescent="0.2">
      <c r="A4324" s="19"/>
      <c r="B4324" s="19"/>
    </row>
    <row r="4325" spans="1:2" x14ac:dyDescent="0.2">
      <c r="A4325" s="19"/>
      <c r="B4325" s="19"/>
    </row>
    <row r="4326" spans="1:2" x14ac:dyDescent="0.2">
      <c r="A4326" s="19"/>
      <c r="B4326" s="19"/>
    </row>
    <row r="4327" spans="1:2" x14ac:dyDescent="0.2">
      <c r="A4327" s="19"/>
      <c r="B4327" s="19"/>
    </row>
    <row r="4328" spans="1:2" x14ac:dyDescent="0.2">
      <c r="A4328" s="19"/>
      <c r="B4328" s="19"/>
    </row>
    <row r="4329" spans="1:2" x14ac:dyDescent="0.2">
      <c r="A4329" s="19"/>
      <c r="B4329" s="19"/>
    </row>
    <row r="4330" spans="1:2" x14ac:dyDescent="0.2">
      <c r="A4330" s="19"/>
      <c r="B4330" s="19"/>
    </row>
    <row r="4331" spans="1:2" x14ac:dyDescent="0.2">
      <c r="A4331" s="19"/>
      <c r="B4331" s="19"/>
    </row>
    <row r="4332" spans="1:2" x14ac:dyDescent="0.2">
      <c r="A4332" s="19"/>
      <c r="B4332" s="19"/>
    </row>
    <row r="4333" spans="1:2" x14ac:dyDescent="0.2">
      <c r="A4333" s="19"/>
      <c r="B4333" s="19"/>
    </row>
    <row r="4334" spans="1:2" x14ac:dyDescent="0.2">
      <c r="A4334" s="19"/>
      <c r="B4334" s="19"/>
    </row>
    <row r="4335" spans="1:2" x14ac:dyDescent="0.2">
      <c r="A4335" s="19"/>
      <c r="B4335" s="19"/>
    </row>
    <row r="4336" spans="1:2" x14ac:dyDescent="0.2">
      <c r="A4336" s="19"/>
      <c r="B4336" s="19"/>
    </row>
    <row r="4337" spans="1:2" x14ac:dyDescent="0.2">
      <c r="A4337" s="19"/>
      <c r="B4337" s="19"/>
    </row>
    <row r="4338" spans="1:2" x14ac:dyDescent="0.2">
      <c r="A4338" s="19"/>
      <c r="B4338" s="19"/>
    </row>
    <row r="4339" spans="1:2" x14ac:dyDescent="0.2">
      <c r="A4339" s="19"/>
      <c r="B4339" s="19"/>
    </row>
    <row r="4340" spans="1:2" x14ac:dyDescent="0.2">
      <c r="A4340" s="19"/>
      <c r="B4340" s="19"/>
    </row>
    <row r="4341" spans="1:2" x14ac:dyDescent="0.2">
      <c r="A4341" s="19"/>
      <c r="B4341" s="19"/>
    </row>
    <row r="4342" spans="1:2" x14ac:dyDescent="0.2">
      <c r="A4342" s="19"/>
      <c r="B4342" s="19"/>
    </row>
    <row r="4343" spans="1:2" x14ac:dyDescent="0.2">
      <c r="A4343" s="19"/>
      <c r="B4343" s="19"/>
    </row>
    <row r="4344" spans="1:2" x14ac:dyDescent="0.2">
      <c r="A4344" s="19"/>
      <c r="B4344" s="19"/>
    </row>
    <row r="4345" spans="1:2" x14ac:dyDescent="0.2">
      <c r="A4345" s="19"/>
      <c r="B4345" s="19"/>
    </row>
    <row r="4346" spans="1:2" x14ac:dyDescent="0.2">
      <c r="A4346" s="19"/>
      <c r="B4346" s="19"/>
    </row>
    <row r="4347" spans="1:2" x14ac:dyDescent="0.2">
      <c r="A4347" s="19"/>
      <c r="B4347" s="19"/>
    </row>
    <row r="4348" spans="1:2" x14ac:dyDescent="0.2">
      <c r="A4348" s="19"/>
      <c r="B4348" s="19"/>
    </row>
    <row r="4349" spans="1:2" x14ac:dyDescent="0.2">
      <c r="A4349" s="19"/>
      <c r="B4349" s="19"/>
    </row>
    <row r="4350" spans="1:2" x14ac:dyDescent="0.2">
      <c r="A4350" s="19"/>
      <c r="B4350" s="19"/>
    </row>
    <row r="4351" spans="1:2" x14ac:dyDescent="0.2">
      <c r="A4351" s="19"/>
      <c r="B4351" s="19"/>
    </row>
    <row r="4352" spans="1:2" x14ac:dyDescent="0.2">
      <c r="A4352" s="19"/>
      <c r="B4352" s="19"/>
    </row>
    <row r="4353" spans="1:2" x14ac:dyDescent="0.2">
      <c r="A4353" s="19"/>
      <c r="B4353" s="19"/>
    </row>
    <row r="4354" spans="1:2" x14ac:dyDescent="0.2">
      <c r="A4354" s="19"/>
      <c r="B4354" s="19"/>
    </row>
    <row r="4355" spans="1:2" x14ac:dyDescent="0.2">
      <c r="A4355" s="19"/>
      <c r="B4355" s="19"/>
    </row>
    <row r="4356" spans="1:2" x14ac:dyDescent="0.2">
      <c r="A4356" s="19"/>
      <c r="B4356" s="19"/>
    </row>
    <row r="4357" spans="1:2" x14ac:dyDescent="0.2">
      <c r="A4357" s="19"/>
      <c r="B4357" s="19"/>
    </row>
    <row r="4358" spans="1:2" x14ac:dyDescent="0.2">
      <c r="A4358" s="19"/>
      <c r="B4358" s="19"/>
    </row>
    <row r="4359" spans="1:2" x14ac:dyDescent="0.2">
      <c r="A4359" s="19"/>
      <c r="B4359" s="19"/>
    </row>
    <row r="4360" spans="1:2" x14ac:dyDescent="0.2">
      <c r="A4360" s="19"/>
      <c r="B4360" s="19"/>
    </row>
    <row r="4361" spans="1:2" x14ac:dyDescent="0.2">
      <c r="A4361" s="19"/>
      <c r="B4361" s="19"/>
    </row>
    <row r="4362" spans="1:2" x14ac:dyDescent="0.2">
      <c r="A4362" s="19"/>
      <c r="B4362" s="19"/>
    </row>
    <row r="4363" spans="1:2" x14ac:dyDescent="0.2">
      <c r="A4363" s="19"/>
      <c r="B4363" s="19"/>
    </row>
    <row r="4364" spans="1:2" x14ac:dyDescent="0.2">
      <c r="A4364" s="19"/>
      <c r="B4364" s="19"/>
    </row>
    <row r="4365" spans="1:2" x14ac:dyDescent="0.2">
      <c r="A4365" s="19"/>
      <c r="B4365" s="19"/>
    </row>
    <row r="4366" spans="1:2" x14ac:dyDescent="0.2">
      <c r="A4366" s="19"/>
      <c r="B4366" s="19"/>
    </row>
    <row r="4367" spans="1:2" x14ac:dyDescent="0.2">
      <c r="A4367" s="19"/>
      <c r="B4367" s="19"/>
    </row>
    <row r="4368" spans="1:2" x14ac:dyDescent="0.2">
      <c r="A4368" s="19"/>
      <c r="B4368" s="19"/>
    </row>
    <row r="4369" spans="1:2" x14ac:dyDescent="0.2">
      <c r="A4369" s="19"/>
      <c r="B4369" s="19"/>
    </row>
    <row r="4370" spans="1:2" x14ac:dyDescent="0.2">
      <c r="A4370" s="19"/>
      <c r="B4370" s="19"/>
    </row>
    <row r="4371" spans="1:2" x14ac:dyDescent="0.2">
      <c r="A4371" s="19"/>
      <c r="B4371" s="19"/>
    </row>
    <row r="4372" spans="1:2" x14ac:dyDescent="0.2">
      <c r="A4372" s="19"/>
      <c r="B4372" s="19"/>
    </row>
    <row r="4373" spans="1:2" x14ac:dyDescent="0.2">
      <c r="A4373" s="19"/>
      <c r="B4373" s="19"/>
    </row>
    <row r="4374" spans="1:2" x14ac:dyDescent="0.2">
      <c r="A4374" s="19"/>
      <c r="B4374" s="19"/>
    </row>
    <row r="4375" spans="1:2" x14ac:dyDescent="0.2">
      <c r="A4375" s="19"/>
      <c r="B4375" s="19"/>
    </row>
    <row r="4376" spans="1:2" x14ac:dyDescent="0.2">
      <c r="A4376" s="19"/>
      <c r="B4376" s="19"/>
    </row>
    <row r="4377" spans="1:2" x14ac:dyDescent="0.2">
      <c r="A4377" s="19"/>
      <c r="B4377" s="19"/>
    </row>
    <row r="4378" spans="1:2" x14ac:dyDescent="0.2">
      <c r="A4378" s="19"/>
      <c r="B4378" s="19"/>
    </row>
    <row r="4379" spans="1:2" x14ac:dyDescent="0.2">
      <c r="A4379" s="19"/>
      <c r="B4379" s="19"/>
    </row>
    <row r="4380" spans="1:2" x14ac:dyDescent="0.2">
      <c r="A4380" s="19"/>
      <c r="B4380" s="19"/>
    </row>
    <row r="4381" spans="1:2" x14ac:dyDescent="0.2">
      <c r="A4381" s="19"/>
      <c r="B4381" s="19"/>
    </row>
    <row r="4382" spans="1:2" x14ac:dyDescent="0.2">
      <c r="A4382" s="19"/>
      <c r="B4382" s="19"/>
    </row>
    <row r="4383" spans="1:2" x14ac:dyDescent="0.2">
      <c r="A4383" s="19"/>
      <c r="B4383" s="19"/>
    </row>
    <row r="4384" spans="1:2" x14ac:dyDescent="0.2">
      <c r="A4384" s="19"/>
      <c r="B4384" s="19"/>
    </row>
    <row r="4385" spans="1:2" x14ac:dyDescent="0.2">
      <c r="A4385" s="19"/>
      <c r="B4385" s="19"/>
    </row>
    <row r="4386" spans="1:2" x14ac:dyDescent="0.2">
      <c r="A4386" s="19"/>
      <c r="B4386" s="19"/>
    </row>
    <row r="4387" spans="1:2" x14ac:dyDescent="0.2">
      <c r="A4387" s="19"/>
      <c r="B4387" s="19"/>
    </row>
    <row r="4388" spans="1:2" x14ac:dyDescent="0.2">
      <c r="A4388" s="19"/>
      <c r="B4388" s="19"/>
    </row>
    <row r="4389" spans="1:2" x14ac:dyDescent="0.2">
      <c r="A4389" s="19"/>
      <c r="B4389" s="19"/>
    </row>
    <row r="4390" spans="1:2" x14ac:dyDescent="0.2">
      <c r="A4390" s="19"/>
      <c r="B4390" s="19"/>
    </row>
    <row r="4391" spans="1:2" x14ac:dyDescent="0.2">
      <c r="A4391" s="19"/>
      <c r="B4391" s="19"/>
    </row>
    <row r="4392" spans="1:2" x14ac:dyDescent="0.2">
      <c r="A4392" s="19"/>
      <c r="B4392" s="19"/>
    </row>
    <row r="4393" spans="1:2" x14ac:dyDescent="0.2">
      <c r="A4393" s="19"/>
      <c r="B4393" s="19"/>
    </row>
    <row r="4394" spans="1:2" x14ac:dyDescent="0.2">
      <c r="A4394" s="19"/>
      <c r="B4394" s="19"/>
    </row>
    <row r="4395" spans="1:2" x14ac:dyDescent="0.2">
      <c r="A4395" s="19"/>
      <c r="B4395" s="19"/>
    </row>
    <row r="4396" spans="1:2" x14ac:dyDescent="0.2">
      <c r="A4396" s="19"/>
      <c r="B4396" s="19"/>
    </row>
    <row r="4397" spans="1:2" x14ac:dyDescent="0.2">
      <c r="A4397" s="19"/>
      <c r="B4397" s="19"/>
    </row>
    <row r="4398" spans="1:2" x14ac:dyDescent="0.2">
      <c r="A4398" s="19"/>
      <c r="B4398" s="19"/>
    </row>
    <row r="4399" spans="1:2" x14ac:dyDescent="0.2">
      <c r="A4399" s="19"/>
      <c r="B4399" s="19"/>
    </row>
    <row r="4400" spans="1:2" x14ac:dyDescent="0.2">
      <c r="A4400" s="19"/>
      <c r="B4400" s="19"/>
    </row>
    <row r="4401" spans="1:2" x14ac:dyDescent="0.2">
      <c r="A4401" s="19"/>
      <c r="B4401" s="19"/>
    </row>
    <row r="4402" spans="1:2" x14ac:dyDescent="0.2">
      <c r="A4402" s="19"/>
      <c r="B4402" s="19"/>
    </row>
    <row r="4403" spans="1:2" x14ac:dyDescent="0.2">
      <c r="A4403" s="19"/>
      <c r="B4403" s="19"/>
    </row>
    <row r="4404" spans="1:2" x14ac:dyDescent="0.2">
      <c r="A4404" s="19"/>
      <c r="B4404" s="19"/>
    </row>
    <row r="4405" spans="1:2" x14ac:dyDescent="0.2">
      <c r="A4405" s="19"/>
      <c r="B4405" s="19"/>
    </row>
    <row r="4406" spans="1:2" x14ac:dyDescent="0.2">
      <c r="A4406" s="19"/>
      <c r="B4406" s="19"/>
    </row>
    <row r="4407" spans="1:2" x14ac:dyDescent="0.2">
      <c r="A4407" s="19"/>
      <c r="B4407" s="19"/>
    </row>
    <row r="4408" spans="1:2" x14ac:dyDescent="0.2">
      <c r="A4408" s="19"/>
      <c r="B4408" s="19"/>
    </row>
    <row r="4409" spans="1:2" x14ac:dyDescent="0.2">
      <c r="A4409" s="19"/>
      <c r="B4409" s="19"/>
    </row>
    <row r="4410" spans="1:2" x14ac:dyDescent="0.2">
      <c r="A4410" s="19"/>
      <c r="B4410" s="19"/>
    </row>
    <row r="4411" spans="1:2" x14ac:dyDescent="0.2">
      <c r="A4411" s="19"/>
      <c r="B4411" s="19"/>
    </row>
    <row r="4412" spans="1:2" x14ac:dyDescent="0.2">
      <c r="A4412" s="19"/>
      <c r="B4412" s="19"/>
    </row>
    <row r="4413" spans="1:2" x14ac:dyDescent="0.2">
      <c r="A4413" s="19"/>
      <c r="B4413" s="19"/>
    </row>
    <row r="4414" spans="1:2" x14ac:dyDescent="0.2">
      <c r="A4414" s="19"/>
      <c r="B4414" s="19"/>
    </row>
    <row r="4415" spans="1:2" x14ac:dyDescent="0.2">
      <c r="A4415" s="19"/>
      <c r="B4415" s="19"/>
    </row>
    <row r="4416" spans="1:2" x14ac:dyDescent="0.2">
      <c r="A4416" s="19"/>
      <c r="B4416" s="19"/>
    </row>
    <row r="4417" spans="1:2" x14ac:dyDescent="0.2">
      <c r="A4417" s="19"/>
      <c r="B4417" s="19"/>
    </row>
    <row r="4418" spans="1:2" x14ac:dyDescent="0.2">
      <c r="A4418" s="19"/>
      <c r="B4418" s="19"/>
    </row>
    <row r="4419" spans="1:2" x14ac:dyDescent="0.2">
      <c r="A4419" s="19"/>
      <c r="B4419" s="19"/>
    </row>
    <row r="4420" spans="1:2" x14ac:dyDescent="0.2">
      <c r="A4420" s="19"/>
      <c r="B4420" s="19"/>
    </row>
    <row r="4421" spans="1:2" x14ac:dyDescent="0.2">
      <c r="A4421" s="19"/>
      <c r="B4421" s="19"/>
    </row>
    <row r="4422" spans="1:2" x14ac:dyDescent="0.2">
      <c r="A4422" s="19"/>
      <c r="B4422" s="19"/>
    </row>
    <row r="4423" spans="1:2" x14ac:dyDescent="0.2">
      <c r="A4423" s="19"/>
      <c r="B4423" s="19"/>
    </row>
    <row r="4424" spans="1:2" x14ac:dyDescent="0.2">
      <c r="A4424" s="19"/>
      <c r="B4424" s="19"/>
    </row>
    <row r="4425" spans="1:2" x14ac:dyDescent="0.2">
      <c r="A4425" s="19"/>
      <c r="B4425" s="19"/>
    </row>
    <row r="4426" spans="1:2" x14ac:dyDescent="0.2">
      <c r="A4426" s="19"/>
      <c r="B4426" s="19"/>
    </row>
    <row r="4427" spans="1:2" x14ac:dyDescent="0.2">
      <c r="A4427" s="19"/>
      <c r="B4427" s="19"/>
    </row>
    <row r="4428" spans="1:2" x14ac:dyDescent="0.2">
      <c r="A4428" s="19"/>
      <c r="B4428" s="19"/>
    </row>
    <row r="4429" spans="1:2" x14ac:dyDescent="0.2">
      <c r="A4429" s="19"/>
      <c r="B4429" s="19"/>
    </row>
    <row r="4430" spans="1:2" x14ac:dyDescent="0.2">
      <c r="A4430" s="19"/>
      <c r="B4430" s="19"/>
    </row>
    <row r="4431" spans="1:2" x14ac:dyDescent="0.2">
      <c r="A4431" s="19"/>
      <c r="B4431" s="19"/>
    </row>
    <row r="4432" spans="1:2" x14ac:dyDescent="0.2">
      <c r="A4432" s="19"/>
      <c r="B4432" s="19"/>
    </row>
    <row r="4433" spans="1:2" x14ac:dyDescent="0.2">
      <c r="A4433" s="19"/>
      <c r="B4433" s="19"/>
    </row>
    <row r="4434" spans="1:2" x14ac:dyDescent="0.2">
      <c r="A4434" s="19"/>
      <c r="B4434" s="19"/>
    </row>
    <row r="4435" spans="1:2" x14ac:dyDescent="0.2">
      <c r="A4435" s="19"/>
      <c r="B4435" s="19"/>
    </row>
    <row r="4436" spans="1:2" x14ac:dyDescent="0.2">
      <c r="A4436" s="19"/>
      <c r="B4436" s="19"/>
    </row>
    <row r="4437" spans="1:2" x14ac:dyDescent="0.2">
      <c r="A4437" s="19"/>
      <c r="B4437" s="19"/>
    </row>
    <row r="4438" spans="1:2" x14ac:dyDescent="0.2">
      <c r="A4438" s="19"/>
      <c r="B4438" s="19"/>
    </row>
    <row r="4439" spans="1:2" x14ac:dyDescent="0.2">
      <c r="A4439" s="19"/>
      <c r="B4439" s="19"/>
    </row>
    <row r="4440" spans="1:2" x14ac:dyDescent="0.2">
      <c r="A4440" s="19"/>
      <c r="B4440" s="19"/>
    </row>
    <row r="4441" spans="1:2" x14ac:dyDescent="0.2">
      <c r="A4441" s="19"/>
      <c r="B4441" s="19"/>
    </row>
    <row r="4442" spans="1:2" x14ac:dyDescent="0.2">
      <c r="A4442" s="19"/>
      <c r="B4442" s="19"/>
    </row>
    <row r="4443" spans="1:2" x14ac:dyDescent="0.2">
      <c r="A4443" s="19"/>
      <c r="B4443" s="19"/>
    </row>
    <row r="4444" spans="1:2" x14ac:dyDescent="0.2">
      <c r="A4444" s="19"/>
      <c r="B4444" s="19"/>
    </row>
    <row r="4445" spans="1:2" x14ac:dyDescent="0.2">
      <c r="A4445" s="19"/>
      <c r="B4445" s="19"/>
    </row>
    <row r="4446" spans="1:2" x14ac:dyDescent="0.2">
      <c r="A4446" s="19"/>
      <c r="B4446" s="19"/>
    </row>
    <row r="4447" spans="1:2" x14ac:dyDescent="0.2">
      <c r="A4447" s="19"/>
      <c r="B4447" s="19"/>
    </row>
    <row r="4448" spans="1:2" x14ac:dyDescent="0.2">
      <c r="A4448" s="19"/>
      <c r="B4448" s="19"/>
    </row>
    <row r="4449" spans="1:2" x14ac:dyDescent="0.2">
      <c r="A4449" s="19"/>
      <c r="B4449" s="19"/>
    </row>
    <row r="4450" spans="1:2" x14ac:dyDescent="0.2">
      <c r="A4450" s="19"/>
      <c r="B4450" s="19"/>
    </row>
    <row r="4451" spans="1:2" x14ac:dyDescent="0.2">
      <c r="A4451" s="19"/>
      <c r="B4451" s="19"/>
    </row>
    <row r="4452" spans="1:2" x14ac:dyDescent="0.2">
      <c r="A4452" s="19"/>
      <c r="B4452" s="19"/>
    </row>
    <row r="4453" spans="1:2" x14ac:dyDescent="0.2">
      <c r="A4453" s="19"/>
      <c r="B4453" s="19"/>
    </row>
    <row r="4454" spans="1:2" x14ac:dyDescent="0.2">
      <c r="A4454" s="19"/>
      <c r="B4454" s="19"/>
    </row>
    <row r="4455" spans="1:2" x14ac:dyDescent="0.2">
      <c r="A4455" s="19"/>
      <c r="B4455" s="19"/>
    </row>
    <row r="4456" spans="1:2" x14ac:dyDescent="0.2">
      <c r="A4456" s="19"/>
      <c r="B4456" s="19"/>
    </row>
    <row r="4457" spans="1:2" x14ac:dyDescent="0.2">
      <c r="A4457" s="19"/>
      <c r="B4457" s="19"/>
    </row>
    <row r="4458" spans="1:2" x14ac:dyDescent="0.2">
      <c r="A4458" s="19"/>
      <c r="B4458" s="19"/>
    </row>
    <row r="4459" spans="1:2" x14ac:dyDescent="0.2">
      <c r="A4459" s="19"/>
      <c r="B4459" s="19"/>
    </row>
    <row r="4460" spans="1:2" x14ac:dyDescent="0.2">
      <c r="A4460" s="19"/>
      <c r="B4460" s="19"/>
    </row>
    <row r="4461" spans="1:2" x14ac:dyDescent="0.2">
      <c r="A4461" s="19"/>
      <c r="B4461" s="19"/>
    </row>
    <row r="4462" spans="1:2" x14ac:dyDescent="0.2">
      <c r="A4462" s="19"/>
      <c r="B4462" s="19"/>
    </row>
    <row r="4463" spans="1:2" x14ac:dyDescent="0.2">
      <c r="A4463" s="19"/>
      <c r="B4463" s="19"/>
    </row>
    <row r="4464" spans="1:2" x14ac:dyDescent="0.2">
      <c r="A4464" s="19"/>
      <c r="B4464" s="19"/>
    </row>
    <row r="4465" spans="1:2" x14ac:dyDescent="0.2">
      <c r="A4465" s="19"/>
      <c r="B4465" s="19"/>
    </row>
    <row r="4466" spans="1:2" x14ac:dyDescent="0.2">
      <c r="A4466" s="19"/>
      <c r="B4466" s="19"/>
    </row>
    <row r="4467" spans="1:2" x14ac:dyDescent="0.2">
      <c r="A4467" s="19"/>
      <c r="B4467" s="19"/>
    </row>
    <row r="4468" spans="1:2" x14ac:dyDescent="0.2">
      <c r="A4468" s="19"/>
      <c r="B4468" s="19"/>
    </row>
    <row r="4469" spans="1:2" x14ac:dyDescent="0.2">
      <c r="A4469" s="19"/>
      <c r="B4469" s="19"/>
    </row>
    <row r="4470" spans="1:2" x14ac:dyDescent="0.2">
      <c r="A4470" s="19"/>
      <c r="B4470" s="19"/>
    </row>
    <row r="4471" spans="1:2" x14ac:dyDescent="0.2">
      <c r="A4471" s="19"/>
      <c r="B4471" s="19"/>
    </row>
    <row r="4472" spans="1:2" x14ac:dyDescent="0.2">
      <c r="A4472" s="19"/>
      <c r="B4472" s="19"/>
    </row>
    <row r="4473" spans="1:2" x14ac:dyDescent="0.2">
      <c r="A4473" s="19"/>
      <c r="B4473" s="19"/>
    </row>
    <row r="4474" spans="1:2" x14ac:dyDescent="0.2">
      <c r="A4474" s="19"/>
      <c r="B4474" s="19"/>
    </row>
    <row r="4475" spans="1:2" x14ac:dyDescent="0.2">
      <c r="A4475" s="19"/>
      <c r="B4475" s="19"/>
    </row>
    <row r="4476" spans="1:2" x14ac:dyDescent="0.2">
      <c r="A4476" s="19"/>
      <c r="B4476" s="19"/>
    </row>
    <row r="4477" spans="1:2" x14ac:dyDescent="0.2">
      <c r="A4477" s="19"/>
      <c r="B4477" s="19"/>
    </row>
    <row r="4478" spans="1:2" x14ac:dyDescent="0.2">
      <c r="A4478" s="19"/>
      <c r="B4478" s="19"/>
    </row>
    <row r="4479" spans="1:2" x14ac:dyDescent="0.2">
      <c r="A4479" s="19"/>
      <c r="B4479" s="19"/>
    </row>
    <row r="4480" spans="1:2" x14ac:dyDescent="0.2">
      <c r="A4480" s="19"/>
      <c r="B4480" s="19"/>
    </row>
    <row r="4481" spans="1:2" x14ac:dyDescent="0.2">
      <c r="A4481" s="19"/>
      <c r="B4481" s="19"/>
    </row>
    <row r="4482" spans="1:2" x14ac:dyDescent="0.2">
      <c r="A4482" s="19"/>
      <c r="B4482" s="19"/>
    </row>
    <row r="4483" spans="1:2" x14ac:dyDescent="0.2">
      <c r="A4483" s="19"/>
      <c r="B4483" s="19"/>
    </row>
    <row r="4484" spans="1:2" x14ac:dyDescent="0.2">
      <c r="A4484" s="19"/>
      <c r="B4484" s="19"/>
    </row>
    <row r="4485" spans="1:2" x14ac:dyDescent="0.2">
      <c r="A4485" s="19"/>
      <c r="B4485" s="19"/>
    </row>
    <row r="4486" spans="1:2" x14ac:dyDescent="0.2">
      <c r="A4486" s="19"/>
      <c r="B4486" s="19"/>
    </row>
    <row r="4487" spans="1:2" x14ac:dyDescent="0.2">
      <c r="A4487" s="19"/>
      <c r="B4487" s="19"/>
    </row>
    <row r="4488" spans="1:2" x14ac:dyDescent="0.2">
      <c r="A4488" s="19"/>
      <c r="B4488" s="19"/>
    </row>
    <row r="4489" spans="1:2" x14ac:dyDescent="0.2">
      <c r="A4489" s="19"/>
      <c r="B4489" s="19"/>
    </row>
    <row r="4490" spans="1:2" x14ac:dyDescent="0.2">
      <c r="A4490" s="19"/>
      <c r="B4490" s="19"/>
    </row>
    <row r="4491" spans="1:2" x14ac:dyDescent="0.2">
      <c r="A4491" s="19"/>
      <c r="B4491" s="19"/>
    </row>
    <row r="4492" spans="1:2" x14ac:dyDescent="0.2">
      <c r="A4492" s="19"/>
      <c r="B4492" s="19"/>
    </row>
    <row r="4493" spans="1:2" x14ac:dyDescent="0.2">
      <c r="A4493" s="19"/>
      <c r="B4493" s="19"/>
    </row>
    <row r="4494" spans="1:2" x14ac:dyDescent="0.2">
      <c r="A4494" s="19"/>
      <c r="B4494" s="19"/>
    </row>
    <row r="4495" spans="1:2" x14ac:dyDescent="0.2">
      <c r="A4495" s="19"/>
      <c r="B4495" s="19"/>
    </row>
    <row r="4496" spans="1:2" x14ac:dyDescent="0.2">
      <c r="A4496" s="19"/>
      <c r="B4496" s="19"/>
    </row>
    <row r="4497" spans="1:2" x14ac:dyDescent="0.2">
      <c r="A4497" s="19"/>
      <c r="B4497" s="19"/>
    </row>
    <row r="4498" spans="1:2" x14ac:dyDescent="0.2">
      <c r="A4498" s="19"/>
      <c r="B4498" s="19"/>
    </row>
    <row r="4499" spans="1:2" x14ac:dyDescent="0.2">
      <c r="A4499" s="19"/>
      <c r="B4499" s="19"/>
    </row>
    <row r="4500" spans="1:2" x14ac:dyDescent="0.2">
      <c r="A4500" s="19"/>
      <c r="B4500" s="19"/>
    </row>
    <row r="4501" spans="1:2" x14ac:dyDescent="0.2">
      <c r="A4501" s="19"/>
      <c r="B4501" s="19"/>
    </row>
    <row r="4502" spans="1:2" x14ac:dyDescent="0.2">
      <c r="A4502" s="19"/>
      <c r="B4502" s="19"/>
    </row>
    <row r="4503" spans="1:2" x14ac:dyDescent="0.2">
      <c r="A4503" s="19"/>
      <c r="B4503" s="19"/>
    </row>
    <row r="4504" spans="1:2" x14ac:dyDescent="0.2">
      <c r="A4504" s="19"/>
      <c r="B4504" s="19"/>
    </row>
    <row r="4505" spans="1:2" x14ac:dyDescent="0.2">
      <c r="A4505" s="19"/>
      <c r="B4505" s="19"/>
    </row>
    <row r="4506" spans="1:2" x14ac:dyDescent="0.2">
      <c r="A4506" s="19"/>
      <c r="B4506" s="19"/>
    </row>
    <row r="4507" spans="1:2" x14ac:dyDescent="0.2">
      <c r="A4507" s="19"/>
      <c r="B4507" s="19"/>
    </row>
    <row r="4508" spans="1:2" x14ac:dyDescent="0.2">
      <c r="A4508" s="19"/>
      <c r="B4508" s="19"/>
    </row>
    <row r="4509" spans="1:2" x14ac:dyDescent="0.2">
      <c r="A4509" s="19"/>
      <c r="B4509" s="19"/>
    </row>
    <row r="4510" spans="1:2" x14ac:dyDescent="0.2">
      <c r="A4510" s="19"/>
      <c r="B4510" s="19"/>
    </row>
    <row r="4511" spans="1:2" x14ac:dyDescent="0.2">
      <c r="A4511" s="19"/>
      <c r="B4511" s="19"/>
    </row>
    <row r="4512" spans="1:2" x14ac:dyDescent="0.2">
      <c r="A4512" s="19"/>
      <c r="B4512" s="19"/>
    </row>
    <row r="4513" spans="1:2" x14ac:dyDescent="0.2">
      <c r="A4513" s="19"/>
      <c r="B4513" s="19"/>
    </row>
    <row r="4514" spans="1:2" x14ac:dyDescent="0.2">
      <c r="A4514" s="19"/>
      <c r="B4514" s="19"/>
    </row>
    <row r="4515" spans="1:2" x14ac:dyDescent="0.2">
      <c r="A4515" s="19"/>
      <c r="B4515" s="19"/>
    </row>
    <row r="4516" spans="1:2" x14ac:dyDescent="0.2">
      <c r="A4516" s="19"/>
      <c r="B4516" s="19"/>
    </row>
    <row r="4517" spans="1:2" x14ac:dyDescent="0.2">
      <c r="A4517" s="19"/>
      <c r="B4517" s="19"/>
    </row>
    <row r="4518" spans="1:2" x14ac:dyDescent="0.2">
      <c r="A4518" s="19"/>
      <c r="B4518" s="19"/>
    </row>
    <row r="4519" spans="1:2" x14ac:dyDescent="0.2">
      <c r="A4519" s="19"/>
      <c r="B4519" s="19"/>
    </row>
    <row r="4520" spans="1:2" x14ac:dyDescent="0.2">
      <c r="A4520" s="19"/>
      <c r="B4520" s="19"/>
    </row>
    <row r="4521" spans="1:2" x14ac:dyDescent="0.2">
      <c r="A4521" s="19"/>
      <c r="B4521" s="19"/>
    </row>
    <row r="4522" spans="1:2" x14ac:dyDescent="0.2">
      <c r="A4522" s="19"/>
      <c r="B4522" s="19"/>
    </row>
    <row r="4523" spans="1:2" x14ac:dyDescent="0.2">
      <c r="A4523" s="19"/>
      <c r="B4523" s="19"/>
    </row>
    <row r="4524" spans="1:2" x14ac:dyDescent="0.2">
      <c r="A4524" s="19"/>
      <c r="B4524" s="19"/>
    </row>
    <row r="4525" spans="1:2" x14ac:dyDescent="0.2">
      <c r="A4525" s="19"/>
      <c r="B4525" s="19"/>
    </row>
    <row r="4526" spans="1:2" x14ac:dyDescent="0.2">
      <c r="A4526" s="19"/>
      <c r="B4526" s="19"/>
    </row>
    <row r="4527" spans="1:2" x14ac:dyDescent="0.2">
      <c r="A4527" s="19"/>
      <c r="B4527" s="19"/>
    </row>
    <row r="4528" spans="1:2" x14ac:dyDescent="0.2">
      <c r="A4528" s="19"/>
      <c r="B4528" s="19"/>
    </row>
    <row r="4529" spans="1:2" x14ac:dyDescent="0.2">
      <c r="A4529" s="19"/>
      <c r="B4529" s="19"/>
    </row>
    <row r="4530" spans="1:2" x14ac:dyDescent="0.2">
      <c r="A4530" s="19"/>
      <c r="B4530" s="19"/>
    </row>
    <row r="4531" spans="1:2" x14ac:dyDescent="0.2">
      <c r="A4531" s="19"/>
      <c r="B4531" s="19"/>
    </row>
    <row r="4532" spans="1:2" x14ac:dyDescent="0.2">
      <c r="A4532" s="19"/>
      <c r="B4532" s="19"/>
    </row>
    <row r="4533" spans="1:2" x14ac:dyDescent="0.2">
      <c r="A4533" s="19"/>
      <c r="B4533" s="19"/>
    </row>
    <row r="4534" spans="1:2" x14ac:dyDescent="0.2">
      <c r="A4534" s="19"/>
      <c r="B4534" s="19"/>
    </row>
    <row r="4535" spans="1:2" x14ac:dyDescent="0.2">
      <c r="A4535" s="19"/>
      <c r="B4535" s="19"/>
    </row>
    <row r="4536" spans="1:2" x14ac:dyDescent="0.2">
      <c r="A4536" s="19"/>
      <c r="B4536" s="19"/>
    </row>
    <row r="4537" spans="1:2" x14ac:dyDescent="0.2">
      <c r="A4537" s="19"/>
      <c r="B4537" s="19"/>
    </row>
    <row r="4538" spans="1:2" x14ac:dyDescent="0.2">
      <c r="A4538" s="19"/>
      <c r="B4538" s="19"/>
    </row>
    <row r="4539" spans="1:2" x14ac:dyDescent="0.2">
      <c r="A4539" s="19"/>
      <c r="B4539" s="19"/>
    </row>
    <row r="4540" spans="1:2" x14ac:dyDescent="0.2">
      <c r="A4540" s="19"/>
      <c r="B4540" s="19"/>
    </row>
    <row r="4541" spans="1:2" x14ac:dyDescent="0.2">
      <c r="A4541" s="19"/>
      <c r="B4541" s="19"/>
    </row>
    <row r="4542" spans="1:2" x14ac:dyDescent="0.2">
      <c r="A4542" s="19"/>
      <c r="B4542" s="19"/>
    </row>
    <row r="4543" spans="1:2" x14ac:dyDescent="0.2">
      <c r="A4543" s="19"/>
      <c r="B4543" s="19"/>
    </row>
    <row r="4544" spans="1:2" x14ac:dyDescent="0.2">
      <c r="A4544" s="19"/>
      <c r="B4544" s="19"/>
    </row>
    <row r="4545" spans="1:2" x14ac:dyDescent="0.2">
      <c r="A4545" s="19"/>
      <c r="B4545" s="19"/>
    </row>
    <row r="4546" spans="1:2" x14ac:dyDescent="0.2">
      <c r="A4546" s="19"/>
      <c r="B4546" s="19"/>
    </row>
    <row r="4547" spans="1:2" x14ac:dyDescent="0.2">
      <c r="A4547" s="19"/>
      <c r="B4547" s="19"/>
    </row>
    <row r="4548" spans="1:2" x14ac:dyDescent="0.2">
      <c r="A4548" s="19"/>
      <c r="B4548" s="19"/>
    </row>
    <row r="4549" spans="1:2" x14ac:dyDescent="0.2">
      <c r="A4549" s="19"/>
      <c r="B4549" s="19"/>
    </row>
    <row r="4550" spans="1:2" x14ac:dyDescent="0.2">
      <c r="A4550" s="19"/>
      <c r="B4550" s="19"/>
    </row>
    <row r="4551" spans="1:2" x14ac:dyDescent="0.2">
      <c r="A4551" s="19"/>
      <c r="B4551" s="19"/>
    </row>
    <row r="4552" spans="1:2" x14ac:dyDescent="0.2">
      <c r="A4552" s="19"/>
      <c r="B4552" s="19"/>
    </row>
    <row r="4553" spans="1:2" x14ac:dyDescent="0.2">
      <c r="A4553" s="19"/>
      <c r="B4553" s="19"/>
    </row>
    <row r="4554" spans="1:2" x14ac:dyDescent="0.2">
      <c r="A4554" s="19"/>
      <c r="B4554" s="19"/>
    </row>
    <row r="4555" spans="1:2" x14ac:dyDescent="0.2">
      <c r="A4555" s="19"/>
      <c r="B4555" s="19"/>
    </row>
    <row r="4556" spans="1:2" x14ac:dyDescent="0.2">
      <c r="A4556" s="19"/>
      <c r="B4556" s="19"/>
    </row>
    <row r="4557" spans="1:2" x14ac:dyDescent="0.2">
      <c r="A4557" s="19"/>
      <c r="B4557" s="19"/>
    </row>
    <row r="4558" spans="1:2" x14ac:dyDescent="0.2">
      <c r="A4558" s="19"/>
      <c r="B4558" s="19"/>
    </row>
    <row r="4559" spans="1:2" x14ac:dyDescent="0.2">
      <c r="A4559" s="19"/>
      <c r="B4559" s="19"/>
    </row>
    <row r="4560" spans="1:2" x14ac:dyDescent="0.2">
      <c r="A4560" s="19"/>
      <c r="B4560" s="19"/>
    </row>
    <row r="4561" spans="1:2" x14ac:dyDescent="0.2">
      <c r="A4561" s="19"/>
      <c r="B4561" s="19"/>
    </row>
    <row r="4562" spans="1:2" x14ac:dyDescent="0.2">
      <c r="A4562" s="19"/>
      <c r="B4562" s="19"/>
    </row>
    <row r="4563" spans="1:2" x14ac:dyDescent="0.2">
      <c r="A4563" s="19"/>
      <c r="B4563" s="19"/>
    </row>
    <row r="4564" spans="1:2" x14ac:dyDescent="0.2">
      <c r="A4564" s="19"/>
      <c r="B4564" s="19"/>
    </row>
    <row r="4565" spans="1:2" x14ac:dyDescent="0.2">
      <c r="A4565" s="19"/>
      <c r="B4565" s="19"/>
    </row>
    <row r="4566" spans="1:2" x14ac:dyDescent="0.2">
      <c r="A4566" s="19"/>
      <c r="B4566" s="19"/>
    </row>
    <row r="4567" spans="1:2" x14ac:dyDescent="0.2">
      <c r="A4567" s="19"/>
      <c r="B4567" s="19"/>
    </row>
    <row r="4568" spans="1:2" x14ac:dyDescent="0.2">
      <c r="A4568" s="19"/>
      <c r="B4568" s="19"/>
    </row>
    <row r="4569" spans="1:2" x14ac:dyDescent="0.2">
      <c r="A4569" s="19"/>
      <c r="B4569" s="19"/>
    </row>
    <row r="4570" spans="1:2" x14ac:dyDescent="0.2">
      <c r="A4570" s="19"/>
      <c r="B4570" s="19"/>
    </row>
    <row r="4571" spans="1:2" x14ac:dyDescent="0.2">
      <c r="A4571" s="19"/>
      <c r="B4571" s="19"/>
    </row>
    <row r="4572" spans="1:2" x14ac:dyDescent="0.2">
      <c r="A4572" s="19"/>
      <c r="B4572" s="19"/>
    </row>
    <row r="4573" spans="1:2" x14ac:dyDescent="0.2">
      <c r="A4573" s="19"/>
      <c r="B4573" s="19"/>
    </row>
    <row r="4574" spans="1:2" x14ac:dyDescent="0.2">
      <c r="A4574" s="19"/>
      <c r="B4574" s="19"/>
    </row>
    <row r="4575" spans="1:2" x14ac:dyDescent="0.2">
      <c r="A4575" s="19"/>
      <c r="B4575" s="19"/>
    </row>
    <row r="4576" spans="1:2" x14ac:dyDescent="0.2">
      <c r="A4576" s="19"/>
      <c r="B4576" s="19"/>
    </row>
    <row r="4577" spans="1:2" x14ac:dyDescent="0.2">
      <c r="A4577" s="19"/>
      <c r="B4577" s="19"/>
    </row>
    <row r="4578" spans="1:2" x14ac:dyDescent="0.2">
      <c r="A4578" s="19"/>
      <c r="B4578" s="19"/>
    </row>
    <row r="4579" spans="1:2" x14ac:dyDescent="0.2">
      <c r="A4579" s="19"/>
      <c r="B4579" s="19"/>
    </row>
    <row r="4580" spans="1:2" x14ac:dyDescent="0.2">
      <c r="A4580" s="19"/>
      <c r="B4580" s="19"/>
    </row>
    <row r="4581" spans="1:2" x14ac:dyDescent="0.2">
      <c r="A4581" s="19"/>
      <c r="B4581" s="19"/>
    </row>
    <row r="4582" spans="1:2" x14ac:dyDescent="0.2">
      <c r="A4582" s="19"/>
      <c r="B4582" s="19"/>
    </row>
    <row r="4583" spans="1:2" x14ac:dyDescent="0.2">
      <c r="A4583" s="19"/>
      <c r="B4583" s="19"/>
    </row>
    <row r="4584" spans="1:2" x14ac:dyDescent="0.2">
      <c r="A4584" s="19"/>
      <c r="B4584" s="19"/>
    </row>
    <row r="4585" spans="1:2" x14ac:dyDescent="0.2">
      <c r="A4585" s="19"/>
      <c r="B4585" s="19"/>
    </row>
    <row r="4586" spans="1:2" x14ac:dyDescent="0.2">
      <c r="A4586" s="19"/>
      <c r="B4586" s="19"/>
    </row>
    <row r="4587" spans="1:2" x14ac:dyDescent="0.2">
      <c r="A4587" s="19"/>
      <c r="B4587" s="19"/>
    </row>
    <row r="4588" spans="1:2" x14ac:dyDescent="0.2">
      <c r="A4588" s="19"/>
      <c r="B4588" s="19"/>
    </row>
    <row r="4589" spans="1:2" x14ac:dyDescent="0.2">
      <c r="A4589" s="19"/>
      <c r="B4589" s="19"/>
    </row>
    <row r="4590" spans="1:2" x14ac:dyDescent="0.2">
      <c r="A4590" s="19"/>
      <c r="B4590" s="19"/>
    </row>
    <row r="4591" spans="1:2" x14ac:dyDescent="0.2">
      <c r="A4591" s="19"/>
      <c r="B4591" s="19"/>
    </row>
    <row r="4592" spans="1:2" x14ac:dyDescent="0.2">
      <c r="A4592" s="19"/>
      <c r="B4592" s="19"/>
    </row>
    <row r="4593" spans="1:2" x14ac:dyDescent="0.2">
      <c r="A4593" s="19"/>
      <c r="B4593" s="19"/>
    </row>
    <row r="4594" spans="1:2" x14ac:dyDescent="0.2">
      <c r="A4594" s="19"/>
      <c r="B4594" s="19"/>
    </row>
    <row r="4595" spans="1:2" x14ac:dyDescent="0.2">
      <c r="A4595" s="19"/>
      <c r="B4595" s="19"/>
    </row>
    <row r="4596" spans="1:2" x14ac:dyDescent="0.2">
      <c r="A4596" s="19"/>
      <c r="B4596" s="19"/>
    </row>
    <row r="4597" spans="1:2" x14ac:dyDescent="0.2">
      <c r="A4597" s="19"/>
      <c r="B4597" s="19"/>
    </row>
    <row r="4598" spans="1:2" x14ac:dyDescent="0.2">
      <c r="A4598" s="19"/>
      <c r="B4598" s="19"/>
    </row>
    <row r="4599" spans="1:2" x14ac:dyDescent="0.2">
      <c r="A4599" s="19"/>
      <c r="B4599" s="19"/>
    </row>
    <row r="4600" spans="1:2" x14ac:dyDescent="0.2">
      <c r="A4600" s="19"/>
      <c r="B4600" s="19"/>
    </row>
    <row r="4601" spans="1:2" x14ac:dyDescent="0.2">
      <c r="A4601" s="19"/>
      <c r="B4601" s="19"/>
    </row>
    <row r="4602" spans="1:2" x14ac:dyDescent="0.2">
      <c r="A4602" s="19"/>
      <c r="B4602" s="19"/>
    </row>
    <row r="4603" spans="1:2" x14ac:dyDescent="0.2">
      <c r="A4603" s="19"/>
      <c r="B4603" s="19"/>
    </row>
    <row r="4604" spans="1:2" x14ac:dyDescent="0.2">
      <c r="A4604" s="19"/>
      <c r="B4604" s="19"/>
    </row>
    <row r="4605" spans="1:2" x14ac:dyDescent="0.2">
      <c r="A4605" s="19"/>
      <c r="B4605" s="19"/>
    </row>
    <row r="4606" spans="1:2" x14ac:dyDescent="0.2">
      <c r="A4606" s="19"/>
      <c r="B4606" s="19"/>
    </row>
    <row r="4607" spans="1:2" x14ac:dyDescent="0.2">
      <c r="A4607" s="19"/>
      <c r="B4607" s="19"/>
    </row>
    <row r="4608" spans="1:2" x14ac:dyDescent="0.2">
      <c r="A4608" s="19"/>
      <c r="B4608" s="19"/>
    </row>
    <row r="4609" spans="1:2" x14ac:dyDescent="0.2">
      <c r="A4609" s="19"/>
      <c r="B4609" s="19"/>
    </row>
    <row r="4610" spans="1:2" x14ac:dyDescent="0.2">
      <c r="A4610" s="19"/>
      <c r="B4610" s="19"/>
    </row>
    <row r="4611" spans="1:2" x14ac:dyDescent="0.2">
      <c r="A4611" s="19"/>
      <c r="B4611" s="19"/>
    </row>
    <row r="4612" spans="1:2" x14ac:dyDescent="0.2">
      <c r="A4612" s="19"/>
      <c r="B4612" s="19"/>
    </row>
    <row r="4613" spans="1:2" x14ac:dyDescent="0.2">
      <c r="A4613" s="19"/>
      <c r="B4613" s="19"/>
    </row>
    <row r="4614" spans="1:2" x14ac:dyDescent="0.2">
      <c r="A4614" s="19"/>
      <c r="B4614" s="19"/>
    </row>
    <row r="4615" spans="1:2" x14ac:dyDescent="0.2">
      <c r="A4615" s="19"/>
      <c r="B4615" s="19"/>
    </row>
    <row r="4616" spans="1:2" x14ac:dyDescent="0.2">
      <c r="A4616" s="19"/>
      <c r="B4616" s="19"/>
    </row>
    <row r="4617" spans="1:2" x14ac:dyDescent="0.2">
      <c r="A4617" s="19"/>
      <c r="B4617" s="19"/>
    </row>
    <row r="4618" spans="1:2" x14ac:dyDescent="0.2">
      <c r="A4618" s="19"/>
      <c r="B4618" s="19"/>
    </row>
    <row r="4619" spans="1:2" x14ac:dyDescent="0.2">
      <c r="A4619" s="19"/>
      <c r="B4619" s="19"/>
    </row>
    <row r="4620" spans="1:2" x14ac:dyDescent="0.2">
      <c r="A4620" s="19"/>
      <c r="B4620" s="19"/>
    </row>
    <row r="4621" spans="1:2" x14ac:dyDescent="0.2">
      <c r="A4621" s="19"/>
      <c r="B4621" s="19"/>
    </row>
    <row r="4622" spans="1:2" x14ac:dyDescent="0.2">
      <c r="A4622" s="19"/>
      <c r="B4622" s="19"/>
    </row>
    <row r="4623" spans="1:2" x14ac:dyDescent="0.2">
      <c r="A4623" s="19"/>
      <c r="B4623" s="19"/>
    </row>
    <row r="4624" spans="1:2" x14ac:dyDescent="0.2">
      <c r="A4624" s="19"/>
      <c r="B4624" s="19"/>
    </row>
    <row r="4625" spans="1:2" x14ac:dyDescent="0.2">
      <c r="A4625" s="19"/>
      <c r="B4625" s="19"/>
    </row>
    <row r="4626" spans="1:2" x14ac:dyDescent="0.2">
      <c r="A4626" s="19"/>
      <c r="B4626" s="19"/>
    </row>
    <row r="4627" spans="1:2" x14ac:dyDescent="0.2">
      <c r="A4627" s="19"/>
      <c r="B4627" s="19"/>
    </row>
    <row r="4628" spans="1:2" x14ac:dyDescent="0.2">
      <c r="A4628" s="19"/>
      <c r="B4628" s="19"/>
    </row>
    <row r="4629" spans="1:2" x14ac:dyDescent="0.2">
      <c r="A4629" s="19"/>
      <c r="B4629" s="19"/>
    </row>
    <row r="4630" spans="1:2" x14ac:dyDescent="0.2">
      <c r="A4630" s="19"/>
      <c r="B4630" s="19"/>
    </row>
    <row r="4631" spans="1:2" x14ac:dyDescent="0.2">
      <c r="A4631" s="19"/>
      <c r="B4631" s="19"/>
    </row>
    <row r="4632" spans="1:2" x14ac:dyDescent="0.2">
      <c r="A4632" s="19"/>
      <c r="B4632" s="19"/>
    </row>
    <row r="4633" spans="1:2" x14ac:dyDescent="0.2">
      <c r="A4633" s="19"/>
      <c r="B4633" s="19"/>
    </row>
    <row r="4634" spans="1:2" x14ac:dyDescent="0.2">
      <c r="A4634" s="19"/>
      <c r="B4634" s="19"/>
    </row>
    <row r="4635" spans="1:2" x14ac:dyDescent="0.2">
      <c r="A4635" s="19"/>
      <c r="B4635" s="19"/>
    </row>
    <row r="4636" spans="1:2" x14ac:dyDescent="0.2">
      <c r="A4636" s="19"/>
      <c r="B4636" s="19"/>
    </row>
    <row r="4637" spans="1:2" x14ac:dyDescent="0.2">
      <c r="A4637" s="19"/>
      <c r="B4637" s="19"/>
    </row>
    <row r="4638" spans="1:2" x14ac:dyDescent="0.2">
      <c r="A4638" s="19"/>
      <c r="B4638" s="19"/>
    </row>
    <row r="4639" spans="1:2" x14ac:dyDescent="0.2">
      <c r="A4639" s="19"/>
      <c r="B4639" s="19"/>
    </row>
    <row r="4640" spans="1:2" x14ac:dyDescent="0.2">
      <c r="A4640" s="19"/>
      <c r="B4640" s="19"/>
    </row>
    <row r="4641" spans="1:2" x14ac:dyDescent="0.2">
      <c r="A4641" s="19"/>
      <c r="B4641" s="19"/>
    </row>
    <row r="4642" spans="1:2" x14ac:dyDescent="0.2">
      <c r="A4642" s="19"/>
      <c r="B4642" s="19"/>
    </row>
    <row r="4643" spans="1:2" x14ac:dyDescent="0.2">
      <c r="A4643" s="19"/>
      <c r="B4643" s="19"/>
    </row>
    <row r="4644" spans="1:2" x14ac:dyDescent="0.2">
      <c r="A4644" s="19"/>
      <c r="B4644" s="19"/>
    </row>
    <row r="4645" spans="1:2" x14ac:dyDescent="0.2">
      <c r="A4645" s="19"/>
      <c r="B4645" s="19"/>
    </row>
    <row r="4646" spans="1:2" x14ac:dyDescent="0.2">
      <c r="A4646" s="19"/>
      <c r="B4646" s="19"/>
    </row>
    <row r="4647" spans="1:2" x14ac:dyDescent="0.2">
      <c r="A4647" s="19"/>
      <c r="B4647" s="19"/>
    </row>
    <row r="4648" spans="1:2" x14ac:dyDescent="0.2">
      <c r="A4648" s="19"/>
      <c r="B4648" s="19"/>
    </row>
    <row r="4649" spans="1:2" x14ac:dyDescent="0.2">
      <c r="A4649" s="19"/>
      <c r="B4649" s="19"/>
    </row>
    <row r="4650" spans="1:2" x14ac:dyDescent="0.2">
      <c r="A4650" s="19"/>
      <c r="B4650" s="19"/>
    </row>
    <row r="4651" spans="1:2" x14ac:dyDescent="0.2">
      <c r="A4651" s="19"/>
      <c r="B4651" s="19"/>
    </row>
    <row r="4652" spans="1:2" x14ac:dyDescent="0.2">
      <c r="A4652" s="19"/>
      <c r="B4652" s="19"/>
    </row>
    <row r="4653" spans="1:2" x14ac:dyDescent="0.2">
      <c r="A4653" s="19"/>
      <c r="B4653" s="19"/>
    </row>
    <row r="4654" spans="1:2" x14ac:dyDescent="0.2">
      <c r="A4654" s="19"/>
      <c r="B4654" s="19"/>
    </row>
    <row r="4655" spans="1:2" x14ac:dyDescent="0.2">
      <c r="A4655" s="19"/>
      <c r="B4655" s="19"/>
    </row>
    <row r="4656" spans="1:2" x14ac:dyDescent="0.2">
      <c r="A4656" s="19"/>
      <c r="B4656" s="19"/>
    </row>
    <row r="4657" spans="1:2" x14ac:dyDescent="0.2">
      <c r="A4657" s="19"/>
      <c r="B4657" s="19"/>
    </row>
    <row r="4658" spans="1:2" x14ac:dyDescent="0.2">
      <c r="A4658" s="19"/>
      <c r="B4658" s="19"/>
    </row>
    <row r="4659" spans="1:2" x14ac:dyDescent="0.2">
      <c r="A4659" s="19"/>
      <c r="B4659" s="19"/>
    </row>
    <row r="4660" spans="1:2" x14ac:dyDescent="0.2">
      <c r="A4660" s="19"/>
      <c r="B4660" s="19"/>
    </row>
    <row r="4661" spans="1:2" x14ac:dyDescent="0.2">
      <c r="A4661" s="19"/>
      <c r="B4661" s="19"/>
    </row>
    <row r="4662" spans="1:2" x14ac:dyDescent="0.2">
      <c r="A4662" s="19"/>
      <c r="B4662" s="19"/>
    </row>
    <row r="4663" spans="1:2" x14ac:dyDescent="0.2">
      <c r="A4663" s="19"/>
      <c r="B4663" s="19"/>
    </row>
    <row r="4664" spans="1:2" x14ac:dyDescent="0.2">
      <c r="A4664" s="19"/>
      <c r="B4664" s="19"/>
    </row>
    <row r="4665" spans="1:2" x14ac:dyDescent="0.2">
      <c r="A4665" s="19"/>
      <c r="B4665" s="19"/>
    </row>
    <row r="4666" spans="1:2" x14ac:dyDescent="0.2">
      <c r="A4666" s="19"/>
      <c r="B4666" s="19"/>
    </row>
    <row r="4667" spans="1:2" x14ac:dyDescent="0.2">
      <c r="A4667" s="19"/>
      <c r="B4667" s="19"/>
    </row>
    <row r="4668" spans="1:2" x14ac:dyDescent="0.2">
      <c r="A4668" s="19"/>
      <c r="B4668" s="19"/>
    </row>
    <row r="4669" spans="1:2" x14ac:dyDescent="0.2">
      <c r="A4669" s="19"/>
      <c r="B4669" s="19"/>
    </row>
    <row r="4670" spans="1:2" x14ac:dyDescent="0.2">
      <c r="A4670" s="19"/>
      <c r="B4670" s="19"/>
    </row>
    <row r="4671" spans="1:2" x14ac:dyDescent="0.2">
      <c r="A4671" s="19"/>
      <c r="B4671" s="19"/>
    </row>
    <row r="4672" spans="1:2" x14ac:dyDescent="0.2">
      <c r="A4672" s="19"/>
      <c r="B4672" s="19"/>
    </row>
    <row r="4673" spans="1:2" x14ac:dyDescent="0.2">
      <c r="A4673" s="19"/>
      <c r="B4673" s="19"/>
    </row>
    <row r="4674" spans="1:2" x14ac:dyDescent="0.2">
      <c r="A4674" s="19"/>
      <c r="B4674" s="19"/>
    </row>
    <row r="4675" spans="1:2" x14ac:dyDescent="0.2">
      <c r="A4675" s="19"/>
      <c r="B4675" s="19"/>
    </row>
    <row r="4676" spans="1:2" x14ac:dyDescent="0.2">
      <c r="A4676" s="19"/>
      <c r="B4676" s="19"/>
    </row>
    <row r="4677" spans="1:2" x14ac:dyDescent="0.2">
      <c r="A4677" s="19"/>
      <c r="B4677" s="19"/>
    </row>
    <row r="4678" spans="1:2" x14ac:dyDescent="0.2">
      <c r="A4678" s="19"/>
      <c r="B4678" s="19"/>
    </row>
    <row r="4679" spans="1:2" x14ac:dyDescent="0.2">
      <c r="A4679" s="19"/>
      <c r="B4679" s="19"/>
    </row>
    <row r="4680" spans="1:2" x14ac:dyDescent="0.2">
      <c r="A4680" s="19"/>
      <c r="B4680" s="19"/>
    </row>
    <row r="4681" spans="1:2" x14ac:dyDescent="0.2">
      <c r="A4681" s="19"/>
      <c r="B4681" s="19"/>
    </row>
    <row r="4682" spans="1:2" x14ac:dyDescent="0.2">
      <c r="A4682" s="19"/>
      <c r="B4682" s="19"/>
    </row>
    <row r="4683" spans="1:2" x14ac:dyDescent="0.2">
      <c r="A4683" s="19"/>
      <c r="B4683" s="19"/>
    </row>
    <row r="4684" spans="1:2" x14ac:dyDescent="0.2">
      <c r="A4684" s="19"/>
      <c r="B4684" s="19"/>
    </row>
    <row r="4685" spans="1:2" x14ac:dyDescent="0.2">
      <c r="A4685" s="19"/>
      <c r="B4685" s="19"/>
    </row>
    <row r="4686" spans="1:2" x14ac:dyDescent="0.2">
      <c r="A4686" s="19"/>
      <c r="B4686" s="19"/>
    </row>
    <row r="4687" spans="1:2" x14ac:dyDescent="0.2">
      <c r="A4687" s="19"/>
      <c r="B4687" s="19"/>
    </row>
    <row r="4688" spans="1:2" x14ac:dyDescent="0.2">
      <c r="A4688" s="19"/>
      <c r="B4688" s="19"/>
    </row>
    <row r="4689" spans="1:2" x14ac:dyDescent="0.2">
      <c r="A4689" s="19"/>
      <c r="B4689" s="19"/>
    </row>
    <row r="4690" spans="1:2" x14ac:dyDescent="0.2">
      <c r="A4690" s="19"/>
      <c r="B4690" s="19"/>
    </row>
    <row r="4691" spans="1:2" x14ac:dyDescent="0.2">
      <c r="A4691" s="19"/>
      <c r="B4691" s="19"/>
    </row>
    <row r="4692" spans="1:2" x14ac:dyDescent="0.2">
      <c r="A4692" s="19"/>
      <c r="B4692" s="19"/>
    </row>
    <row r="4693" spans="1:2" x14ac:dyDescent="0.2">
      <c r="A4693" s="19"/>
      <c r="B4693" s="19"/>
    </row>
    <row r="4694" spans="1:2" x14ac:dyDescent="0.2">
      <c r="A4694" s="19"/>
      <c r="B4694" s="19"/>
    </row>
    <row r="4695" spans="1:2" x14ac:dyDescent="0.2">
      <c r="A4695" s="19"/>
      <c r="B4695" s="19"/>
    </row>
    <row r="4696" spans="1:2" x14ac:dyDescent="0.2">
      <c r="A4696" s="19"/>
      <c r="B4696" s="19"/>
    </row>
    <row r="4697" spans="1:2" x14ac:dyDescent="0.2">
      <c r="A4697" s="19"/>
      <c r="B4697" s="19"/>
    </row>
    <row r="4698" spans="1:2" x14ac:dyDescent="0.2">
      <c r="A4698" s="19"/>
      <c r="B4698" s="19"/>
    </row>
    <row r="4699" spans="1:2" x14ac:dyDescent="0.2">
      <c r="A4699" s="19"/>
      <c r="B4699" s="19"/>
    </row>
    <row r="4700" spans="1:2" x14ac:dyDescent="0.2">
      <c r="A4700" s="19"/>
      <c r="B4700" s="19"/>
    </row>
    <row r="4701" spans="1:2" x14ac:dyDescent="0.2">
      <c r="A4701" s="19"/>
      <c r="B4701" s="19"/>
    </row>
    <row r="4702" spans="1:2" x14ac:dyDescent="0.2">
      <c r="A4702" s="19"/>
      <c r="B4702" s="19"/>
    </row>
    <row r="4703" spans="1:2" x14ac:dyDescent="0.2">
      <c r="A4703" s="19"/>
      <c r="B4703" s="19"/>
    </row>
    <row r="4704" spans="1:2" x14ac:dyDescent="0.2">
      <c r="A4704" s="19"/>
      <c r="B4704" s="19"/>
    </row>
    <row r="4705" spans="1:2" x14ac:dyDescent="0.2">
      <c r="A4705" s="19"/>
      <c r="B4705" s="19"/>
    </row>
    <row r="4706" spans="1:2" x14ac:dyDescent="0.2">
      <c r="A4706" s="19"/>
      <c r="B4706" s="19"/>
    </row>
    <row r="4707" spans="1:2" x14ac:dyDescent="0.2">
      <c r="A4707" s="19"/>
      <c r="B4707" s="19"/>
    </row>
    <row r="4708" spans="1:2" x14ac:dyDescent="0.2">
      <c r="A4708" s="19"/>
      <c r="B4708" s="19"/>
    </row>
    <row r="4709" spans="1:2" x14ac:dyDescent="0.2">
      <c r="A4709" s="19"/>
      <c r="B4709" s="19"/>
    </row>
    <row r="4710" spans="1:2" x14ac:dyDescent="0.2">
      <c r="A4710" s="19"/>
      <c r="B4710" s="19"/>
    </row>
    <row r="4711" spans="1:2" x14ac:dyDescent="0.2">
      <c r="A4711" s="19"/>
      <c r="B4711" s="19"/>
    </row>
    <row r="4712" spans="1:2" x14ac:dyDescent="0.2">
      <c r="A4712" s="19"/>
      <c r="B4712" s="19"/>
    </row>
    <row r="4713" spans="1:2" x14ac:dyDescent="0.2">
      <c r="A4713" s="19"/>
      <c r="B4713" s="19"/>
    </row>
    <row r="4714" spans="1:2" x14ac:dyDescent="0.2">
      <c r="A4714" s="19"/>
      <c r="B4714" s="19"/>
    </row>
    <row r="4715" spans="1:2" x14ac:dyDescent="0.2">
      <c r="A4715" s="19"/>
      <c r="B4715" s="19"/>
    </row>
    <row r="4716" spans="1:2" x14ac:dyDescent="0.2">
      <c r="A4716" s="19"/>
      <c r="B4716" s="19"/>
    </row>
    <row r="4717" spans="1:2" x14ac:dyDescent="0.2">
      <c r="A4717" s="19"/>
      <c r="B4717" s="19"/>
    </row>
    <row r="4718" spans="1:2" x14ac:dyDescent="0.2">
      <c r="A4718" s="19"/>
      <c r="B4718" s="19"/>
    </row>
    <row r="4719" spans="1:2" x14ac:dyDescent="0.2">
      <c r="A4719" s="19"/>
      <c r="B4719" s="19"/>
    </row>
    <row r="4720" spans="1:2" x14ac:dyDescent="0.2">
      <c r="A4720" s="19"/>
      <c r="B4720" s="19"/>
    </row>
    <row r="4721" spans="1:2" x14ac:dyDescent="0.2">
      <c r="A4721" s="19"/>
      <c r="B4721" s="19"/>
    </row>
    <row r="4722" spans="1:2" x14ac:dyDescent="0.2">
      <c r="A4722" s="19"/>
      <c r="B4722" s="19"/>
    </row>
    <row r="4723" spans="1:2" x14ac:dyDescent="0.2">
      <c r="A4723" s="19"/>
      <c r="B4723" s="19"/>
    </row>
    <row r="4724" spans="1:2" x14ac:dyDescent="0.2">
      <c r="A4724" s="19"/>
      <c r="B4724" s="19"/>
    </row>
    <row r="4725" spans="1:2" x14ac:dyDescent="0.2">
      <c r="A4725" s="19"/>
      <c r="B4725" s="19"/>
    </row>
    <row r="4726" spans="1:2" x14ac:dyDescent="0.2">
      <c r="A4726" s="19"/>
      <c r="B4726" s="19"/>
    </row>
    <row r="4727" spans="1:2" x14ac:dyDescent="0.2">
      <c r="A4727" s="19"/>
      <c r="B4727" s="19"/>
    </row>
    <row r="4728" spans="1:2" x14ac:dyDescent="0.2">
      <c r="A4728" s="19"/>
      <c r="B4728" s="19"/>
    </row>
    <row r="4729" spans="1:2" x14ac:dyDescent="0.2">
      <c r="A4729" s="19"/>
      <c r="B4729" s="19"/>
    </row>
    <row r="4730" spans="1:2" x14ac:dyDescent="0.2">
      <c r="A4730" s="19"/>
      <c r="B4730" s="19"/>
    </row>
    <row r="4731" spans="1:2" x14ac:dyDescent="0.2">
      <c r="A4731" s="19"/>
      <c r="B4731" s="19"/>
    </row>
    <row r="4732" spans="1:2" x14ac:dyDescent="0.2">
      <c r="A4732" s="19"/>
      <c r="B4732" s="19"/>
    </row>
    <row r="4733" spans="1:2" x14ac:dyDescent="0.2">
      <c r="A4733" s="19"/>
      <c r="B4733" s="19"/>
    </row>
    <row r="4734" spans="1:2" x14ac:dyDescent="0.2">
      <c r="A4734" s="19"/>
      <c r="B4734" s="19"/>
    </row>
    <row r="4735" spans="1:2" x14ac:dyDescent="0.2">
      <c r="A4735" s="19"/>
      <c r="B4735" s="19"/>
    </row>
    <row r="4736" spans="1:2" x14ac:dyDescent="0.2">
      <c r="A4736" s="19"/>
      <c r="B4736" s="19"/>
    </row>
    <row r="4737" spans="1:2" x14ac:dyDescent="0.2">
      <c r="A4737" s="19"/>
      <c r="B4737" s="19"/>
    </row>
    <row r="4738" spans="1:2" x14ac:dyDescent="0.2">
      <c r="A4738" s="19"/>
      <c r="B4738" s="19"/>
    </row>
    <row r="4739" spans="1:2" x14ac:dyDescent="0.2">
      <c r="A4739" s="19"/>
      <c r="B4739" s="19"/>
    </row>
    <row r="4740" spans="1:2" x14ac:dyDescent="0.2">
      <c r="A4740" s="19"/>
      <c r="B4740" s="19"/>
    </row>
    <row r="4741" spans="1:2" x14ac:dyDescent="0.2">
      <c r="A4741" s="19"/>
      <c r="B4741" s="19"/>
    </row>
    <row r="4742" spans="1:2" x14ac:dyDescent="0.2">
      <c r="A4742" s="19"/>
      <c r="B4742" s="19"/>
    </row>
    <row r="4743" spans="1:2" x14ac:dyDescent="0.2">
      <c r="A4743" s="19"/>
      <c r="B4743" s="19"/>
    </row>
    <row r="4744" spans="1:2" x14ac:dyDescent="0.2">
      <c r="A4744" s="19"/>
      <c r="B4744" s="19"/>
    </row>
    <row r="4745" spans="1:2" x14ac:dyDescent="0.2">
      <c r="A4745" s="19"/>
      <c r="B4745" s="19"/>
    </row>
    <row r="4746" spans="1:2" x14ac:dyDescent="0.2">
      <c r="A4746" s="19"/>
      <c r="B4746" s="19"/>
    </row>
    <row r="4747" spans="1:2" x14ac:dyDescent="0.2">
      <c r="A4747" s="19"/>
      <c r="B4747" s="19"/>
    </row>
    <row r="4748" spans="1:2" x14ac:dyDescent="0.2">
      <c r="A4748" s="19"/>
      <c r="B4748" s="19"/>
    </row>
    <row r="4749" spans="1:2" x14ac:dyDescent="0.2">
      <c r="A4749" s="19"/>
      <c r="B4749" s="19"/>
    </row>
    <row r="4750" spans="1:2" x14ac:dyDescent="0.2">
      <c r="A4750" s="19"/>
      <c r="B4750" s="19"/>
    </row>
    <row r="4751" spans="1:2" x14ac:dyDescent="0.2">
      <c r="A4751" s="19"/>
      <c r="B4751" s="19"/>
    </row>
    <row r="4752" spans="1:2" x14ac:dyDescent="0.2">
      <c r="A4752" s="19"/>
      <c r="B4752" s="19"/>
    </row>
    <row r="4753" spans="1:2" x14ac:dyDescent="0.2">
      <c r="A4753" s="19"/>
      <c r="B4753" s="19"/>
    </row>
    <row r="4754" spans="1:2" x14ac:dyDescent="0.2">
      <c r="A4754" s="19"/>
      <c r="B4754" s="19"/>
    </row>
    <row r="4755" spans="1:2" x14ac:dyDescent="0.2">
      <c r="A4755" s="19"/>
      <c r="B4755" s="19"/>
    </row>
    <row r="4756" spans="1:2" x14ac:dyDescent="0.2">
      <c r="A4756" s="19"/>
      <c r="B4756" s="19"/>
    </row>
    <row r="4757" spans="1:2" x14ac:dyDescent="0.2">
      <c r="A4757" s="19"/>
      <c r="B4757" s="19"/>
    </row>
    <row r="4758" spans="1:2" x14ac:dyDescent="0.2">
      <c r="A4758" s="19"/>
      <c r="B4758" s="19"/>
    </row>
    <row r="4759" spans="1:2" x14ac:dyDescent="0.2">
      <c r="A4759" s="19"/>
      <c r="B4759" s="19"/>
    </row>
    <row r="4760" spans="1:2" x14ac:dyDescent="0.2">
      <c r="A4760" s="19"/>
      <c r="B4760" s="19"/>
    </row>
    <row r="4761" spans="1:2" x14ac:dyDescent="0.2">
      <c r="A4761" s="19"/>
      <c r="B4761" s="19"/>
    </row>
    <row r="4762" spans="1:2" x14ac:dyDescent="0.2">
      <c r="A4762" s="19"/>
      <c r="B4762" s="19"/>
    </row>
    <row r="4763" spans="1:2" x14ac:dyDescent="0.2">
      <c r="A4763" s="19"/>
      <c r="B4763" s="19"/>
    </row>
    <row r="4764" spans="1:2" x14ac:dyDescent="0.2">
      <c r="A4764" s="19"/>
      <c r="B4764" s="19"/>
    </row>
    <row r="4765" spans="1:2" x14ac:dyDescent="0.2">
      <c r="A4765" s="19"/>
      <c r="B4765" s="19"/>
    </row>
    <row r="4766" spans="1:2" x14ac:dyDescent="0.2">
      <c r="A4766" s="19"/>
      <c r="B4766" s="19"/>
    </row>
    <row r="4767" spans="1:2" x14ac:dyDescent="0.2">
      <c r="A4767" s="19"/>
      <c r="B4767" s="19"/>
    </row>
    <row r="4768" spans="1:2" x14ac:dyDescent="0.2">
      <c r="A4768" s="19"/>
      <c r="B4768" s="19"/>
    </row>
    <row r="4769" spans="1:2" x14ac:dyDescent="0.2">
      <c r="A4769" s="19"/>
      <c r="B4769" s="19"/>
    </row>
    <row r="4770" spans="1:2" x14ac:dyDescent="0.2">
      <c r="A4770" s="19"/>
      <c r="B4770" s="19"/>
    </row>
    <row r="4771" spans="1:2" x14ac:dyDescent="0.2">
      <c r="A4771" s="19"/>
      <c r="B4771" s="19"/>
    </row>
    <row r="4772" spans="1:2" x14ac:dyDescent="0.2">
      <c r="A4772" s="19"/>
      <c r="B4772" s="19"/>
    </row>
    <row r="4773" spans="1:2" x14ac:dyDescent="0.2">
      <c r="A4773" s="19"/>
      <c r="B4773" s="19"/>
    </row>
    <row r="4774" spans="1:2" x14ac:dyDescent="0.2">
      <c r="A4774" s="19"/>
      <c r="B4774" s="19"/>
    </row>
    <row r="4775" spans="1:2" x14ac:dyDescent="0.2">
      <c r="A4775" s="19"/>
      <c r="B4775" s="19"/>
    </row>
    <row r="4776" spans="1:2" x14ac:dyDescent="0.2">
      <c r="A4776" s="19"/>
      <c r="B4776" s="19"/>
    </row>
    <row r="4777" spans="1:2" x14ac:dyDescent="0.2">
      <c r="A4777" s="19"/>
      <c r="B4777" s="19"/>
    </row>
    <row r="4778" spans="1:2" x14ac:dyDescent="0.2">
      <c r="A4778" s="19"/>
      <c r="B4778" s="19"/>
    </row>
    <row r="4779" spans="1:2" x14ac:dyDescent="0.2">
      <c r="A4779" s="19"/>
      <c r="B4779" s="19"/>
    </row>
    <row r="4780" spans="1:2" x14ac:dyDescent="0.2">
      <c r="A4780" s="19"/>
      <c r="B4780" s="19"/>
    </row>
    <row r="4781" spans="1:2" x14ac:dyDescent="0.2">
      <c r="A4781" s="19"/>
      <c r="B4781" s="19"/>
    </row>
    <row r="4782" spans="1:2" x14ac:dyDescent="0.2">
      <c r="A4782" s="19"/>
      <c r="B4782" s="19"/>
    </row>
    <row r="4783" spans="1:2" x14ac:dyDescent="0.2">
      <c r="A4783" s="19"/>
      <c r="B4783" s="19"/>
    </row>
    <row r="4784" spans="1:2" x14ac:dyDescent="0.2">
      <c r="A4784" s="19"/>
      <c r="B4784" s="19"/>
    </row>
    <row r="4785" spans="1:2" x14ac:dyDescent="0.2">
      <c r="A4785" s="19"/>
      <c r="B4785" s="19"/>
    </row>
    <row r="4786" spans="1:2" x14ac:dyDescent="0.2">
      <c r="A4786" s="19"/>
      <c r="B4786" s="19"/>
    </row>
    <row r="4787" spans="1:2" x14ac:dyDescent="0.2">
      <c r="A4787" s="19"/>
      <c r="B4787" s="19"/>
    </row>
    <row r="4788" spans="1:2" x14ac:dyDescent="0.2">
      <c r="A4788" s="19"/>
      <c r="B4788" s="19"/>
    </row>
    <row r="4789" spans="1:2" x14ac:dyDescent="0.2">
      <c r="A4789" s="19"/>
      <c r="B4789" s="19"/>
    </row>
    <row r="4790" spans="1:2" x14ac:dyDescent="0.2">
      <c r="A4790" s="19"/>
      <c r="B4790" s="19"/>
    </row>
    <row r="4791" spans="1:2" x14ac:dyDescent="0.2">
      <c r="A4791" s="19"/>
      <c r="B4791" s="19"/>
    </row>
    <row r="4792" spans="1:2" x14ac:dyDescent="0.2">
      <c r="A4792" s="19"/>
      <c r="B4792" s="19"/>
    </row>
    <row r="4793" spans="1:2" x14ac:dyDescent="0.2">
      <c r="A4793" s="19"/>
      <c r="B4793" s="19"/>
    </row>
    <row r="4794" spans="1:2" x14ac:dyDescent="0.2">
      <c r="A4794" s="19"/>
      <c r="B4794" s="19"/>
    </row>
    <row r="4795" spans="1:2" x14ac:dyDescent="0.2">
      <c r="A4795" s="19"/>
      <c r="B4795" s="19"/>
    </row>
    <row r="4796" spans="1:2" x14ac:dyDescent="0.2">
      <c r="A4796" s="19"/>
      <c r="B4796" s="19"/>
    </row>
    <row r="4797" spans="1:2" x14ac:dyDescent="0.2">
      <c r="A4797" s="19"/>
      <c r="B4797" s="19"/>
    </row>
    <row r="4798" spans="1:2" x14ac:dyDescent="0.2">
      <c r="A4798" s="19"/>
      <c r="B4798" s="19"/>
    </row>
    <row r="4799" spans="1:2" x14ac:dyDescent="0.2">
      <c r="A4799" s="19"/>
      <c r="B4799" s="19"/>
    </row>
    <row r="4800" spans="1:2" x14ac:dyDescent="0.2">
      <c r="A4800" s="19"/>
      <c r="B4800" s="19"/>
    </row>
    <row r="4801" spans="1:2" x14ac:dyDescent="0.2">
      <c r="A4801" s="19"/>
      <c r="B4801" s="19"/>
    </row>
    <row r="4802" spans="1:2" x14ac:dyDescent="0.2">
      <c r="A4802" s="19"/>
      <c r="B4802" s="19"/>
    </row>
    <row r="4803" spans="1:2" x14ac:dyDescent="0.2">
      <c r="A4803" s="19"/>
      <c r="B4803" s="19"/>
    </row>
    <row r="4804" spans="1:2" x14ac:dyDescent="0.2">
      <c r="A4804" s="19"/>
      <c r="B4804" s="19"/>
    </row>
    <row r="4805" spans="1:2" x14ac:dyDescent="0.2">
      <c r="A4805" s="19"/>
      <c r="B4805" s="19"/>
    </row>
    <row r="4806" spans="1:2" x14ac:dyDescent="0.2">
      <c r="A4806" s="19"/>
      <c r="B4806" s="19"/>
    </row>
    <row r="4807" spans="1:2" x14ac:dyDescent="0.2">
      <c r="A4807" s="19"/>
      <c r="B4807" s="19"/>
    </row>
    <row r="4808" spans="1:2" x14ac:dyDescent="0.2">
      <c r="A4808" s="19"/>
      <c r="B4808" s="19"/>
    </row>
    <row r="4809" spans="1:2" x14ac:dyDescent="0.2">
      <c r="A4809" s="19"/>
      <c r="B4809" s="19"/>
    </row>
    <row r="4810" spans="1:2" x14ac:dyDescent="0.2">
      <c r="A4810" s="19"/>
      <c r="B4810" s="19"/>
    </row>
    <row r="4811" spans="1:2" x14ac:dyDescent="0.2">
      <c r="A4811" s="19"/>
      <c r="B4811" s="19"/>
    </row>
    <row r="4812" spans="1:2" x14ac:dyDescent="0.2">
      <c r="A4812" s="19"/>
      <c r="B4812" s="19"/>
    </row>
    <row r="4813" spans="1:2" x14ac:dyDescent="0.2">
      <c r="A4813" s="19"/>
      <c r="B4813" s="19"/>
    </row>
    <row r="4814" spans="1:2" x14ac:dyDescent="0.2">
      <c r="A4814" s="19"/>
      <c r="B4814" s="19"/>
    </row>
    <row r="4815" spans="1:2" x14ac:dyDescent="0.2">
      <c r="A4815" s="19"/>
      <c r="B4815" s="19"/>
    </row>
    <row r="4816" spans="1:2" x14ac:dyDescent="0.2">
      <c r="A4816" s="19"/>
      <c r="B4816" s="19"/>
    </row>
    <row r="4817" spans="1:2" x14ac:dyDescent="0.2">
      <c r="A4817" s="19"/>
      <c r="B4817" s="19"/>
    </row>
    <row r="4818" spans="1:2" x14ac:dyDescent="0.2">
      <c r="A4818" s="19"/>
      <c r="B4818" s="19"/>
    </row>
    <row r="4819" spans="1:2" x14ac:dyDescent="0.2">
      <c r="A4819" s="19"/>
      <c r="B4819" s="19"/>
    </row>
    <row r="4820" spans="1:2" x14ac:dyDescent="0.2">
      <c r="A4820" s="19"/>
      <c r="B4820" s="19"/>
    </row>
    <row r="4821" spans="1:2" x14ac:dyDescent="0.2">
      <c r="A4821" s="19"/>
      <c r="B4821" s="19"/>
    </row>
    <row r="4822" spans="1:2" x14ac:dyDescent="0.2">
      <c r="A4822" s="19"/>
      <c r="B4822" s="19"/>
    </row>
    <row r="4823" spans="1:2" x14ac:dyDescent="0.2">
      <c r="A4823" s="19"/>
      <c r="B4823" s="19"/>
    </row>
    <row r="4824" spans="1:2" x14ac:dyDescent="0.2">
      <c r="A4824" s="19"/>
      <c r="B4824" s="19"/>
    </row>
    <row r="4825" spans="1:2" x14ac:dyDescent="0.2">
      <c r="A4825" s="19"/>
      <c r="B4825" s="19"/>
    </row>
    <row r="4826" spans="1:2" x14ac:dyDescent="0.2">
      <c r="A4826" s="19"/>
      <c r="B4826" s="19"/>
    </row>
    <row r="4827" spans="1:2" x14ac:dyDescent="0.2">
      <c r="A4827" s="19"/>
      <c r="B4827" s="19"/>
    </row>
    <row r="4828" spans="1:2" x14ac:dyDescent="0.2">
      <c r="A4828" s="19"/>
      <c r="B4828" s="19"/>
    </row>
    <row r="4829" spans="1:2" x14ac:dyDescent="0.2">
      <c r="A4829" s="19"/>
      <c r="B4829" s="19"/>
    </row>
    <row r="4830" spans="1:2" x14ac:dyDescent="0.2">
      <c r="A4830" s="19"/>
      <c r="B4830" s="19"/>
    </row>
    <row r="4831" spans="1:2" x14ac:dyDescent="0.2">
      <c r="A4831" s="19"/>
      <c r="B4831" s="19"/>
    </row>
    <row r="4832" spans="1:2" x14ac:dyDescent="0.2">
      <c r="A4832" s="19"/>
      <c r="B4832" s="19"/>
    </row>
    <row r="4833" spans="1:2" x14ac:dyDescent="0.2">
      <c r="A4833" s="19"/>
      <c r="B4833" s="19"/>
    </row>
    <row r="4834" spans="1:2" x14ac:dyDescent="0.2">
      <c r="A4834" s="19"/>
      <c r="B4834" s="19"/>
    </row>
    <row r="4835" spans="1:2" x14ac:dyDescent="0.2">
      <c r="A4835" s="19"/>
      <c r="B4835" s="19"/>
    </row>
    <row r="4836" spans="1:2" x14ac:dyDescent="0.2">
      <c r="A4836" s="19"/>
      <c r="B4836" s="19"/>
    </row>
    <row r="4837" spans="1:2" x14ac:dyDescent="0.2">
      <c r="A4837" s="19"/>
      <c r="B4837" s="19"/>
    </row>
    <row r="4838" spans="1:2" x14ac:dyDescent="0.2">
      <c r="A4838" s="19"/>
      <c r="B4838" s="19"/>
    </row>
    <row r="4839" spans="1:2" x14ac:dyDescent="0.2">
      <c r="A4839" s="19"/>
      <c r="B4839" s="19"/>
    </row>
    <row r="4840" spans="1:2" x14ac:dyDescent="0.2">
      <c r="A4840" s="19"/>
      <c r="B4840" s="19"/>
    </row>
    <row r="4841" spans="1:2" x14ac:dyDescent="0.2">
      <c r="A4841" s="19"/>
      <c r="B4841" s="19"/>
    </row>
    <row r="4842" spans="1:2" x14ac:dyDescent="0.2">
      <c r="A4842" s="19"/>
      <c r="B4842" s="19"/>
    </row>
    <row r="4843" spans="1:2" x14ac:dyDescent="0.2">
      <c r="A4843" s="19"/>
      <c r="B4843" s="19"/>
    </row>
    <row r="4844" spans="1:2" x14ac:dyDescent="0.2">
      <c r="A4844" s="19"/>
      <c r="B4844" s="19"/>
    </row>
    <row r="4845" spans="1:2" x14ac:dyDescent="0.2">
      <c r="A4845" s="19"/>
      <c r="B4845" s="19"/>
    </row>
    <row r="4846" spans="1:2" x14ac:dyDescent="0.2">
      <c r="A4846" s="19"/>
      <c r="B4846" s="19"/>
    </row>
    <row r="4847" spans="1:2" x14ac:dyDescent="0.2">
      <c r="A4847" s="19"/>
      <c r="B4847" s="19"/>
    </row>
    <row r="4848" spans="1:2" x14ac:dyDescent="0.2">
      <c r="A4848" s="19"/>
      <c r="B4848" s="19"/>
    </row>
    <row r="4849" spans="1:2" x14ac:dyDescent="0.2">
      <c r="A4849" s="19"/>
      <c r="B4849" s="19"/>
    </row>
    <row r="4850" spans="1:2" x14ac:dyDescent="0.2">
      <c r="A4850" s="19"/>
      <c r="B4850" s="19"/>
    </row>
    <row r="4851" spans="1:2" x14ac:dyDescent="0.2">
      <c r="A4851" s="19"/>
      <c r="B4851" s="19"/>
    </row>
    <row r="4852" spans="1:2" x14ac:dyDescent="0.2">
      <c r="A4852" s="19"/>
      <c r="B4852" s="19"/>
    </row>
    <row r="4853" spans="1:2" x14ac:dyDescent="0.2">
      <c r="A4853" s="19"/>
      <c r="B4853" s="19"/>
    </row>
    <row r="4854" spans="1:2" x14ac:dyDescent="0.2">
      <c r="A4854" s="19"/>
      <c r="B4854" s="19"/>
    </row>
    <row r="4855" spans="1:2" x14ac:dyDescent="0.2">
      <c r="A4855" s="19"/>
      <c r="B4855" s="19"/>
    </row>
    <row r="4856" spans="1:2" x14ac:dyDescent="0.2">
      <c r="A4856" s="19"/>
      <c r="B4856" s="19"/>
    </row>
    <row r="4857" spans="1:2" x14ac:dyDescent="0.2">
      <c r="A4857" s="19"/>
      <c r="B4857" s="19"/>
    </row>
    <row r="4858" spans="1:2" x14ac:dyDescent="0.2">
      <c r="A4858" s="19"/>
      <c r="B4858" s="19"/>
    </row>
    <row r="4859" spans="1:2" x14ac:dyDescent="0.2">
      <c r="A4859" s="19"/>
      <c r="B4859" s="19"/>
    </row>
    <row r="4860" spans="1:2" x14ac:dyDescent="0.2">
      <c r="A4860" s="19"/>
      <c r="B4860" s="19"/>
    </row>
    <row r="4861" spans="1:2" x14ac:dyDescent="0.2">
      <c r="A4861" s="19"/>
      <c r="B4861" s="19"/>
    </row>
    <row r="4862" spans="1:2" x14ac:dyDescent="0.2">
      <c r="A4862" s="19"/>
      <c r="B4862" s="19"/>
    </row>
    <row r="4863" spans="1:2" x14ac:dyDescent="0.2">
      <c r="A4863" s="19"/>
      <c r="B4863" s="19"/>
    </row>
    <row r="4864" spans="1:2" x14ac:dyDescent="0.2">
      <c r="A4864" s="19"/>
      <c r="B4864" s="19"/>
    </row>
    <row r="4865" spans="1:2" x14ac:dyDescent="0.2">
      <c r="A4865" s="19"/>
      <c r="B4865" s="19"/>
    </row>
    <row r="4866" spans="1:2" x14ac:dyDescent="0.2">
      <c r="A4866" s="19"/>
      <c r="B4866" s="19"/>
    </row>
    <row r="4867" spans="1:2" x14ac:dyDescent="0.2">
      <c r="A4867" s="19"/>
      <c r="B4867" s="19"/>
    </row>
    <row r="4868" spans="1:2" x14ac:dyDescent="0.2">
      <c r="A4868" s="19"/>
      <c r="B4868" s="19"/>
    </row>
    <row r="4869" spans="1:2" x14ac:dyDescent="0.2">
      <c r="A4869" s="19"/>
      <c r="B4869" s="19"/>
    </row>
    <row r="4870" spans="1:2" x14ac:dyDescent="0.2">
      <c r="A4870" s="19"/>
      <c r="B4870" s="19"/>
    </row>
    <row r="4871" spans="1:2" x14ac:dyDescent="0.2">
      <c r="A4871" s="19"/>
      <c r="B4871" s="19"/>
    </row>
    <row r="4872" spans="1:2" x14ac:dyDescent="0.2">
      <c r="A4872" s="19"/>
      <c r="B4872" s="19"/>
    </row>
    <row r="4873" spans="1:2" x14ac:dyDescent="0.2">
      <c r="A4873" s="19"/>
      <c r="B4873" s="19"/>
    </row>
    <row r="4874" spans="1:2" x14ac:dyDescent="0.2">
      <c r="A4874" s="19"/>
      <c r="B4874" s="19"/>
    </row>
    <row r="4875" spans="1:2" x14ac:dyDescent="0.2">
      <c r="A4875" s="19"/>
      <c r="B4875" s="19"/>
    </row>
    <row r="4876" spans="1:2" x14ac:dyDescent="0.2">
      <c r="A4876" s="19"/>
      <c r="B4876" s="19"/>
    </row>
    <row r="4877" spans="1:2" x14ac:dyDescent="0.2">
      <c r="A4877" s="19"/>
      <c r="B4877" s="19"/>
    </row>
    <row r="4878" spans="1:2" x14ac:dyDescent="0.2">
      <c r="A4878" s="19"/>
      <c r="B4878" s="19"/>
    </row>
    <row r="4879" spans="1:2" x14ac:dyDescent="0.2">
      <c r="A4879" s="19"/>
      <c r="B4879" s="19"/>
    </row>
    <row r="4880" spans="1:2" x14ac:dyDescent="0.2">
      <c r="A4880" s="19"/>
      <c r="B4880" s="19"/>
    </row>
    <row r="4881" spans="1:2" x14ac:dyDescent="0.2">
      <c r="A4881" s="19"/>
      <c r="B4881" s="19"/>
    </row>
    <row r="4882" spans="1:2" x14ac:dyDescent="0.2">
      <c r="A4882" s="19"/>
      <c r="B4882" s="19"/>
    </row>
    <row r="4883" spans="1:2" x14ac:dyDescent="0.2">
      <c r="A4883" s="19"/>
      <c r="B4883" s="19"/>
    </row>
    <row r="4884" spans="1:2" x14ac:dyDescent="0.2">
      <c r="A4884" s="19"/>
      <c r="B4884" s="19"/>
    </row>
    <row r="4885" spans="1:2" x14ac:dyDescent="0.2">
      <c r="A4885" s="19"/>
      <c r="B4885" s="19"/>
    </row>
    <row r="4886" spans="1:2" x14ac:dyDescent="0.2">
      <c r="A4886" s="19"/>
      <c r="B4886" s="19"/>
    </row>
    <row r="4887" spans="1:2" x14ac:dyDescent="0.2">
      <c r="A4887" s="19"/>
      <c r="B4887" s="19"/>
    </row>
    <row r="4888" spans="1:2" x14ac:dyDescent="0.2">
      <c r="A4888" s="19"/>
      <c r="B4888" s="19"/>
    </row>
    <row r="4889" spans="1:2" x14ac:dyDescent="0.2">
      <c r="A4889" s="19"/>
      <c r="B4889" s="19"/>
    </row>
    <row r="4890" spans="1:2" x14ac:dyDescent="0.2">
      <c r="A4890" s="19"/>
      <c r="B4890" s="19"/>
    </row>
    <row r="4891" spans="1:2" x14ac:dyDescent="0.2">
      <c r="A4891" s="19"/>
      <c r="B4891" s="19"/>
    </row>
    <row r="4892" spans="1:2" x14ac:dyDescent="0.2">
      <c r="A4892" s="19"/>
      <c r="B4892" s="19"/>
    </row>
    <row r="4893" spans="1:2" x14ac:dyDescent="0.2">
      <c r="A4893" s="19"/>
      <c r="B4893" s="19"/>
    </row>
    <row r="4894" spans="1:2" x14ac:dyDescent="0.2">
      <c r="A4894" s="19"/>
      <c r="B4894" s="19"/>
    </row>
    <row r="4895" spans="1:2" x14ac:dyDescent="0.2">
      <c r="A4895" s="19"/>
      <c r="B4895" s="19"/>
    </row>
    <row r="4896" spans="1:2" x14ac:dyDescent="0.2">
      <c r="A4896" s="19"/>
      <c r="B4896" s="19"/>
    </row>
    <row r="4897" spans="1:2" x14ac:dyDescent="0.2">
      <c r="A4897" s="19"/>
      <c r="B4897" s="19"/>
    </row>
    <row r="4898" spans="1:2" x14ac:dyDescent="0.2">
      <c r="A4898" s="19"/>
      <c r="B4898" s="19"/>
    </row>
    <row r="4899" spans="1:2" x14ac:dyDescent="0.2">
      <c r="A4899" s="19"/>
      <c r="B4899" s="19"/>
    </row>
    <row r="4900" spans="1:2" x14ac:dyDescent="0.2">
      <c r="A4900" s="19"/>
      <c r="B4900" s="19"/>
    </row>
    <row r="4901" spans="1:2" x14ac:dyDescent="0.2">
      <c r="A4901" s="19"/>
      <c r="B4901" s="19"/>
    </row>
    <row r="4902" spans="1:2" x14ac:dyDescent="0.2">
      <c r="A4902" s="19"/>
      <c r="B4902" s="19"/>
    </row>
    <row r="4903" spans="1:2" x14ac:dyDescent="0.2">
      <c r="A4903" s="19"/>
      <c r="B4903" s="19"/>
    </row>
    <row r="4904" spans="1:2" x14ac:dyDescent="0.2">
      <c r="A4904" s="19"/>
      <c r="B4904" s="19"/>
    </row>
    <row r="4905" spans="1:2" x14ac:dyDescent="0.2">
      <c r="A4905" s="19"/>
      <c r="B4905" s="19"/>
    </row>
    <row r="4906" spans="1:2" x14ac:dyDescent="0.2">
      <c r="A4906" s="19"/>
      <c r="B4906" s="19"/>
    </row>
    <row r="4907" spans="1:2" x14ac:dyDescent="0.2">
      <c r="A4907" s="19"/>
      <c r="B4907" s="19"/>
    </row>
    <row r="4908" spans="1:2" x14ac:dyDescent="0.2">
      <c r="A4908" s="19"/>
      <c r="B4908" s="19"/>
    </row>
    <row r="4909" spans="1:2" x14ac:dyDescent="0.2">
      <c r="A4909" s="19"/>
      <c r="B4909" s="19"/>
    </row>
    <row r="4910" spans="1:2" x14ac:dyDescent="0.2">
      <c r="A4910" s="19"/>
      <c r="B4910" s="19"/>
    </row>
    <row r="4911" spans="1:2" x14ac:dyDescent="0.2">
      <c r="A4911" s="19"/>
      <c r="B4911" s="19"/>
    </row>
    <row r="4912" spans="1:2" x14ac:dyDescent="0.2">
      <c r="A4912" s="19"/>
      <c r="B4912" s="19"/>
    </row>
    <row r="4913" spans="1:2" x14ac:dyDescent="0.2">
      <c r="A4913" s="19"/>
      <c r="B4913" s="19"/>
    </row>
    <row r="4914" spans="1:2" x14ac:dyDescent="0.2">
      <c r="A4914" s="19"/>
      <c r="B4914" s="19"/>
    </row>
    <row r="4915" spans="1:2" x14ac:dyDescent="0.2">
      <c r="A4915" s="19"/>
      <c r="B4915" s="19"/>
    </row>
    <row r="4916" spans="1:2" x14ac:dyDescent="0.2">
      <c r="A4916" s="19"/>
      <c r="B4916" s="19"/>
    </row>
    <row r="4917" spans="1:2" x14ac:dyDescent="0.2">
      <c r="A4917" s="19"/>
      <c r="B4917" s="19"/>
    </row>
    <row r="4918" spans="1:2" x14ac:dyDescent="0.2">
      <c r="A4918" s="19"/>
      <c r="B4918" s="19"/>
    </row>
    <row r="4919" spans="1:2" x14ac:dyDescent="0.2">
      <c r="A4919" s="19"/>
      <c r="B4919" s="19"/>
    </row>
    <row r="4920" spans="1:2" x14ac:dyDescent="0.2">
      <c r="A4920" s="19"/>
      <c r="B4920" s="19"/>
    </row>
    <row r="4921" spans="1:2" x14ac:dyDescent="0.2">
      <c r="A4921" s="19"/>
      <c r="B4921" s="19"/>
    </row>
    <row r="4922" spans="1:2" x14ac:dyDescent="0.2">
      <c r="A4922" s="19"/>
      <c r="B4922" s="19"/>
    </row>
    <row r="4923" spans="1:2" x14ac:dyDescent="0.2">
      <c r="A4923" s="19"/>
      <c r="B4923" s="19"/>
    </row>
    <row r="4924" spans="1:2" x14ac:dyDescent="0.2">
      <c r="A4924" s="19"/>
      <c r="B4924" s="19"/>
    </row>
    <row r="4925" spans="1:2" x14ac:dyDescent="0.2">
      <c r="A4925" s="19"/>
      <c r="B4925" s="19"/>
    </row>
    <row r="4926" spans="1:2" x14ac:dyDescent="0.2">
      <c r="A4926" s="19"/>
      <c r="B4926" s="19"/>
    </row>
    <row r="4927" spans="1:2" x14ac:dyDescent="0.2">
      <c r="A4927" s="19"/>
      <c r="B4927" s="19"/>
    </row>
    <row r="4928" spans="1:2" x14ac:dyDescent="0.2">
      <c r="A4928" s="19"/>
      <c r="B4928" s="19"/>
    </row>
    <row r="4929" spans="1:2" x14ac:dyDescent="0.2">
      <c r="A4929" s="19"/>
      <c r="B4929" s="19"/>
    </row>
    <row r="4930" spans="1:2" x14ac:dyDescent="0.2">
      <c r="A4930" s="19"/>
      <c r="B4930" s="19"/>
    </row>
    <row r="4931" spans="1:2" x14ac:dyDescent="0.2">
      <c r="A4931" s="19"/>
      <c r="B4931" s="19"/>
    </row>
    <row r="4932" spans="1:2" x14ac:dyDescent="0.2">
      <c r="A4932" s="19"/>
      <c r="B4932" s="19"/>
    </row>
    <row r="4933" spans="1:2" x14ac:dyDescent="0.2">
      <c r="A4933" s="19"/>
      <c r="B4933" s="19"/>
    </row>
    <row r="4934" spans="1:2" x14ac:dyDescent="0.2">
      <c r="A4934" s="19"/>
      <c r="B4934" s="19"/>
    </row>
    <row r="4935" spans="1:2" x14ac:dyDescent="0.2">
      <c r="A4935" s="19"/>
      <c r="B4935" s="19"/>
    </row>
    <row r="4936" spans="1:2" x14ac:dyDescent="0.2">
      <c r="A4936" s="19"/>
      <c r="B4936" s="19"/>
    </row>
    <row r="4937" spans="1:2" x14ac:dyDescent="0.2">
      <c r="A4937" s="19"/>
      <c r="B4937" s="19"/>
    </row>
    <row r="4938" spans="1:2" x14ac:dyDescent="0.2">
      <c r="A4938" s="19"/>
      <c r="B4938" s="19"/>
    </row>
    <row r="4939" spans="1:2" x14ac:dyDescent="0.2">
      <c r="A4939" s="19"/>
      <c r="B4939" s="19"/>
    </row>
    <row r="4940" spans="1:2" x14ac:dyDescent="0.2">
      <c r="A4940" s="19"/>
      <c r="B4940" s="19"/>
    </row>
    <row r="4941" spans="1:2" x14ac:dyDescent="0.2">
      <c r="A4941" s="19"/>
      <c r="B4941" s="19"/>
    </row>
    <row r="4942" spans="1:2" x14ac:dyDescent="0.2">
      <c r="A4942" s="19"/>
      <c r="B4942" s="19"/>
    </row>
    <row r="4943" spans="1:2" x14ac:dyDescent="0.2">
      <c r="A4943" s="19"/>
      <c r="B4943" s="19"/>
    </row>
    <row r="4944" spans="1:2" x14ac:dyDescent="0.2">
      <c r="A4944" s="19"/>
      <c r="B4944" s="19"/>
    </row>
    <row r="4945" spans="1:2" x14ac:dyDescent="0.2">
      <c r="A4945" s="19"/>
      <c r="B4945" s="19"/>
    </row>
    <row r="4946" spans="1:2" x14ac:dyDescent="0.2">
      <c r="A4946" s="19"/>
      <c r="B4946" s="19"/>
    </row>
    <row r="4947" spans="1:2" x14ac:dyDescent="0.2">
      <c r="A4947" s="19"/>
      <c r="B4947" s="19"/>
    </row>
    <row r="4948" spans="1:2" x14ac:dyDescent="0.2">
      <c r="A4948" s="19"/>
      <c r="B4948" s="19"/>
    </row>
    <row r="4949" spans="1:2" x14ac:dyDescent="0.2">
      <c r="A4949" s="19"/>
      <c r="B4949" s="19"/>
    </row>
    <row r="4950" spans="1:2" x14ac:dyDescent="0.2">
      <c r="A4950" s="19"/>
      <c r="B4950" s="19"/>
    </row>
    <row r="4951" spans="1:2" x14ac:dyDescent="0.2">
      <c r="A4951" s="19"/>
      <c r="B4951" s="19"/>
    </row>
    <row r="4952" spans="1:2" x14ac:dyDescent="0.2">
      <c r="A4952" s="19"/>
      <c r="B4952" s="19"/>
    </row>
    <row r="4953" spans="1:2" x14ac:dyDescent="0.2">
      <c r="A4953" s="19"/>
      <c r="B4953" s="19"/>
    </row>
    <row r="4954" spans="1:2" x14ac:dyDescent="0.2">
      <c r="A4954" s="19"/>
      <c r="B4954" s="19"/>
    </row>
    <row r="4955" spans="1:2" x14ac:dyDescent="0.2">
      <c r="A4955" s="19"/>
      <c r="B4955" s="19"/>
    </row>
    <row r="4956" spans="1:2" x14ac:dyDescent="0.2">
      <c r="A4956" s="19"/>
      <c r="B4956" s="19"/>
    </row>
    <row r="4957" spans="1:2" x14ac:dyDescent="0.2">
      <c r="A4957" s="19"/>
      <c r="B4957" s="19"/>
    </row>
    <row r="4958" spans="1:2" x14ac:dyDescent="0.2">
      <c r="A4958" s="19"/>
      <c r="B4958" s="19"/>
    </row>
    <row r="4959" spans="1:2" x14ac:dyDescent="0.2">
      <c r="A4959" s="19"/>
      <c r="B4959" s="19"/>
    </row>
    <row r="4960" spans="1:2" x14ac:dyDescent="0.2">
      <c r="A4960" s="19"/>
      <c r="B4960" s="19"/>
    </row>
    <row r="4961" spans="1:2" x14ac:dyDescent="0.2">
      <c r="A4961" s="19"/>
      <c r="B4961" s="19"/>
    </row>
    <row r="4962" spans="1:2" x14ac:dyDescent="0.2">
      <c r="A4962" s="19"/>
      <c r="B4962" s="19"/>
    </row>
    <row r="4963" spans="1:2" x14ac:dyDescent="0.2">
      <c r="A4963" s="19"/>
      <c r="B4963" s="19"/>
    </row>
    <row r="4964" spans="1:2" x14ac:dyDescent="0.2">
      <c r="A4964" s="19"/>
      <c r="B4964" s="19"/>
    </row>
    <row r="4965" spans="1:2" x14ac:dyDescent="0.2">
      <c r="A4965" s="19"/>
      <c r="B4965" s="19"/>
    </row>
    <row r="4966" spans="1:2" x14ac:dyDescent="0.2">
      <c r="A4966" s="19"/>
      <c r="B4966" s="19"/>
    </row>
    <row r="4967" spans="1:2" x14ac:dyDescent="0.2">
      <c r="A4967" s="19"/>
      <c r="B4967" s="19"/>
    </row>
    <row r="4968" spans="1:2" x14ac:dyDescent="0.2">
      <c r="A4968" s="19"/>
      <c r="B4968" s="19"/>
    </row>
    <row r="4969" spans="1:2" x14ac:dyDescent="0.2">
      <c r="A4969" s="19"/>
      <c r="B4969" s="19"/>
    </row>
    <row r="4970" spans="1:2" x14ac:dyDescent="0.2">
      <c r="A4970" s="19"/>
      <c r="B4970" s="19"/>
    </row>
    <row r="4971" spans="1:2" x14ac:dyDescent="0.2">
      <c r="A4971" s="19"/>
      <c r="B4971" s="19"/>
    </row>
    <row r="4972" spans="1:2" x14ac:dyDescent="0.2">
      <c r="A4972" s="19"/>
      <c r="B4972" s="19"/>
    </row>
    <row r="4973" spans="1:2" x14ac:dyDescent="0.2">
      <c r="A4973" s="19"/>
      <c r="B4973" s="19"/>
    </row>
    <row r="4974" spans="1:2" x14ac:dyDescent="0.2">
      <c r="A4974" s="19"/>
      <c r="B4974" s="19"/>
    </row>
    <row r="4975" spans="1:2" x14ac:dyDescent="0.2">
      <c r="A4975" s="19"/>
      <c r="B4975" s="19"/>
    </row>
    <row r="4976" spans="1:2" x14ac:dyDescent="0.2">
      <c r="A4976" s="19"/>
      <c r="B4976" s="19"/>
    </row>
    <row r="4977" spans="1:2" x14ac:dyDescent="0.2">
      <c r="A4977" s="19"/>
      <c r="B4977" s="19"/>
    </row>
    <row r="4978" spans="1:2" x14ac:dyDescent="0.2">
      <c r="A4978" s="19"/>
      <c r="B4978" s="19"/>
    </row>
    <row r="4979" spans="1:2" x14ac:dyDescent="0.2">
      <c r="A4979" s="19"/>
      <c r="B4979" s="19"/>
    </row>
    <row r="4980" spans="1:2" x14ac:dyDescent="0.2">
      <c r="A4980" s="19"/>
      <c r="B4980" s="19"/>
    </row>
    <row r="4981" spans="1:2" x14ac:dyDescent="0.2">
      <c r="A4981" s="19"/>
      <c r="B4981" s="19"/>
    </row>
    <row r="4982" spans="1:2" x14ac:dyDescent="0.2">
      <c r="A4982" s="19"/>
      <c r="B4982" s="19"/>
    </row>
    <row r="4983" spans="1:2" x14ac:dyDescent="0.2">
      <c r="A4983" s="19"/>
      <c r="B4983" s="19"/>
    </row>
    <row r="4984" spans="1:2" x14ac:dyDescent="0.2">
      <c r="A4984" s="19"/>
      <c r="B4984" s="19"/>
    </row>
    <row r="4985" spans="1:2" x14ac:dyDescent="0.2">
      <c r="A4985" s="19"/>
      <c r="B4985" s="19"/>
    </row>
    <row r="4986" spans="1:2" x14ac:dyDescent="0.2">
      <c r="A4986" s="19"/>
      <c r="B4986" s="19"/>
    </row>
    <row r="4987" spans="1:2" x14ac:dyDescent="0.2">
      <c r="A4987" s="19"/>
      <c r="B4987" s="19"/>
    </row>
    <row r="4988" spans="1:2" x14ac:dyDescent="0.2">
      <c r="A4988" s="19"/>
      <c r="B4988" s="19"/>
    </row>
    <row r="4989" spans="1:2" x14ac:dyDescent="0.2">
      <c r="A4989" s="19"/>
      <c r="B4989" s="19"/>
    </row>
    <row r="4990" spans="1:2" x14ac:dyDescent="0.2">
      <c r="A4990" s="19"/>
      <c r="B4990" s="19"/>
    </row>
    <row r="4991" spans="1:2" x14ac:dyDescent="0.2">
      <c r="A4991" s="19"/>
      <c r="B4991" s="19"/>
    </row>
    <row r="4992" spans="1:2" x14ac:dyDescent="0.2">
      <c r="A4992" s="19"/>
      <c r="B4992" s="19"/>
    </row>
    <row r="4993" spans="1:2" x14ac:dyDescent="0.2">
      <c r="A4993" s="19"/>
      <c r="B4993" s="19"/>
    </row>
    <row r="4994" spans="1:2" x14ac:dyDescent="0.2">
      <c r="A4994" s="19"/>
      <c r="B4994" s="19"/>
    </row>
    <row r="4995" spans="1:2" x14ac:dyDescent="0.2">
      <c r="A4995" s="19"/>
      <c r="B4995" s="19"/>
    </row>
    <row r="4996" spans="1:2" x14ac:dyDescent="0.2">
      <c r="A4996" s="19"/>
      <c r="B4996" s="19"/>
    </row>
    <row r="4997" spans="1:2" x14ac:dyDescent="0.2">
      <c r="A4997" s="19"/>
      <c r="B4997" s="19"/>
    </row>
    <row r="4998" spans="1:2" x14ac:dyDescent="0.2">
      <c r="A4998" s="19"/>
      <c r="B4998" s="19"/>
    </row>
    <row r="4999" spans="1:2" x14ac:dyDescent="0.2">
      <c r="A4999" s="19"/>
      <c r="B4999" s="19"/>
    </row>
    <row r="5000" spans="1:2" x14ac:dyDescent="0.2">
      <c r="A5000" s="19"/>
      <c r="B5000" s="19"/>
    </row>
    <row r="5001" spans="1:2" x14ac:dyDescent="0.2">
      <c r="A5001" s="19"/>
      <c r="B5001" s="19"/>
    </row>
    <row r="5002" spans="1:2" x14ac:dyDescent="0.2">
      <c r="A5002" s="19"/>
      <c r="B5002" s="19"/>
    </row>
    <row r="5003" spans="1:2" x14ac:dyDescent="0.2">
      <c r="A5003" s="19"/>
      <c r="B5003" s="19"/>
    </row>
    <row r="5004" spans="1:2" x14ac:dyDescent="0.2">
      <c r="A5004" s="19"/>
      <c r="B5004" s="19"/>
    </row>
    <row r="5005" spans="1:2" x14ac:dyDescent="0.2">
      <c r="A5005" s="19"/>
      <c r="B5005" s="19"/>
    </row>
    <row r="5006" spans="1:2" x14ac:dyDescent="0.2">
      <c r="A5006" s="19"/>
      <c r="B5006" s="19"/>
    </row>
    <row r="5007" spans="1:2" x14ac:dyDescent="0.2">
      <c r="A5007" s="19"/>
      <c r="B5007" s="19"/>
    </row>
    <row r="5008" spans="1:2" x14ac:dyDescent="0.2">
      <c r="A5008" s="19"/>
      <c r="B5008" s="19"/>
    </row>
    <row r="5009" spans="1:2" x14ac:dyDescent="0.2">
      <c r="A5009" s="19"/>
      <c r="B5009" s="19"/>
    </row>
    <row r="5010" spans="1:2" x14ac:dyDescent="0.2">
      <c r="A5010" s="19"/>
      <c r="B5010" s="19"/>
    </row>
    <row r="5011" spans="1:2" x14ac:dyDescent="0.2">
      <c r="A5011" s="19"/>
      <c r="B5011" s="19"/>
    </row>
    <row r="5012" spans="1:2" x14ac:dyDescent="0.2">
      <c r="A5012" s="19"/>
      <c r="B5012" s="19"/>
    </row>
    <row r="5013" spans="1:2" x14ac:dyDescent="0.2">
      <c r="A5013" s="19"/>
      <c r="B5013" s="19"/>
    </row>
    <row r="5014" spans="1:2" x14ac:dyDescent="0.2">
      <c r="A5014" s="19"/>
      <c r="B5014" s="19"/>
    </row>
    <row r="5015" spans="1:2" x14ac:dyDescent="0.2">
      <c r="A5015" s="19"/>
      <c r="B5015" s="19"/>
    </row>
    <row r="5016" spans="1:2" x14ac:dyDescent="0.2">
      <c r="A5016" s="19"/>
      <c r="B5016" s="19"/>
    </row>
    <row r="5017" spans="1:2" x14ac:dyDescent="0.2">
      <c r="A5017" s="19"/>
      <c r="B5017" s="19"/>
    </row>
    <row r="5018" spans="1:2" x14ac:dyDescent="0.2">
      <c r="A5018" s="19"/>
      <c r="B5018" s="19"/>
    </row>
    <row r="5019" spans="1:2" x14ac:dyDescent="0.2">
      <c r="A5019" s="19"/>
      <c r="B5019" s="19"/>
    </row>
    <row r="5020" spans="1:2" x14ac:dyDescent="0.2">
      <c r="A5020" s="19"/>
      <c r="B5020" s="19"/>
    </row>
    <row r="5021" spans="1:2" x14ac:dyDescent="0.2">
      <c r="A5021" s="19"/>
      <c r="B5021" s="19"/>
    </row>
    <row r="5022" spans="1:2" x14ac:dyDescent="0.2">
      <c r="A5022" s="19"/>
      <c r="B5022" s="19"/>
    </row>
    <row r="5023" spans="1:2" x14ac:dyDescent="0.2">
      <c r="A5023" s="19"/>
      <c r="B5023" s="19"/>
    </row>
    <row r="5024" spans="1:2" x14ac:dyDescent="0.2">
      <c r="A5024" s="19"/>
      <c r="B5024" s="19"/>
    </row>
    <row r="5025" spans="1:2" x14ac:dyDescent="0.2">
      <c r="A5025" s="19"/>
      <c r="B5025" s="19"/>
    </row>
    <row r="5026" spans="1:2" x14ac:dyDescent="0.2">
      <c r="A5026" s="19"/>
      <c r="B5026" s="19"/>
    </row>
    <row r="5027" spans="1:2" x14ac:dyDescent="0.2">
      <c r="A5027" s="19"/>
      <c r="B5027" s="19"/>
    </row>
    <row r="5028" spans="1:2" x14ac:dyDescent="0.2">
      <c r="A5028" s="19"/>
      <c r="B5028" s="19"/>
    </row>
    <row r="5029" spans="1:2" x14ac:dyDescent="0.2">
      <c r="A5029" s="19"/>
      <c r="B5029" s="19"/>
    </row>
    <row r="5030" spans="1:2" x14ac:dyDescent="0.2">
      <c r="A5030" s="19"/>
      <c r="B5030" s="19"/>
    </row>
    <row r="5031" spans="1:2" x14ac:dyDescent="0.2">
      <c r="A5031" s="19"/>
      <c r="B5031" s="19"/>
    </row>
    <row r="5032" spans="1:2" x14ac:dyDescent="0.2">
      <c r="A5032" s="19"/>
      <c r="B5032" s="19"/>
    </row>
    <row r="5033" spans="1:2" x14ac:dyDescent="0.2">
      <c r="A5033" s="19"/>
      <c r="B5033" s="19"/>
    </row>
    <row r="5034" spans="1:2" x14ac:dyDescent="0.2">
      <c r="A5034" s="19"/>
      <c r="B5034" s="19"/>
    </row>
    <row r="5035" spans="1:2" x14ac:dyDescent="0.2">
      <c r="A5035" s="19"/>
      <c r="B5035" s="19"/>
    </row>
    <row r="5036" spans="1:2" x14ac:dyDescent="0.2">
      <c r="A5036" s="19"/>
      <c r="B5036" s="19"/>
    </row>
    <row r="5037" spans="1:2" x14ac:dyDescent="0.2">
      <c r="A5037" s="19"/>
      <c r="B5037" s="19"/>
    </row>
    <row r="5038" spans="1:2" x14ac:dyDescent="0.2">
      <c r="A5038" s="19"/>
      <c r="B5038" s="19"/>
    </row>
    <row r="5039" spans="1:2" x14ac:dyDescent="0.2">
      <c r="A5039" s="19"/>
      <c r="B5039" s="19"/>
    </row>
    <row r="5040" spans="1:2" x14ac:dyDescent="0.2">
      <c r="A5040" s="19"/>
      <c r="B5040" s="19"/>
    </row>
    <row r="5041" spans="1:2" x14ac:dyDescent="0.2">
      <c r="A5041" s="19"/>
      <c r="B5041" s="19"/>
    </row>
    <row r="5042" spans="1:2" x14ac:dyDescent="0.2">
      <c r="A5042" s="19"/>
      <c r="B5042" s="19"/>
    </row>
    <row r="5043" spans="1:2" x14ac:dyDescent="0.2">
      <c r="A5043" s="19"/>
      <c r="B5043" s="19"/>
    </row>
    <row r="5044" spans="1:2" x14ac:dyDescent="0.2">
      <c r="A5044" s="19"/>
      <c r="B5044" s="19"/>
    </row>
    <row r="5045" spans="1:2" x14ac:dyDescent="0.2">
      <c r="A5045" s="19"/>
      <c r="B5045" s="19"/>
    </row>
    <row r="5046" spans="1:2" x14ac:dyDescent="0.2">
      <c r="A5046" s="19"/>
      <c r="B5046" s="19"/>
    </row>
    <row r="5047" spans="1:2" x14ac:dyDescent="0.2">
      <c r="A5047" s="19"/>
      <c r="B5047" s="19"/>
    </row>
    <row r="5048" spans="1:2" x14ac:dyDescent="0.2">
      <c r="A5048" s="19"/>
      <c r="B5048" s="19"/>
    </row>
    <row r="5049" spans="1:2" x14ac:dyDescent="0.2">
      <c r="A5049" s="19"/>
      <c r="B5049" s="19"/>
    </row>
    <row r="5050" spans="1:2" x14ac:dyDescent="0.2">
      <c r="A5050" s="19"/>
      <c r="B5050" s="19"/>
    </row>
    <row r="5051" spans="1:2" x14ac:dyDescent="0.2">
      <c r="A5051" s="19"/>
      <c r="B5051" s="19"/>
    </row>
    <row r="5052" spans="1:2" x14ac:dyDescent="0.2">
      <c r="A5052" s="19"/>
      <c r="B5052" s="19"/>
    </row>
    <row r="5053" spans="1:2" x14ac:dyDescent="0.2">
      <c r="A5053" s="19"/>
      <c r="B5053" s="19"/>
    </row>
    <row r="5054" spans="1:2" x14ac:dyDescent="0.2">
      <c r="A5054" s="19"/>
      <c r="B5054" s="19"/>
    </row>
    <row r="5055" spans="1:2" x14ac:dyDescent="0.2">
      <c r="A5055" s="19"/>
      <c r="B5055" s="19"/>
    </row>
    <row r="5056" spans="1:2" x14ac:dyDescent="0.2">
      <c r="A5056" s="19"/>
      <c r="B5056" s="19"/>
    </row>
    <row r="5057" spans="1:2" x14ac:dyDescent="0.2">
      <c r="A5057" s="19"/>
      <c r="B5057" s="19"/>
    </row>
    <row r="5058" spans="1:2" x14ac:dyDescent="0.2">
      <c r="A5058" s="19"/>
      <c r="B5058" s="19"/>
    </row>
    <row r="5059" spans="1:2" x14ac:dyDescent="0.2">
      <c r="A5059" s="19"/>
      <c r="B5059" s="19"/>
    </row>
    <row r="5060" spans="1:2" x14ac:dyDescent="0.2">
      <c r="A5060" s="19"/>
      <c r="B5060" s="19"/>
    </row>
    <row r="5061" spans="1:2" x14ac:dyDescent="0.2">
      <c r="A5061" s="19"/>
      <c r="B5061" s="19"/>
    </row>
    <row r="5062" spans="1:2" x14ac:dyDescent="0.2">
      <c r="A5062" s="19"/>
      <c r="B5062" s="19"/>
    </row>
    <row r="5063" spans="1:2" x14ac:dyDescent="0.2">
      <c r="A5063" s="19"/>
      <c r="B5063" s="19"/>
    </row>
    <row r="5064" spans="1:2" x14ac:dyDescent="0.2">
      <c r="A5064" s="19"/>
      <c r="B5064" s="19"/>
    </row>
    <row r="5065" spans="1:2" x14ac:dyDescent="0.2">
      <c r="A5065" s="19"/>
      <c r="B5065" s="19"/>
    </row>
    <row r="5066" spans="1:2" x14ac:dyDescent="0.2">
      <c r="A5066" s="19"/>
      <c r="B5066" s="19"/>
    </row>
    <row r="5067" spans="1:2" x14ac:dyDescent="0.2">
      <c r="A5067" s="19"/>
      <c r="B5067" s="19"/>
    </row>
    <row r="5068" spans="1:2" x14ac:dyDescent="0.2">
      <c r="A5068" s="19"/>
      <c r="B5068" s="19"/>
    </row>
    <row r="5069" spans="1:2" x14ac:dyDescent="0.2">
      <c r="A5069" s="19"/>
      <c r="B5069" s="19"/>
    </row>
    <row r="5070" spans="1:2" x14ac:dyDescent="0.2">
      <c r="A5070" s="19"/>
      <c r="B5070" s="19"/>
    </row>
    <row r="5071" spans="1:2" x14ac:dyDescent="0.2">
      <c r="A5071" s="19"/>
      <c r="B5071" s="19"/>
    </row>
    <row r="5072" spans="1:2" x14ac:dyDescent="0.2">
      <c r="A5072" s="19"/>
      <c r="B5072" s="19"/>
    </row>
    <row r="5073" spans="1:2" x14ac:dyDescent="0.2">
      <c r="A5073" s="19"/>
      <c r="B5073" s="19"/>
    </row>
    <row r="5074" spans="1:2" x14ac:dyDescent="0.2">
      <c r="A5074" s="19"/>
      <c r="B5074" s="19"/>
    </row>
    <row r="5075" spans="1:2" x14ac:dyDescent="0.2">
      <c r="A5075" s="19"/>
      <c r="B5075" s="19"/>
    </row>
    <row r="5076" spans="1:2" x14ac:dyDescent="0.2">
      <c r="A5076" s="19"/>
      <c r="B5076" s="19"/>
    </row>
    <row r="5077" spans="1:2" x14ac:dyDescent="0.2">
      <c r="A5077" s="19"/>
      <c r="B5077" s="19"/>
    </row>
    <row r="5078" spans="1:2" x14ac:dyDescent="0.2">
      <c r="A5078" s="19"/>
      <c r="B5078" s="19"/>
    </row>
    <row r="5079" spans="1:2" x14ac:dyDescent="0.2">
      <c r="A5079" s="19"/>
      <c r="B5079" s="19"/>
    </row>
    <row r="5080" spans="1:2" x14ac:dyDescent="0.2">
      <c r="A5080" s="19"/>
      <c r="B5080" s="19"/>
    </row>
    <row r="5081" spans="1:2" x14ac:dyDescent="0.2">
      <c r="A5081" s="19"/>
      <c r="B5081" s="19"/>
    </row>
    <row r="5082" spans="1:2" x14ac:dyDescent="0.2">
      <c r="A5082" s="19"/>
      <c r="B5082" s="19"/>
    </row>
    <row r="5083" spans="1:2" x14ac:dyDescent="0.2">
      <c r="A5083" s="19"/>
      <c r="B5083" s="19"/>
    </row>
    <row r="5084" spans="1:2" x14ac:dyDescent="0.2">
      <c r="A5084" s="19"/>
      <c r="B5084" s="19"/>
    </row>
    <row r="5085" spans="1:2" x14ac:dyDescent="0.2">
      <c r="A5085" s="19"/>
      <c r="B5085" s="19"/>
    </row>
    <row r="5086" spans="1:2" x14ac:dyDescent="0.2">
      <c r="A5086" s="19"/>
      <c r="B5086" s="19"/>
    </row>
    <row r="5087" spans="1:2" x14ac:dyDescent="0.2">
      <c r="A5087" s="19"/>
      <c r="B5087" s="19"/>
    </row>
    <row r="5088" spans="1:2" x14ac:dyDescent="0.2">
      <c r="A5088" s="19"/>
      <c r="B5088" s="19"/>
    </row>
    <row r="5089" spans="1:2" x14ac:dyDescent="0.2">
      <c r="A5089" s="19"/>
      <c r="B5089" s="19"/>
    </row>
    <row r="5090" spans="1:2" x14ac:dyDescent="0.2">
      <c r="A5090" s="19"/>
      <c r="B5090" s="19"/>
    </row>
    <row r="5091" spans="1:2" x14ac:dyDescent="0.2">
      <c r="A5091" s="19"/>
      <c r="B5091" s="19"/>
    </row>
    <row r="5092" spans="1:2" x14ac:dyDescent="0.2">
      <c r="A5092" s="19"/>
      <c r="B5092" s="19"/>
    </row>
    <row r="5093" spans="1:2" x14ac:dyDescent="0.2">
      <c r="A5093" s="19"/>
      <c r="B5093" s="19"/>
    </row>
    <row r="5094" spans="1:2" x14ac:dyDescent="0.2">
      <c r="A5094" s="19"/>
      <c r="B5094" s="19"/>
    </row>
    <row r="5095" spans="1:2" x14ac:dyDescent="0.2">
      <c r="A5095" s="19"/>
      <c r="B5095" s="19"/>
    </row>
    <row r="5096" spans="1:2" x14ac:dyDescent="0.2">
      <c r="A5096" s="19"/>
      <c r="B5096" s="19"/>
    </row>
    <row r="5097" spans="1:2" x14ac:dyDescent="0.2">
      <c r="A5097" s="19"/>
      <c r="B5097" s="19"/>
    </row>
    <row r="5098" spans="1:2" x14ac:dyDescent="0.2">
      <c r="A5098" s="19"/>
      <c r="B5098" s="19"/>
    </row>
    <row r="5099" spans="1:2" x14ac:dyDescent="0.2">
      <c r="A5099" s="19"/>
      <c r="B5099" s="19"/>
    </row>
    <row r="5100" spans="1:2" x14ac:dyDescent="0.2">
      <c r="A5100" s="19"/>
      <c r="B5100" s="19"/>
    </row>
    <row r="5101" spans="1:2" x14ac:dyDescent="0.2">
      <c r="A5101" s="19"/>
      <c r="B5101" s="19"/>
    </row>
    <row r="5102" spans="1:2" x14ac:dyDescent="0.2">
      <c r="A5102" s="19"/>
      <c r="B5102" s="19"/>
    </row>
    <row r="5103" spans="1:2" x14ac:dyDescent="0.2">
      <c r="A5103" s="19"/>
      <c r="B5103" s="19"/>
    </row>
    <row r="5104" spans="1:2" x14ac:dyDescent="0.2">
      <c r="A5104" s="19"/>
      <c r="B5104" s="19"/>
    </row>
    <row r="5105" spans="1:2" x14ac:dyDescent="0.2">
      <c r="A5105" s="19"/>
      <c r="B5105" s="19"/>
    </row>
    <row r="5106" spans="1:2" x14ac:dyDescent="0.2">
      <c r="A5106" s="19"/>
      <c r="B5106" s="19"/>
    </row>
    <row r="5107" spans="1:2" x14ac:dyDescent="0.2">
      <c r="A5107" s="19"/>
      <c r="B5107" s="19"/>
    </row>
    <row r="5108" spans="1:2" x14ac:dyDescent="0.2">
      <c r="A5108" s="19"/>
      <c r="B5108" s="19"/>
    </row>
    <row r="5109" spans="1:2" x14ac:dyDescent="0.2">
      <c r="A5109" s="19"/>
      <c r="B5109" s="19"/>
    </row>
    <row r="5110" spans="1:2" x14ac:dyDescent="0.2">
      <c r="A5110" s="19"/>
      <c r="B5110" s="19"/>
    </row>
    <row r="5111" spans="1:2" x14ac:dyDescent="0.2">
      <c r="A5111" s="19"/>
      <c r="B5111" s="19"/>
    </row>
    <row r="5112" spans="1:2" x14ac:dyDescent="0.2">
      <c r="A5112" s="19"/>
      <c r="B5112" s="19"/>
    </row>
    <row r="5113" spans="1:2" x14ac:dyDescent="0.2">
      <c r="A5113" s="19"/>
      <c r="B5113" s="19"/>
    </row>
    <row r="5114" spans="1:2" x14ac:dyDescent="0.2">
      <c r="A5114" s="19"/>
      <c r="B5114" s="19"/>
    </row>
    <row r="5115" spans="1:2" x14ac:dyDescent="0.2">
      <c r="A5115" s="19"/>
      <c r="B5115" s="19"/>
    </row>
    <row r="5116" spans="1:2" x14ac:dyDescent="0.2">
      <c r="A5116" s="19"/>
      <c r="B5116" s="19"/>
    </row>
    <row r="5117" spans="1:2" x14ac:dyDescent="0.2">
      <c r="A5117" s="19"/>
      <c r="B5117" s="19"/>
    </row>
    <row r="5118" spans="1:2" x14ac:dyDescent="0.2">
      <c r="A5118" s="19"/>
      <c r="B5118" s="19"/>
    </row>
    <row r="5119" spans="1:2" x14ac:dyDescent="0.2">
      <c r="A5119" s="19"/>
      <c r="B5119" s="19"/>
    </row>
    <row r="5120" spans="1:2" x14ac:dyDescent="0.2">
      <c r="A5120" s="19"/>
      <c r="B5120" s="19"/>
    </row>
    <row r="5121" spans="1:2" x14ac:dyDescent="0.2">
      <c r="A5121" s="19"/>
      <c r="B5121" s="19"/>
    </row>
    <row r="5122" spans="1:2" x14ac:dyDescent="0.2">
      <c r="A5122" s="19"/>
      <c r="B5122" s="19"/>
    </row>
    <row r="5123" spans="1:2" x14ac:dyDescent="0.2">
      <c r="A5123" s="19"/>
      <c r="B5123" s="19"/>
    </row>
    <row r="5124" spans="1:2" x14ac:dyDescent="0.2">
      <c r="A5124" s="19"/>
      <c r="B5124" s="19"/>
    </row>
    <row r="5125" spans="1:2" x14ac:dyDescent="0.2">
      <c r="A5125" s="19"/>
      <c r="B5125" s="19"/>
    </row>
    <row r="5126" spans="1:2" x14ac:dyDescent="0.2">
      <c r="A5126" s="19"/>
      <c r="B5126" s="19"/>
    </row>
    <row r="5127" spans="1:2" x14ac:dyDescent="0.2">
      <c r="A5127" s="19"/>
      <c r="B5127" s="19"/>
    </row>
    <row r="5128" spans="1:2" x14ac:dyDescent="0.2">
      <c r="A5128" s="19"/>
      <c r="B5128" s="19"/>
    </row>
    <row r="5129" spans="1:2" x14ac:dyDescent="0.2">
      <c r="A5129" s="19"/>
      <c r="B5129" s="19"/>
    </row>
    <row r="5130" spans="1:2" x14ac:dyDescent="0.2">
      <c r="A5130" s="19"/>
      <c r="B5130" s="19"/>
    </row>
    <row r="5131" spans="1:2" x14ac:dyDescent="0.2">
      <c r="A5131" s="19"/>
      <c r="B5131" s="19"/>
    </row>
    <row r="5132" spans="1:2" x14ac:dyDescent="0.2">
      <c r="A5132" s="19"/>
      <c r="B5132" s="19"/>
    </row>
    <row r="5133" spans="1:2" x14ac:dyDescent="0.2">
      <c r="A5133" s="19"/>
      <c r="B5133" s="19"/>
    </row>
    <row r="5134" spans="1:2" x14ac:dyDescent="0.2">
      <c r="A5134" s="19"/>
      <c r="B5134" s="19"/>
    </row>
    <row r="5135" spans="1:2" x14ac:dyDescent="0.2">
      <c r="A5135" s="19"/>
      <c r="B5135" s="19"/>
    </row>
    <row r="5136" spans="1:2" x14ac:dyDescent="0.2">
      <c r="A5136" s="19"/>
      <c r="B5136" s="19"/>
    </row>
    <row r="5137" spans="1:2" x14ac:dyDescent="0.2">
      <c r="A5137" s="19"/>
      <c r="B5137" s="19"/>
    </row>
    <row r="5138" spans="1:2" x14ac:dyDescent="0.2">
      <c r="A5138" s="19"/>
      <c r="B5138" s="19"/>
    </row>
    <row r="5139" spans="1:2" x14ac:dyDescent="0.2">
      <c r="A5139" s="19"/>
      <c r="B5139" s="19"/>
    </row>
    <row r="5140" spans="1:2" x14ac:dyDescent="0.2">
      <c r="A5140" s="19"/>
      <c r="B5140" s="19"/>
    </row>
    <row r="5141" spans="1:2" x14ac:dyDescent="0.2">
      <c r="A5141" s="19"/>
      <c r="B5141" s="19"/>
    </row>
    <row r="5142" spans="1:2" x14ac:dyDescent="0.2">
      <c r="A5142" s="19"/>
      <c r="B5142" s="19"/>
    </row>
    <row r="5143" spans="1:2" x14ac:dyDescent="0.2">
      <c r="A5143" s="19"/>
      <c r="B5143" s="19"/>
    </row>
    <row r="5144" spans="1:2" x14ac:dyDescent="0.2">
      <c r="A5144" s="19"/>
      <c r="B5144" s="19"/>
    </row>
    <row r="5145" spans="1:2" x14ac:dyDescent="0.2">
      <c r="A5145" s="19"/>
      <c r="B5145" s="19"/>
    </row>
    <row r="5146" spans="1:2" x14ac:dyDescent="0.2">
      <c r="A5146" s="19"/>
      <c r="B5146" s="19"/>
    </row>
    <row r="5147" spans="1:2" x14ac:dyDescent="0.2">
      <c r="A5147" s="19"/>
      <c r="B5147" s="19"/>
    </row>
    <row r="5148" spans="1:2" x14ac:dyDescent="0.2">
      <c r="A5148" s="19"/>
      <c r="B5148" s="19"/>
    </row>
    <row r="5149" spans="1:2" x14ac:dyDescent="0.2">
      <c r="A5149" s="19"/>
      <c r="B5149" s="19"/>
    </row>
    <row r="5150" spans="1:2" x14ac:dyDescent="0.2">
      <c r="A5150" s="19"/>
      <c r="B5150" s="19"/>
    </row>
    <row r="5151" spans="1:2" x14ac:dyDescent="0.2">
      <c r="A5151" s="19"/>
      <c r="B5151" s="19"/>
    </row>
    <row r="5152" spans="1:2" x14ac:dyDescent="0.2">
      <c r="A5152" s="19"/>
      <c r="B5152" s="19"/>
    </row>
    <row r="5153" spans="1:2" x14ac:dyDescent="0.2">
      <c r="A5153" s="19"/>
      <c r="B5153" s="19"/>
    </row>
    <row r="5154" spans="1:2" x14ac:dyDescent="0.2">
      <c r="A5154" s="19"/>
      <c r="B5154" s="19"/>
    </row>
    <row r="5155" spans="1:2" x14ac:dyDescent="0.2">
      <c r="A5155" s="19"/>
      <c r="B5155" s="19"/>
    </row>
    <row r="5156" spans="1:2" x14ac:dyDescent="0.2">
      <c r="A5156" s="19"/>
      <c r="B5156" s="19"/>
    </row>
    <row r="5157" spans="1:2" x14ac:dyDescent="0.2">
      <c r="A5157" s="19"/>
      <c r="B5157" s="19"/>
    </row>
    <row r="5158" spans="1:2" x14ac:dyDescent="0.2">
      <c r="A5158" s="19"/>
      <c r="B5158" s="19"/>
    </row>
    <row r="5159" spans="1:2" x14ac:dyDescent="0.2">
      <c r="A5159" s="19"/>
      <c r="B5159" s="19"/>
    </row>
    <row r="5160" spans="1:2" x14ac:dyDescent="0.2">
      <c r="A5160" s="19"/>
      <c r="B5160" s="19"/>
    </row>
    <row r="5161" spans="1:2" x14ac:dyDescent="0.2">
      <c r="A5161" s="19"/>
      <c r="B5161" s="19"/>
    </row>
    <row r="5162" spans="1:2" x14ac:dyDescent="0.2">
      <c r="A5162" s="19"/>
      <c r="B5162" s="19"/>
    </row>
    <row r="5163" spans="1:2" x14ac:dyDescent="0.2">
      <c r="A5163" s="19"/>
      <c r="B5163" s="19"/>
    </row>
    <row r="5164" spans="1:2" x14ac:dyDescent="0.2">
      <c r="A5164" s="19"/>
      <c r="B5164" s="19"/>
    </row>
    <row r="5165" spans="1:2" x14ac:dyDescent="0.2">
      <c r="A5165" s="19"/>
      <c r="B5165" s="19"/>
    </row>
    <row r="5166" spans="1:2" x14ac:dyDescent="0.2">
      <c r="A5166" s="19"/>
      <c r="B5166" s="19"/>
    </row>
    <row r="5167" spans="1:2" x14ac:dyDescent="0.2">
      <c r="A5167" s="19"/>
      <c r="B5167" s="19"/>
    </row>
    <row r="5168" spans="1:2" x14ac:dyDescent="0.2">
      <c r="A5168" s="19"/>
      <c r="B5168" s="19"/>
    </row>
    <row r="5169" spans="1:2" x14ac:dyDescent="0.2">
      <c r="A5169" s="19"/>
      <c r="B5169" s="19"/>
    </row>
    <row r="5170" spans="1:2" x14ac:dyDescent="0.2">
      <c r="A5170" s="19"/>
      <c r="B5170" s="19"/>
    </row>
    <row r="5171" spans="1:2" x14ac:dyDescent="0.2">
      <c r="A5171" s="19"/>
      <c r="B5171" s="19"/>
    </row>
    <row r="5172" spans="1:2" x14ac:dyDescent="0.2">
      <c r="A5172" s="19"/>
      <c r="B5172" s="19"/>
    </row>
    <row r="5173" spans="1:2" x14ac:dyDescent="0.2">
      <c r="A5173" s="19"/>
      <c r="B5173" s="19"/>
    </row>
    <row r="5174" spans="1:2" x14ac:dyDescent="0.2">
      <c r="A5174" s="19"/>
      <c r="B5174" s="19"/>
    </row>
    <row r="5175" spans="1:2" x14ac:dyDescent="0.2">
      <c r="A5175" s="19"/>
      <c r="B5175" s="19"/>
    </row>
    <row r="5176" spans="1:2" x14ac:dyDescent="0.2">
      <c r="A5176" s="19"/>
      <c r="B5176" s="19"/>
    </row>
    <row r="5177" spans="1:2" x14ac:dyDescent="0.2">
      <c r="A5177" s="19"/>
      <c r="B5177" s="19"/>
    </row>
    <row r="5178" spans="1:2" x14ac:dyDescent="0.2">
      <c r="A5178" s="19"/>
      <c r="B5178" s="19"/>
    </row>
    <row r="5179" spans="1:2" x14ac:dyDescent="0.2">
      <c r="A5179" s="19"/>
      <c r="B5179" s="19"/>
    </row>
    <row r="5180" spans="1:2" x14ac:dyDescent="0.2">
      <c r="A5180" s="19"/>
      <c r="B5180" s="19"/>
    </row>
    <row r="5181" spans="1:2" x14ac:dyDescent="0.2">
      <c r="A5181" s="19"/>
      <c r="B5181" s="19"/>
    </row>
    <row r="5182" spans="1:2" x14ac:dyDescent="0.2">
      <c r="A5182" s="19"/>
      <c r="B5182" s="19"/>
    </row>
    <row r="5183" spans="1:2" x14ac:dyDescent="0.2">
      <c r="A5183" s="19"/>
      <c r="B5183" s="19"/>
    </row>
    <row r="5184" spans="1:2" x14ac:dyDescent="0.2">
      <c r="A5184" s="19"/>
      <c r="B5184" s="19"/>
    </row>
    <row r="5185" spans="1:2" x14ac:dyDescent="0.2">
      <c r="A5185" s="19"/>
      <c r="B5185" s="19"/>
    </row>
    <row r="5186" spans="1:2" x14ac:dyDescent="0.2">
      <c r="A5186" s="19"/>
      <c r="B5186" s="19"/>
    </row>
    <row r="5187" spans="1:2" x14ac:dyDescent="0.2">
      <c r="A5187" s="19"/>
      <c r="B5187" s="19"/>
    </row>
    <row r="5188" spans="1:2" x14ac:dyDescent="0.2">
      <c r="A5188" s="19"/>
      <c r="B5188" s="19"/>
    </row>
    <row r="5189" spans="1:2" x14ac:dyDescent="0.2">
      <c r="A5189" s="19"/>
      <c r="B5189" s="19"/>
    </row>
    <row r="5190" spans="1:2" x14ac:dyDescent="0.2">
      <c r="A5190" s="19"/>
      <c r="B5190" s="19"/>
    </row>
    <row r="5191" spans="1:2" x14ac:dyDescent="0.2">
      <c r="A5191" s="19"/>
      <c r="B5191" s="19"/>
    </row>
    <row r="5192" spans="1:2" x14ac:dyDescent="0.2">
      <c r="A5192" s="19"/>
      <c r="B5192" s="19"/>
    </row>
    <row r="5193" spans="1:2" x14ac:dyDescent="0.2">
      <c r="A5193" s="19"/>
      <c r="B5193" s="19"/>
    </row>
    <row r="5194" spans="1:2" x14ac:dyDescent="0.2">
      <c r="A5194" s="19"/>
      <c r="B5194" s="19"/>
    </row>
    <row r="5195" spans="1:2" x14ac:dyDescent="0.2">
      <c r="A5195" s="19"/>
      <c r="B5195" s="19"/>
    </row>
    <row r="5196" spans="1:2" x14ac:dyDescent="0.2">
      <c r="A5196" s="19"/>
      <c r="B5196" s="19"/>
    </row>
    <row r="5197" spans="1:2" x14ac:dyDescent="0.2">
      <c r="A5197" s="19"/>
      <c r="B5197" s="19"/>
    </row>
    <row r="5198" spans="1:2" x14ac:dyDescent="0.2">
      <c r="A5198" s="19"/>
      <c r="B5198" s="19"/>
    </row>
    <row r="5199" spans="1:2" x14ac:dyDescent="0.2">
      <c r="A5199" s="19"/>
      <c r="B5199" s="19"/>
    </row>
    <row r="5200" spans="1:2" x14ac:dyDescent="0.2">
      <c r="A5200" s="19"/>
      <c r="B5200" s="19"/>
    </row>
    <row r="5201" spans="1:2" x14ac:dyDescent="0.2">
      <c r="A5201" s="19"/>
      <c r="B5201" s="19"/>
    </row>
    <row r="5202" spans="1:2" x14ac:dyDescent="0.2">
      <c r="A5202" s="19"/>
      <c r="B5202" s="19"/>
    </row>
    <row r="5203" spans="1:2" x14ac:dyDescent="0.2">
      <c r="A5203" s="19"/>
      <c r="B5203" s="19"/>
    </row>
    <row r="5204" spans="1:2" x14ac:dyDescent="0.2">
      <c r="A5204" s="19"/>
      <c r="B5204" s="19"/>
    </row>
    <row r="5205" spans="1:2" x14ac:dyDescent="0.2">
      <c r="A5205" s="19"/>
      <c r="B5205" s="19"/>
    </row>
    <row r="5206" spans="1:2" x14ac:dyDescent="0.2">
      <c r="A5206" s="19"/>
      <c r="B5206" s="19"/>
    </row>
    <row r="5207" spans="1:2" x14ac:dyDescent="0.2">
      <c r="A5207" s="19"/>
      <c r="B5207" s="19"/>
    </row>
    <row r="5208" spans="1:2" x14ac:dyDescent="0.2">
      <c r="A5208" s="19"/>
      <c r="B5208" s="19"/>
    </row>
    <row r="5209" spans="1:2" x14ac:dyDescent="0.2">
      <c r="A5209" s="19"/>
      <c r="B5209" s="19"/>
    </row>
    <row r="5210" spans="1:2" x14ac:dyDescent="0.2">
      <c r="A5210" s="19"/>
      <c r="B5210" s="19"/>
    </row>
    <row r="5211" spans="1:2" x14ac:dyDescent="0.2">
      <c r="A5211" s="19"/>
      <c r="B5211" s="19"/>
    </row>
    <row r="5212" spans="1:2" x14ac:dyDescent="0.2">
      <c r="A5212" s="19"/>
      <c r="B5212" s="19"/>
    </row>
    <row r="5213" spans="1:2" x14ac:dyDescent="0.2">
      <c r="A5213" s="19"/>
      <c r="B5213" s="19"/>
    </row>
    <row r="5214" spans="1:2" x14ac:dyDescent="0.2">
      <c r="A5214" s="19"/>
      <c r="B5214" s="19"/>
    </row>
    <row r="5215" spans="1:2" x14ac:dyDescent="0.2">
      <c r="A5215" s="19"/>
      <c r="B5215" s="19"/>
    </row>
    <row r="5216" spans="1:2" x14ac:dyDescent="0.2">
      <c r="A5216" s="19"/>
      <c r="B5216" s="19"/>
    </row>
    <row r="5217" spans="1:2" x14ac:dyDescent="0.2">
      <c r="A5217" s="19"/>
      <c r="B5217" s="19"/>
    </row>
    <row r="5218" spans="1:2" x14ac:dyDescent="0.2">
      <c r="A5218" s="19"/>
      <c r="B5218" s="19"/>
    </row>
    <row r="5219" spans="1:2" x14ac:dyDescent="0.2">
      <c r="A5219" s="19"/>
      <c r="B5219" s="19"/>
    </row>
    <row r="5220" spans="1:2" x14ac:dyDescent="0.2">
      <c r="A5220" s="19"/>
      <c r="B5220" s="19"/>
    </row>
    <row r="5221" spans="1:2" x14ac:dyDescent="0.2">
      <c r="A5221" s="19"/>
      <c r="B5221" s="19"/>
    </row>
    <row r="5222" spans="1:2" x14ac:dyDescent="0.2">
      <c r="A5222" s="19"/>
      <c r="B5222" s="19"/>
    </row>
    <row r="5223" spans="1:2" x14ac:dyDescent="0.2">
      <c r="A5223" s="19"/>
      <c r="B5223" s="19"/>
    </row>
    <row r="5224" spans="1:2" x14ac:dyDescent="0.2">
      <c r="A5224" s="19"/>
      <c r="B5224" s="19"/>
    </row>
    <row r="5225" spans="1:2" x14ac:dyDescent="0.2">
      <c r="A5225" s="19"/>
      <c r="B5225" s="19"/>
    </row>
    <row r="5226" spans="1:2" x14ac:dyDescent="0.2">
      <c r="A5226" s="19"/>
      <c r="B5226" s="19"/>
    </row>
    <row r="5227" spans="1:2" x14ac:dyDescent="0.2">
      <c r="A5227" s="19"/>
      <c r="B5227" s="19"/>
    </row>
    <row r="5228" spans="1:2" x14ac:dyDescent="0.2">
      <c r="A5228" s="19"/>
      <c r="B5228" s="19"/>
    </row>
    <row r="5229" spans="1:2" x14ac:dyDescent="0.2">
      <c r="A5229" s="19"/>
      <c r="B5229" s="19"/>
    </row>
    <row r="5230" spans="1:2" x14ac:dyDescent="0.2">
      <c r="A5230" s="19"/>
      <c r="B5230" s="19"/>
    </row>
    <row r="5231" spans="1:2" x14ac:dyDescent="0.2">
      <c r="A5231" s="19"/>
      <c r="B5231" s="19"/>
    </row>
    <row r="5232" spans="1:2" x14ac:dyDescent="0.2">
      <c r="A5232" s="19"/>
      <c r="B5232" s="19"/>
    </row>
    <row r="5233" spans="1:2" x14ac:dyDescent="0.2">
      <c r="A5233" s="19"/>
      <c r="B5233" s="19"/>
    </row>
    <row r="5234" spans="1:2" x14ac:dyDescent="0.2">
      <c r="A5234" s="19"/>
      <c r="B5234" s="19"/>
    </row>
    <row r="5235" spans="1:2" x14ac:dyDescent="0.2">
      <c r="A5235" s="19"/>
      <c r="B5235" s="19"/>
    </row>
    <row r="5236" spans="1:2" x14ac:dyDescent="0.2">
      <c r="A5236" s="19"/>
      <c r="B5236" s="19"/>
    </row>
    <row r="5237" spans="1:2" x14ac:dyDescent="0.2">
      <c r="A5237" s="19"/>
      <c r="B5237" s="19"/>
    </row>
    <row r="5238" spans="1:2" x14ac:dyDescent="0.2">
      <c r="A5238" s="19"/>
      <c r="B5238" s="19"/>
    </row>
    <row r="5239" spans="1:2" x14ac:dyDescent="0.2">
      <c r="A5239" s="19"/>
      <c r="B5239" s="19"/>
    </row>
    <row r="5240" spans="1:2" x14ac:dyDescent="0.2">
      <c r="A5240" s="19"/>
      <c r="B5240" s="19"/>
    </row>
    <row r="5241" spans="1:2" x14ac:dyDescent="0.2">
      <c r="A5241" s="19"/>
      <c r="B5241" s="19"/>
    </row>
    <row r="5242" spans="1:2" x14ac:dyDescent="0.2">
      <c r="A5242" s="19"/>
      <c r="B5242" s="19"/>
    </row>
    <row r="5243" spans="1:2" x14ac:dyDescent="0.2">
      <c r="A5243" s="19"/>
      <c r="B5243" s="19"/>
    </row>
    <row r="5244" spans="1:2" x14ac:dyDescent="0.2">
      <c r="A5244" s="19"/>
      <c r="B5244" s="19"/>
    </row>
    <row r="5245" spans="1:2" x14ac:dyDescent="0.2">
      <c r="A5245" s="19"/>
      <c r="B5245" s="19"/>
    </row>
    <row r="5246" spans="1:2" x14ac:dyDescent="0.2">
      <c r="A5246" s="19"/>
      <c r="B5246" s="19"/>
    </row>
    <row r="5247" spans="1:2" x14ac:dyDescent="0.2">
      <c r="A5247" s="19"/>
      <c r="B5247" s="19"/>
    </row>
    <row r="5248" spans="1:2" x14ac:dyDescent="0.2">
      <c r="A5248" s="19"/>
      <c r="B5248" s="19"/>
    </row>
    <row r="5249" spans="1:2" x14ac:dyDescent="0.2">
      <c r="A5249" s="19"/>
      <c r="B5249" s="19"/>
    </row>
    <row r="5250" spans="1:2" x14ac:dyDescent="0.2">
      <c r="A5250" s="19"/>
      <c r="B5250" s="19"/>
    </row>
    <row r="5251" spans="1:2" x14ac:dyDescent="0.2">
      <c r="A5251" s="19"/>
      <c r="B5251" s="19"/>
    </row>
    <row r="5252" spans="1:2" x14ac:dyDescent="0.2">
      <c r="A5252" s="19"/>
      <c r="B5252" s="19"/>
    </row>
    <row r="5253" spans="1:2" x14ac:dyDescent="0.2">
      <c r="A5253" s="19"/>
      <c r="B5253" s="19"/>
    </row>
    <row r="5254" spans="1:2" x14ac:dyDescent="0.2">
      <c r="A5254" s="19"/>
      <c r="B5254" s="19"/>
    </row>
    <row r="5255" spans="1:2" x14ac:dyDescent="0.2">
      <c r="A5255" s="19"/>
      <c r="B5255" s="19"/>
    </row>
    <row r="5256" spans="1:2" x14ac:dyDescent="0.2">
      <c r="A5256" s="19"/>
      <c r="B5256" s="19"/>
    </row>
    <row r="5257" spans="1:2" x14ac:dyDescent="0.2">
      <c r="A5257" s="19"/>
      <c r="B5257" s="19"/>
    </row>
    <row r="5258" spans="1:2" x14ac:dyDescent="0.2">
      <c r="A5258" s="19"/>
      <c r="B5258" s="19"/>
    </row>
    <row r="5259" spans="1:2" x14ac:dyDescent="0.2">
      <c r="A5259" s="19"/>
      <c r="B5259" s="19"/>
    </row>
    <row r="5260" spans="1:2" x14ac:dyDescent="0.2">
      <c r="A5260" s="19"/>
      <c r="B5260" s="19"/>
    </row>
    <row r="5261" spans="1:2" x14ac:dyDescent="0.2">
      <c r="A5261" s="19"/>
      <c r="B5261" s="19"/>
    </row>
    <row r="5262" spans="1:2" x14ac:dyDescent="0.2">
      <c r="A5262" s="19"/>
      <c r="B5262" s="19"/>
    </row>
    <row r="5263" spans="1:2" x14ac:dyDescent="0.2">
      <c r="A5263" s="19"/>
      <c r="B5263" s="19"/>
    </row>
    <row r="5264" spans="1:2" x14ac:dyDescent="0.2">
      <c r="A5264" s="19"/>
      <c r="B5264" s="19"/>
    </row>
    <row r="5265" spans="1:2" x14ac:dyDescent="0.2">
      <c r="A5265" s="19"/>
      <c r="B5265" s="19"/>
    </row>
    <row r="5266" spans="1:2" x14ac:dyDescent="0.2">
      <c r="A5266" s="19"/>
      <c r="B5266" s="19"/>
    </row>
    <row r="5267" spans="1:2" x14ac:dyDescent="0.2">
      <c r="A5267" s="19"/>
      <c r="B5267" s="19"/>
    </row>
    <row r="5268" spans="1:2" x14ac:dyDescent="0.2">
      <c r="A5268" s="19"/>
      <c r="B5268" s="19"/>
    </row>
    <row r="5269" spans="1:2" x14ac:dyDescent="0.2">
      <c r="A5269" s="19"/>
      <c r="B5269" s="19"/>
    </row>
    <row r="5270" spans="1:2" x14ac:dyDescent="0.2">
      <c r="A5270" s="19"/>
      <c r="B5270" s="19"/>
    </row>
    <row r="5271" spans="1:2" x14ac:dyDescent="0.2">
      <c r="A5271" s="19"/>
      <c r="B5271" s="19"/>
    </row>
    <row r="5272" spans="1:2" x14ac:dyDescent="0.2">
      <c r="A5272" s="19"/>
      <c r="B5272" s="19"/>
    </row>
    <row r="5273" spans="1:2" x14ac:dyDescent="0.2">
      <c r="A5273" s="19"/>
      <c r="B5273" s="19"/>
    </row>
    <row r="5274" spans="1:2" x14ac:dyDescent="0.2">
      <c r="A5274" s="19"/>
      <c r="B5274" s="19"/>
    </row>
    <row r="5275" spans="1:2" x14ac:dyDescent="0.2">
      <c r="A5275" s="19"/>
      <c r="B5275" s="19"/>
    </row>
    <row r="5276" spans="1:2" x14ac:dyDescent="0.2">
      <c r="A5276" s="19"/>
      <c r="B5276" s="19"/>
    </row>
    <row r="5277" spans="1:2" x14ac:dyDescent="0.2">
      <c r="A5277" s="19"/>
      <c r="B5277" s="19"/>
    </row>
    <row r="5278" spans="1:2" x14ac:dyDescent="0.2">
      <c r="A5278" s="19"/>
      <c r="B5278" s="19"/>
    </row>
    <row r="5279" spans="1:2" x14ac:dyDescent="0.2">
      <c r="A5279" s="19"/>
      <c r="B5279" s="19"/>
    </row>
    <row r="5280" spans="1:2" x14ac:dyDescent="0.2">
      <c r="A5280" s="19"/>
      <c r="B5280" s="19"/>
    </row>
    <row r="5281" spans="1:2" x14ac:dyDescent="0.2">
      <c r="A5281" s="19"/>
      <c r="B5281" s="19"/>
    </row>
    <row r="5282" spans="1:2" x14ac:dyDescent="0.2">
      <c r="A5282" s="19"/>
      <c r="B5282" s="19"/>
    </row>
    <row r="5283" spans="1:2" x14ac:dyDescent="0.2">
      <c r="A5283" s="19"/>
      <c r="B5283" s="19"/>
    </row>
    <row r="5284" spans="1:2" x14ac:dyDescent="0.2">
      <c r="A5284" s="19"/>
      <c r="B5284" s="19"/>
    </row>
    <row r="5285" spans="1:2" x14ac:dyDescent="0.2">
      <c r="A5285" s="19"/>
      <c r="B5285" s="19"/>
    </row>
    <row r="5286" spans="1:2" x14ac:dyDescent="0.2">
      <c r="A5286" s="19"/>
      <c r="B5286" s="19"/>
    </row>
    <row r="5287" spans="1:2" x14ac:dyDescent="0.2">
      <c r="A5287" s="19"/>
      <c r="B5287" s="19"/>
    </row>
    <row r="5288" spans="1:2" x14ac:dyDescent="0.2">
      <c r="A5288" s="19"/>
      <c r="B5288" s="19"/>
    </row>
    <row r="5289" spans="1:2" x14ac:dyDescent="0.2">
      <c r="A5289" s="19"/>
      <c r="B5289" s="19"/>
    </row>
    <row r="5290" spans="1:2" x14ac:dyDescent="0.2">
      <c r="A5290" s="19"/>
      <c r="B5290" s="19"/>
    </row>
    <row r="5291" spans="1:2" x14ac:dyDescent="0.2">
      <c r="A5291" s="19"/>
      <c r="B5291" s="19"/>
    </row>
    <row r="5292" spans="1:2" x14ac:dyDescent="0.2">
      <c r="A5292" s="19"/>
      <c r="B5292" s="19"/>
    </row>
    <row r="5293" spans="1:2" x14ac:dyDescent="0.2">
      <c r="A5293" s="19"/>
      <c r="B5293" s="19"/>
    </row>
    <row r="5294" spans="1:2" x14ac:dyDescent="0.2">
      <c r="A5294" s="19"/>
      <c r="B5294" s="19"/>
    </row>
    <row r="5295" spans="1:2" x14ac:dyDescent="0.2">
      <c r="A5295" s="19"/>
      <c r="B5295" s="19"/>
    </row>
    <row r="5296" spans="1:2" x14ac:dyDescent="0.2">
      <c r="A5296" s="19"/>
      <c r="B5296" s="19"/>
    </row>
    <row r="5297" spans="1:2" x14ac:dyDescent="0.2">
      <c r="A5297" s="19"/>
      <c r="B5297" s="19"/>
    </row>
    <row r="5298" spans="1:2" x14ac:dyDescent="0.2">
      <c r="A5298" s="19"/>
      <c r="B5298" s="19"/>
    </row>
    <row r="5299" spans="1:2" x14ac:dyDescent="0.2">
      <c r="A5299" s="19"/>
      <c r="B5299" s="19"/>
    </row>
    <row r="5300" spans="1:2" x14ac:dyDescent="0.2">
      <c r="A5300" s="19"/>
      <c r="B5300" s="19"/>
    </row>
    <row r="5301" spans="1:2" x14ac:dyDescent="0.2">
      <c r="A5301" s="19"/>
      <c r="B5301" s="19"/>
    </row>
    <row r="5302" spans="1:2" x14ac:dyDescent="0.2">
      <c r="A5302" s="19"/>
      <c r="B5302" s="19"/>
    </row>
    <row r="5303" spans="1:2" x14ac:dyDescent="0.2">
      <c r="A5303" s="19"/>
      <c r="B5303" s="19"/>
    </row>
    <row r="5304" spans="1:2" x14ac:dyDescent="0.2">
      <c r="A5304" s="19"/>
      <c r="B5304" s="19"/>
    </row>
    <row r="5305" spans="1:2" x14ac:dyDescent="0.2">
      <c r="A5305" s="19"/>
      <c r="B5305" s="19"/>
    </row>
    <row r="5306" spans="1:2" x14ac:dyDescent="0.2">
      <c r="A5306" s="19"/>
      <c r="B5306" s="19"/>
    </row>
    <row r="5307" spans="1:2" x14ac:dyDescent="0.2">
      <c r="A5307" s="19"/>
      <c r="B5307" s="19"/>
    </row>
    <row r="5308" spans="1:2" x14ac:dyDescent="0.2">
      <c r="A5308" s="19"/>
      <c r="B5308" s="19"/>
    </row>
    <row r="5309" spans="1:2" x14ac:dyDescent="0.2">
      <c r="A5309" s="19"/>
      <c r="B5309" s="19"/>
    </row>
    <row r="5310" spans="1:2" x14ac:dyDescent="0.2">
      <c r="A5310" s="19"/>
      <c r="B5310" s="19"/>
    </row>
    <row r="5311" spans="1:2" x14ac:dyDescent="0.2">
      <c r="A5311" s="19"/>
      <c r="B5311" s="19"/>
    </row>
    <row r="5312" spans="1:2" x14ac:dyDescent="0.2">
      <c r="A5312" s="19"/>
      <c r="B5312" s="19"/>
    </row>
    <row r="5313" spans="1:2" x14ac:dyDescent="0.2">
      <c r="A5313" s="19"/>
      <c r="B5313" s="19"/>
    </row>
    <row r="5314" spans="1:2" x14ac:dyDescent="0.2">
      <c r="A5314" s="19"/>
      <c r="B5314" s="19"/>
    </row>
    <row r="5315" spans="1:2" x14ac:dyDescent="0.2">
      <c r="A5315" s="19"/>
      <c r="B5315" s="19"/>
    </row>
    <row r="5316" spans="1:2" x14ac:dyDescent="0.2">
      <c r="A5316" s="19"/>
      <c r="B5316" s="19"/>
    </row>
    <row r="5317" spans="1:2" x14ac:dyDescent="0.2">
      <c r="A5317" s="19"/>
      <c r="B5317" s="19"/>
    </row>
    <row r="5318" spans="1:2" x14ac:dyDescent="0.2">
      <c r="A5318" s="19"/>
      <c r="B5318" s="19"/>
    </row>
    <row r="5319" spans="1:2" x14ac:dyDescent="0.2">
      <c r="A5319" s="19"/>
      <c r="B5319" s="19"/>
    </row>
    <row r="5320" spans="1:2" x14ac:dyDescent="0.2">
      <c r="A5320" s="19"/>
      <c r="B5320" s="19"/>
    </row>
    <row r="5321" spans="1:2" x14ac:dyDescent="0.2">
      <c r="A5321" s="19"/>
      <c r="B5321" s="19"/>
    </row>
    <row r="5322" spans="1:2" x14ac:dyDescent="0.2">
      <c r="A5322" s="19"/>
      <c r="B5322" s="19"/>
    </row>
    <row r="5323" spans="1:2" x14ac:dyDescent="0.2">
      <c r="A5323" s="19"/>
      <c r="B5323" s="19"/>
    </row>
    <row r="5324" spans="1:2" x14ac:dyDescent="0.2">
      <c r="A5324" s="19"/>
      <c r="B5324" s="19"/>
    </row>
    <row r="5325" spans="1:2" x14ac:dyDescent="0.2">
      <c r="A5325" s="19"/>
      <c r="B5325" s="19"/>
    </row>
    <row r="5326" spans="1:2" x14ac:dyDescent="0.2">
      <c r="A5326" s="19"/>
      <c r="B5326" s="19"/>
    </row>
    <row r="5327" spans="1:2" x14ac:dyDescent="0.2">
      <c r="A5327" s="19"/>
      <c r="B5327" s="19"/>
    </row>
    <row r="5328" spans="1:2" x14ac:dyDescent="0.2">
      <c r="A5328" s="19"/>
      <c r="B5328" s="19"/>
    </row>
    <row r="5329" spans="1:2" x14ac:dyDescent="0.2">
      <c r="A5329" s="19"/>
      <c r="B5329" s="19"/>
    </row>
    <row r="5330" spans="1:2" x14ac:dyDescent="0.2">
      <c r="A5330" s="19"/>
      <c r="B5330" s="19"/>
    </row>
    <row r="5331" spans="1:2" x14ac:dyDescent="0.2">
      <c r="A5331" s="19"/>
      <c r="B5331" s="19"/>
    </row>
    <row r="5332" spans="1:2" x14ac:dyDescent="0.2">
      <c r="A5332" s="19"/>
      <c r="B5332" s="19"/>
    </row>
    <row r="5333" spans="1:2" x14ac:dyDescent="0.2">
      <c r="A5333" s="19"/>
      <c r="B5333" s="19"/>
    </row>
    <row r="5334" spans="1:2" x14ac:dyDescent="0.2">
      <c r="A5334" s="19"/>
      <c r="B5334" s="19"/>
    </row>
    <row r="5335" spans="1:2" x14ac:dyDescent="0.2">
      <c r="A5335" s="19"/>
      <c r="B5335" s="19"/>
    </row>
    <row r="5336" spans="1:2" x14ac:dyDescent="0.2">
      <c r="A5336" s="19"/>
      <c r="B5336" s="19"/>
    </row>
    <row r="5337" spans="1:2" x14ac:dyDescent="0.2">
      <c r="A5337" s="19"/>
      <c r="B5337" s="19"/>
    </row>
    <row r="5338" spans="1:2" x14ac:dyDescent="0.2">
      <c r="A5338" s="19"/>
      <c r="B5338" s="19"/>
    </row>
    <row r="5339" spans="1:2" x14ac:dyDescent="0.2">
      <c r="A5339" s="19"/>
      <c r="B5339" s="19"/>
    </row>
    <row r="5340" spans="1:2" x14ac:dyDescent="0.2">
      <c r="A5340" s="19"/>
      <c r="B5340" s="19"/>
    </row>
    <row r="5341" spans="1:2" x14ac:dyDescent="0.2">
      <c r="A5341" s="19"/>
      <c r="B5341" s="19"/>
    </row>
    <row r="5342" spans="1:2" x14ac:dyDescent="0.2">
      <c r="A5342" s="19"/>
      <c r="B5342" s="19"/>
    </row>
    <row r="5343" spans="1:2" x14ac:dyDescent="0.2">
      <c r="A5343" s="19"/>
      <c r="B5343" s="19"/>
    </row>
    <row r="5344" spans="1:2" x14ac:dyDescent="0.2">
      <c r="A5344" s="19"/>
      <c r="B5344" s="19"/>
    </row>
    <row r="5345" spans="1:2" x14ac:dyDescent="0.2">
      <c r="A5345" s="19"/>
      <c r="B5345" s="19"/>
    </row>
    <row r="5346" spans="1:2" x14ac:dyDescent="0.2">
      <c r="A5346" s="19"/>
      <c r="B5346" s="19"/>
    </row>
    <row r="5347" spans="1:2" x14ac:dyDescent="0.2">
      <c r="A5347" s="19"/>
      <c r="B5347" s="19"/>
    </row>
    <row r="5348" spans="1:2" x14ac:dyDescent="0.2">
      <c r="A5348" s="19"/>
      <c r="B5348" s="19"/>
    </row>
    <row r="5349" spans="1:2" x14ac:dyDescent="0.2">
      <c r="A5349" s="19"/>
      <c r="B5349" s="19"/>
    </row>
    <row r="5350" spans="1:2" x14ac:dyDescent="0.2">
      <c r="A5350" s="19"/>
      <c r="B5350" s="19"/>
    </row>
    <row r="5351" spans="1:2" x14ac:dyDescent="0.2">
      <c r="A5351" s="19"/>
      <c r="B5351" s="19"/>
    </row>
    <row r="5352" spans="1:2" x14ac:dyDescent="0.2">
      <c r="A5352" s="19"/>
      <c r="B5352" s="19"/>
    </row>
    <row r="5353" spans="1:2" x14ac:dyDescent="0.2">
      <c r="A5353" s="19"/>
      <c r="B5353" s="19"/>
    </row>
    <row r="5354" spans="1:2" x14ac:dyDescent="0.2">
      <c r="A5354" s="19"/>
      <c r="B5354" s="19"/>
    </row>
    <row r="5355" spans="1:2" x14ac:dyDescent="0.2">
      <c r="A5355" s="19"/>
      <c r="B5355" s="19"/>
    </row>
    <row r="5356" spans="1:2" x14ac:dyDescent="0.2">
      <c r="A5356" s="19"/>
      <c r="B5356" s="19"/>
    </row>
    <row r="5357" spans="1:2" x14ac:dyDescent="0.2">
      <c r="A5357" s="19"/>
      <c r="B5357" s="19"/>
    </row>
    <row r="5358" spans="1:2" x14ac:dyDescent="0.2">
      <c r="A5358" s="19"/>
      <c r="B5358" s="19"/>
    </row>
    <row r="5359" spans="1:2" x14ac:dyDescent="0.2">
      <c r="A5359" s="19"/>
      <c r="B5359" s="19"/>
    </row>
    <row r="5360" spans="1:2" x14ac:dyDescent="0.2">
      <c r="A5360" s="19"/>
      <c r="B5360" s="19"/>
    </row>
    <row r="5361" spans="1:2" x14ac:dyDescent="0.2">
      <c r="A5361" s="19"/>
      <c r="B5361" s="19"/>
    </row>
    <row r="5362" spans="1:2" x14ac:dyDescent="0.2">
      <c r="A5362" s="19"/>
      <c r="B5362" s="19"/>
    </row>
    <row r="5363" spans="1:2" x14ac:dyDescent="0.2">
      <c r="A5363" s="19"/>
      <c r="B5363" s="19"/>
    </row>
    <row r="5364" spans="1:2" x14ac:dyDescent="0.2">
      <c r="A5364" s="19"/>
      <c r="B5364" s="19"/>
    </row>
    <row r="5365" spans="1:2" x14ac:dyDescent="0.2">
      <c r="A5365" s="19"/>
      <c r="B5365" s="19"/>
    </row>
    <row r="5366" spans="1:2" x14ac:dyDescent="0.2">
      <c r="A5366" s="19"/>
      <c r="B5366" s="19"/>
    </row>
    <row r="5367" spans="1:2" x14ac:dyDescent="0.2">
      <c r="A5367" s="19"/>
      <c r="B5367" s="19"/>
    </row>
    <row r="5368" spans="1:2" x14ac:dyDescent="0.2">
      <c r="A5368" s="19"/>
      <c r="B5368" s="19"/>
    </row>
    <row r="5369" spans="1:2" x14ac:dyDescent="0.2">
      <c r="A5369" s="19"/>
      <c r="B5369" s="19"/>
    </row>
    <row r="5370" spans="1:2" x14ac:dyDescent="0.2">
      <c r="A5370" s="19"/>
      <c r="B5370" s="19"/>
    </row>
    <row r="5371" spans="1:2" x14ac:dyDescent="0.2">
      <c r="A5371" s="19"/>
      <c r="B5371" s="19"/>
    </row>
    <row r="5372" spans="1:2" x14ac:dyDescent="0.2">
      <c r="A5372" s="19"/>
      <c r="B5372" s="19"/>
    </row>
    <row r="5373" spans="1:2" x14ac:dyDescent="0.2">
      <c r="A5373" s="19"/>
      <c r="B5373" s="19"/>
    </row>
    <row r="5374" spans="1:2" x14ac:dyDescent="0.2">
      <c r="A5374" s="19"/>
      <c r="B5374" s="19"/>
    </row>
    <row r="5375" spans="1:2" x14ac:dyDescent="0.2">
      <c r="A5375" s="19"/>
      <c r="B5375" s="19"/>
    </row>
    <row r="5376" spans="1:2" x14ac:dyDescent="0.2">
      <c r="A5376" s="19"/>
      <c r="B5376" s="19"/>
    </row>
    <row r="5377" spans="1:2" x14ac:dyDescent="0.2">
      <c r="A5377" s="19"/>
      <c r="B5377" s="19"/>
    </row>
    <row r="5378" spans="1:2" x14ac:dyDescent="0.2">
      <c r="A5378" s="19"/>
      <c r="B5378" s="19"/>
    </row>
    <row r="5379" spans="1:2" x14ac:dyDescent="0.2">
      <c r="A5379" s="19"/>
      <c r="B5379" s="19"/>
    </row>
    <row r="5380" spans="1:2" x14ac:dyDescent="0.2">
      <c r="A5380" s="19"/>
      <c r="B5380" s="19"/>
    </row>
    <row r="5381" spans="1:2" x14ac:dyDescent="0.2">
      <c r="A5381" s="19"/>
      <c r="B5381" s="19"/>
    </row>
    <row r="5382" spans="1:2" x14ac:dyDescent="0.2">
      <c r="A5382" s="19"/>
      <c r="B5382" s="19"/>
    </row>
    <row r="5383" spans="1:2" x14ac:dyDescent="0.2">
      <c r="A5383" s="19"/>
      <c r="B5383" s="19"/>
    </row>
    <row r="5384" spans="1:2" x14ac:dyDescent="0.2">
      <c r="A5384" s="19"/>
      <c r="B5384" s="19"/>
    </row>
    <row r="5385" spans="1:2" x14ac:dyDescent="0.2">
      <c r="A5385" s="19"/>
      <c r="B5385" s="19"/>
    </row>
    <row r="5386" spans="1:2" x14ac:dyDescent="0.2">
      <c r="A5386" s="19"/>
      <c r="B5386" s="19"/>
    </row>
    <row r="5387" spans="1:2" x14ac:dyDescent="0.2">
      <c r="A5387" s="19"/>
      <c r="B5387" s="19"/>
    </row>
    <row r="5388" spans="1:2" x14ac:dyDescent="0.2">
      <c r="A5388" s="19"/>
      <c r="B5388" s="19"/>
    </row>
    <row r="5389" spans="1:2" x14ac:dyDescent="0.2">
      <c r="A5389" s="19"/>
      <c r="B5389" s="19"/>
    </row>
    <row r="5390" spans="1:2" x14ac:dyDescent="0.2">
      <c r="A5390" s="19"/>
      <c r="B5390" s="19"/>
    </row>
    <row r="5391" spans="1:2" x14ac:dyDescent="0.2">
      <c r="A5391" s="19"/>
      <c r="B5391" s="19"/>
    </row>
    <row r="5392" spans="1:2" x14ac:dyDescent="0.2">
      <c r="A5392" s="19"/>
      <c r="B5392" s="19"/>
    </row>
    <row r="5393" spans="1:2" x14ac:dyDescent="0.2">
      <c r="A5393" s="19"/>
      <c r="B5393" s="19"/>
    </row>
    <row r="5394" spans="1:2" x14ac:dyDescent="0.2">
      <c r="A5394" s="19"/>
      <c r="B5394" s="19"/>
    </row>
    <row r="5395" spans="1:2" x14ac:dyDescent="0.2">
      <c r="A5395" s="19"/>
      <c r="B5395" s="19"/>
    </row>
    <row r="5396" spans="1:2" x14ac:dyDescent="0.2">
      <c r="A5396" s="19"/>
      <c r="B5396" s="19"/>
    </row>
    <row r="5397" spans="1:2" x14ac:dyDescent="0.2">
      <c r="A5397" s="19"/>
      <c r="B5397" s="19"/>
    </row>
    <row r="5398" spans="1:2" x14ac:dyDescent="0.2">
      <c r="A5398" s="19"/>
      <c r="B5398" s="19"/>
    </row>
    <row r="5399" spans="1:2" x14ac:dyDescent="0.2">
      <c r="A5399" s="19"/>
      <c r="B5399" s="19"/>
    </row>
    <row r="5400" spans="1:2" x14ac:dyDescent="0.2">
      <c r="A5400" s="19"/>
      <c r="B5400" s="19"/>
    </row>
    <row r="5401" spans="1:2" x14ac:dyDescent="0.2">
      <c r="A5401" s="19"/>
      <c r="B5401" s="19"/>
    </row>
    <row r="5402" spans="1:2" x14ac:dyDescent="0.2">
      <c r="A5402" s="19"/>
      <c r="B5402" s="19"/>
    </row>
    <row r="5403" spans="1:2" x14ac:dyDescent="0.2">
      <c r="A5403" s="19"/>
      <c r="B5403" s="19"/>
    </row>
    <row r="5404" spans="1:2" x14ac:dyDescent="0.2">
      <c r="A5404" s="19"/>
      <c r="B5404" s="19"/>
    </row>
    <row r="5405" spans="1:2" x14ac:dyDescent="0.2">
      <c r="A5405" s="19"/>
      <c r="B5405" s="19"/>
    </row>
    <row r="5406" spans="1:2" x14ac:dyDescent="0.2">
      <c r="A5406" s="19"/>
      <c r="B5406" s="19"/>
    </row>
    <row r="5407" spans="1:2" x14ac:dyDescent="0.2">
      <c r="A5407" s="19"/>
      <c r="B5407" s="19"/>
    </row>
    <row r="5408" spans="1:2" x14ac:dyDescent="0.2">
      <c r="A5408" s="19"/>
      <c r="B5408" s="19"/>
    </row>
    <row r="5409" spans="1:2" x14ac:dyDescent="0.2">
      <c r="A5409" s="19"/>
      <c r="B5409" s="19"/>
    </row>
    <row r="5410" spans="1:2" x14ac:dyDescent="0.2">
      <c r="A5410" s="19"/>
      <c r="B5410" s="19"/>
    </row>
    <row r="5411" spans="1:2" x14ac:dyDescent="0.2">
      <c r="A5411" s="19"/>
      <c r="B5411" s="19"/>
    </row>
    <row r="5412" spans="1:2" x14ac:dyDescent="0.2">
      <c r="A5412" s="19"/>
      <c r="B5412" s="19"/>
    </row>
    <row r="5413" spans="1:2" x14ac:dyDescent="0.2">
      <c r="A5413" s="19"/>
      <c r="B5413" s="19"/>
    </row>
    <row r="5414" spans="1:2" x14ac:dyDescent="0.2">
      <c r="A5414" s="19"/>
      <c r="B5414" s="19"/>
    </row>
    <row r="5415" spans="1:2" x14ac:dyDescent="0.2">
      <c r="A5415" s="19"/>
      <c r="B5415" s="19"/>
    </row>
    <row r="5416" spans="1:2" x14ac:dyDescent="0.2">
      <c r="A5416" s="19"/>
      <c r="B5416" s="19"/>
    </row>
    <row r="5417" spans="1:2" x14ac:dyDescent="0.2">
      <c r="A5417" s="19"/>
      <c r="B5417" s="19"/>
    </row>
    <row r="5418" spans="1:2" x14ac:dyDescent="0.2">
      <c r="A5418" s="19"/>
      <c r="B5418" s="19"/>
    </row>
    <row r="5419" spans="1:2" x14ac:dyDescent="0.2">
      <c r="A5419" s="19"/>
      <c r="B5419" s="19"/>
    </row>
    <row r="5420" spans="1:2" x14ac:dyDescent="0.2">
      <c r="A5420" s="19"/>
      <c r="B5420" s="19"/>
    </row>
    <row r="5421" spans="1:2" x14ac:dyDescent="0.2">
      <c r="A5421" s="19"/>
      <c r="B5421" s="19"/>
    </row>
    <row r="5422" spans="1:2" x14ac:dyDescent="0.2">
      <c r="A5422" s="19"/>
      <c r="B5422" s="19"/>
    </row>
    <row r="5423" spans="1:2" x14ac:dyDescent="0.2">
      <c r="A5423" s="19"/>
      <c r="B5423" s="19"/>
    </row>
    <row r="5424" spans="1:2" x14ac:dyDescent="0.2">
      <c r="A5424" s="19"/>
      <c r="B5424" s="19"/>
    </row>
    <row r="5425" spans="1:2" x14ac:dyDescent="0.2">
      <c r="A5425" s="19"/>
      <c r="B5425" s="19"/>
    </row>
    <row r="5426" spans="1:2" x14ac:dyDescent="0.2">
      <c r="A5426" s="19"/>
      <c r="B5426" s="19"/>
    </row>
    <row r="5427" spans="1:2" x14ac:dyDescent="0.2">
      <c r="A5427" s="19"/>
      <c r="B5427" s="19"/>
    </row>
    <row r="5428" spans="1:2" x14ac:dyDescent="0.2">
      <c r="A5428" s="19"/>
      <c r="B5428" s="19"/>
    </row>
    <row r="5429" spans="1:2" x14ac:dyDescent="0.2">
      <c r="A5429" s="19"/>
      <c r="B5429" s="19"/>
    </row>
    <row r="5430" spans="1:2" x14ac:dyDescent="0.2">
      <c r="A5430" s="19"/>
      <c r="B5430" s="19"/>
    </row>
    <row r="5431" spans="1:2" x14ac:dyDescent="0.2">
      <c r="A5431" s="19"/>
      <c r="B5431" s="19"/>
    </row>
    <row r="5432" spans="1:2" x14ac:dyDescent="0.2">
      <c r="A5432" s="19"/>
      <c r="B5432" s="19"/>
    </row>
    <row r="5433" spans="1:2" x14ac:dyDescent="0.2">
      <c r="A5433" s="19"/>
      <c r="B5433" s="19"/>
    </row>
    <row r="5434" spans="1:2" x14ac:dyDescent="0.2">
      <c r="A5434" s="19"/>
      <c r="B5434" s="19"/>
    </row>
    <row r="5435" spans="1:2" x14ac:dyDescent="0.2">
      <c r="A5435" s="19"/>
      <c r="B5435" s="19"/>
    </row>
    <row r="5436" spans="1:2" x14ac:dyDescent="0.2">
      <c r="A5436" s="19"/>
      <c r="B5436" s="19"/>
    </row>
    <row r="5437" spans="1:2" x14ac:dyDescent="0.2">
      <c r="A5437" s="19"/>
      <c r="B5437" s="19"/>
    </row>
    <row r="5438" spans="1:2" x14ac:dyDescent="0.2">
      <c r="A5438" s="19"/>
      <c r="B5438" s="19"/>
    </row>
    <row r="5439" spans="1:2" x14ac:dyDescent="0.2">
      <c r="A5439" s="19"/>
      <c r="B5439" s="19"/>
    </row>
    <row r="5440" spans="1:2" x14ac:dyDescent="0.2">
      <c r="A5440" s="19"/>
      <c r="B5440" s="19"/>
    </row>
    <row r="5441" spans="1:2" x14ac:dyDescent="0.2">
      <c r="A5441" s="19"/>
      <c r="B5441" s="19"/>
    </row>
    <row r="5442" spans="1:2" x14ac:dyDescent="0.2">
      <c r="A5442" s="19"/>
      <c r="B5442" s="19"/>
    </row>
    <row r="5443" spans="1:2" x14ac:dyDescent="0.2">
      <c r="A5443" s="19"/>
      <c r="B5443" s="19"/>
    </row>
    <row r="5444" spans="1:2" x14ac:dyDescent="0.2">
      <c r="A5444" s="19"/>
      <c r="B5444" s="19"/>
    </row>
    <row r="5445" spans="1:2" x14ac:dyDescent="0.2">
      <c r="A5445" s="19"/>
      <c r="B5445" s="19"/>
    </row>
    <row r="5446" spans="1:2" x14ac:dyDescent="0.2">
      <c r="A5446" s="19"/>
      <c r="B5446" s="19"/>
    </row>
    <row r="5447" spans="1:2" x14ac:dyDescent="0.2">
      <c r="A5447" s="19"/>
      <c r="B5447" s="19"/>
    </row>
    <row r="5448" spans="1:2" x14ac:dyDescent="0.2">
      <c r="A5448" s="19"/>
      <c r="B5448" s="19"/>
    </row>
    <row r="5449" spans="1:2" x14ac:dyDescent="0.2">
      <c r="A5449" s="19"/>
      <c r="B5449" s="19"/>
    </row>
    <row r="5450" spans="1:2" x14ac:dyDescent="0.2">
      <c r="A5450" s="19"/>
      <c r="B5450" s="19"/>
    </row>
    <row r="5451" spans="1:2" x14ac:dyDescent="0.2">
      <c r="A5451" s="19"/>
      <c r="B5451" s="19"/>
    </row>
    <row r="5452" spans="1:2" x14ac:dyDescent="0.2">
      <c r="A5452" s="19"/>
      <c r="B5452" s="19"/>
    </row>
    <row r="5453" spans="1:2" x14ac:dyDescent="0.2">
      <c r="A5453" s="19"/>
      <c r="B5453" s="19"/>
    </row>
    <row r="5454" spans="1:2" x14ac:dyDescent="0.2">
      <c r="A5454" s="19"/>
      <c r="B5454" s="19"/>
    </row>
    <row r="5455" spans="1:2" x14ac:dyDescent="0.2">
      <c r="A5455" s="19"/>
      <c r="B5455" s="19"/>
    </row>
    <row r="5456" spans="1:2" x14ac:dyDescent="0.2">
      <c r="A5456" s="19"/>
      <c r="B5456" s="19"/>
    </row>
    <row r="5457" spans="1:2" x14ac:dyDescent="0.2">
      <c r="A5457" s="19"/>
      <c r="B5457" s="19"/>
    </row>
    <row r="5458" spans="1:2" x14ac:dyDescent="0.2">
      <c r="A5458" s="19"/>
      <c r="B5458" s="19"/>
    </row>
    <row r="5459" spans="1:2" x14ac:dyDescent="0.2">
      <c r="A5459" s="19"/>
      <c r="B5459" s="19"/>
    </row>
    <row r="5460" spans="1:2" x14ac:dyDescent="0.2">
      <c r="A5460" s="19"/>
      <c r="B5460" s="19"/>
    </row>
    <row r="5461" spans="1:2" x14ac:dyDescent="0.2">
      <c r="A5461" s="19"/>
      <c r="B5461" s="19"/>
    </row>
    <row r="5462" spans="1:2" x14ac:dyDescent="0.2">
      <c r="A5462" s="19"/>
      <c r="B5462" s="19"/>
    </row>
    <row r="5463" spans="1:2" x14ac:dyDescent="0.2">
      <c r="A5463" s="19"/>
      <c r="B5463" s="19"/>
    </row>
    <row r="5464" spans="1:2" x14ac:dyDescent="0.2">
      <c r="A5464" s="19"/>
      <c r="B5464" s="19"/>
    </row>
    <row r="5465" spans="1:2" x14ac:dyDescent="0.2">
      <c r="A5465" s="19"/>
      <c r="B5465" s="19"/>
    </row>
    <row r="5466" spans="1:2" x14ac:dyDescent="0.2">
      <c r="A5466" s="19"/>
      <c r="B5466" s="19"/>
    </row>
    <row r="5467" spans="1:2" x14ac:dyDescent="0.2">
      <c r="A5467" s="19"/>
      <c r="B5467" s="19"/>
    </row>
    <row r="5468" spans="1:2" x14ac:dyDescent="0.2">
      <c r="A5468" s="19"/>
      <c r="B5468" s="19"/>
    </row>
    <row r="5469" spans="1:2" x14ac:dyDescent="0.2">
      <c r="A5469" s="19"/>
      <c r="B5469" s="19"/>
    </row>
    <row r="5470" spans="1:2" x14ac:dyDescent="0.2">
      <c r="A5470" s="19"/>
      <c r="B5470" s="19"/>
    </row>
    <row r="5471" spans="1:2" x14ac:dyDescent="0.2">
      <c r="A5471" s="19"/>
      <c r="B5471" s="19"/>
    </row>
    <row r="5472" spans="1:2" x14ac:dyDescent="0.2">
      <c r="A5472" s="19"/>
      <c r="B5472" s="19"/>
    </row>
    <row r="5473" spans="1:2" x14ac:dyDescent="0.2">
      <c r="A5473" s="19"/>
      <c r="B5473" s="19"/>
    </row>
    <row r="5474" spans="1:2" x14ac:dyDescent="0.2">
      <c r="A5474" s="19"/>
      <c r="B5474" s="19"/>
    </row>
    <row r="5475" spans="1:2" x14ac:dyDescent="0.2">
      <c r="A5475" s="19"/>
      <c r="B5475" s="19"/>
    </row>
    <row r="5476" spans="1:2" x14ac:dyDescent="0.2">
      <c r="A5476" s="19"/>
      <c r="B5476" s="19"/>
    </row>
    <row r="5477" spans="1:2" x14ac:dyDescent="0.2">
      <c r="A5477" s="19"/>
      <c r="B5477" s="19"/>
    </row>
    <row r="5478" spans="1:2" x14ac:dyDescent="0.2">
      <c r="A5478" s="19"/>
      <c r="B5478" s="19"/>
    </row>
    <row r="5479" spans="1:2" x14ac:dyDescent="0.2">
      <c r="A5479" s="19"/>
      <c r="B5479" s="19"/>
    </row>
    <row r="5480" spans="1:2" x14ac:dyDescent="0.2">
      <c r="A5480" s="19"/>
      <c r="B5480" s="19"/>
    </row>
    <row r="5481" spans="1:2" x14ac:dyDescent="0.2">
      <c r="A5481" s="19"/>
      <c r="B5481" s="19"/>
    </row>
    <row r="5482" spans="1:2" x14ac:dyDescent="0.2">
      <c r="A5482" s="19"/>
      <c r="B5482" s="19"/>
    </row>
    <row r="5483" spans="1:2" x14ac:dyDescent="0.2">
      <c r="A5483" s="19"/>
      <c r="B5483" s="19"/>
    </row>
    <row r="5484" spans="1:2" x14ac:dyDescent="0.2">
      <c r="A5484" s="19"/>
      <c r="B5484" s="19"/>
    </row>
    <row r="5485" spans="1:2" x14ac:dyDescent="0.2">
      <c r="A5485" s="19"/>
      <c r="B5485" s="19"/>
    </row>
    <row r="5486" spans="1:2" x14ac:dyDescent="0.2">
      <c r="A5486" s="19"/>
      <c r="B5486" s="19"/>
    </row>
    <row r="5487" spans="1:2" x14ac:dyDescent="0.2">
      <c r="A5487" s="19"/>
      <c r="B5487" s="19"/>
    </row>
    <row r="5488" spans="1:2" x14ac:dyDescent="0.2">
      <c r="A5488" s="19"/>
      <c r="B5488" s="19"/>
    </row>
    <row r="5489" spans="1:2" x14ac:dyDescent="0.2">
      <c r="A5489" s="19"/>
      <c r="B5489" s="19"/>
    </row>
    <row r="5490" spans="1:2" x14ac:dyDescent="0.2">
      <c r="A5490" s="19"/>
      <c r="B5490" s="19"/>
    </row>
    <row r="5491" spans="1:2" x14ac:dyDescent="0.2">
      <c r="A5491" s="19"/>
      <c r="B5491" s="19"/>
    </row>
    <row r="5492" spans="1:2" x14ac:dyDescent="0.2">
      <c r="A5492" s="19"/>
      <c r="B5492" s="19"/>
    </row>
    <row r="5493" spans="1:2" x14ac:dyDescent="0.2">
      <c r="A5493" s="19"/>
      <c r="B5493" s="19"/>
    </row>
    <row r="5494" spans="1:2" x14ac:dyDescent="0.2">
      <c r="A5494" s="19"/>
      <c r="B5494" s="19"/>
    </row>
    <row r="5495" spans="1:2" x14ac:dyDescent="0.2">
      <c r="A5495" s="19"/>
      <c r="B5495" s="19"/>
    </row>
    <row r="5496" spans="1:2" x14ac:dyDescent="0.2">
      <c r="A5496" s="19"/>
      <c r="B5496" s="19"/>
    </row>
    <row r="5497" spans="1:2" x14ac:dyDescent="0.2">
      <c r="A5497" s="19"/>
      <c r="B5497" s="19"/>
    </row>
    <row r="5498" spans="1:2" x14ac:dyDescent="0.2">
      <c r="A5498" s="19"/>
      <c r="B5498" s="19"/>
    </row>
    <row r="5499" spans="1:2" x14ac:dyDescent="0.2">
      <c r="A5499" s="19"/>
      <c r="B5499" s="19"/>
    </row>
    <row r="5500" spans="1:2" x14ac:dyDescent="0.2">
      <c r="A5500" s="19"/>
      <c r="B5500" s="19"/>
    </row>
    <row r="5501" spans="1:2" x14ac:dyDescent="0.2">
      <c r="A5501" s="19"/>
      <c r="B5501" s="19"/>
    </row>
    <row r="5502" spans="1:2" x14ac:dyDescent="0.2">
      <c r="A5502" s="19"/>
      <c r="B5502" s="19"/>
    </row>
    <row r="5503" spans="1:2" x14ac:dyDescent="0.2">
      <c r="A5503" s="19"/>
      <c r="B5503" s="19"/>
    </row>
    <row r="5504" spans="1:2" x14ac:dyDescent="0.2">
      <c r="A5504" s="19"/>
      <c r="B5504" s="19"/>
    </row>
    <row r="5505" spans="1:2" x14ac:dyDescent="0.2">
      <c r="A5505" s="19"/>
      <c r="B5505" s="19"/>
    </row>
    <row r="5506" spans="1:2" x14ac:dyDescent="0.2">
      <c r="A5506" s="19"/>
      <c r="B5506" s="19"/>
    </row>
    <row r="5507" spans="1:2" x14ac:dyDescent="0.2">
      <c r="A5507" s="19"/>
      <c r="B5507" s="19"/>
    </row>
    <row r="5508" spans="1:2" x14ac:dyDescent="0.2">
      <c r="A5508" s="19"/>
      <c r="B5508" s="19"/>
    </row>
    <row r="5509" spans="1:2" x14ac:dyDescent="0.2">
      <c r="A5509" s="19"/>
      <c r="B5509" s="19"/>
    </row>
    <row r="5510" spans="1:2" x14ac:dyDescent="0.2">
      <c r="A5510" s="19"/>
      <c r="B5510" s="19"/>
    </row>
    <row r="5511" spans="1:2" x14ac:dyDescent="0.2">
      <c r="A5511" s="19"/>
      <c r="B5511" s="19"/>
    </row>
    <row r="5512" spans="1:2" x14ac:dyDescent="0.2">
      <c r="A5512" s="19"/>
      <c r="B5512" s="19"/>
    </row>
    <row r="5513" spans="1:2" x14ac:dyDescent="0.2">
      <c r="A5513" s="19"/>
      <c r="B5513" s="19"/>
    </row>
    <row r="5514" spans="1:2" x14ac:dyDescent="0.2">
      <c r="A5514" s="19"/>
      <c r="B5514" s="19"/>
    </row>
    <row r="5515" spans="1:2" x14ac:dyDescent="0.2">
      <c r="A5515" s="19"/>
      <c r="B5515" s="19"/>
    </row>
    <row r="5516" spans="1:2" x14ac:dyDescent="0.2">
      <c r="A5516" s="19"/>
      <c r="B5516" s="19"/>
    </row>
    <row r="5517" spans="1:2" x14ac:dyDescent="0.2">
      <c r="A5517" s="19"/>
      <c r="B5517" s="19"/>
    </row>
    <row r="5518" spans="1:2" x14ac:dyDescent="0.2">
      <c r="A5518" s="19"/>
      <c r="B5518" s="19"/>
    </row>
    <row r="5519" spans="1:2" x14ac:dyDescent="0.2">
      <c r="A5519" s="19"/>
      <c r="B5519" s="19"/>
    </row>
    <row r="5520" spans="1:2" x14ac:dyDescent="0.2">
      <c r="A5520" s="19"/>
      <c r="B5520" s="19"/>
    </row>
    <row r="5521" spans="1:2" x14ac:dyDescent="0.2">
      <c r="A5521" s="19"/>
      <c r="B5521" s="19"/>
    </row>
    <row r="5522" spans="1:2" x14ac:dyDescent="0.2">
      <c r="A5522" s="19"/>
      <c r="B5522" s="19"/>
    </row>
    <row r="5523" spans="1:2" x14ac:dyDescent="0.2">
      <c r="A5523" s="19"/>
      <c r="B5523" s="19"/>
    </row>
    <row r="5524" spans="1:2" x14ac:dyDescent="0.2">
      <c r="A5524" s="19"/>
      <c r="B5524" s="19"/>
    </row>
    <row r="5525" spans="1:2" x14ac:dyDescent="0.2">
      <c r="A5525" s="19"/>
      <c r="B5525" s="19"/>
    </row>
    <row r="5526" spans="1:2" x14ac:dyDescent="0.2">
      <c r="A5526" s="19"/>
      <c r="B5526" s="19"/>
    </row>
    <row r="5527" spans="1:2" x14ac:dyDescent="0.2">
      <c r="A5527" s="19"/>
      <c r="B5527" s="19"/>
    </row>
    <row r="5528" spans="1:2" x14ac:dyDescent="0.2">
      <c r="A5528" s="19"/>
      <c r="B5528" s="19"/>
    </row>
    <row r="5529" spans="1:2" x14ac:dyDescent="0.2">
      <c r="A5529" s="19"/>
      <c r="B5529" s="19"/>
    </row>
    <row r="5530" spans="1:2" x14ac:dyDescent="0.2">
      <c r="A5530" s="19"/>
      <c r="B5530" s="19"/>
    </row>
    <row r="5531" spans="1:2" x14ac:dyDescent="0.2">
      <c r="A5531" s="19"/>
      <c r="B5531" s="19"/>
    </row>
    <row r="5532" spans="1:2" x14ac:dyDescent="0.2">
      <c r="A5532" s="19"/>
      <c r="B5532" s="19"/>
    </row>
    <row r="5533" spans="1:2" x14ac:dyDescent="0.2">
      <c r="A5533" s="19"/>
      <c r="B5533" s="19"/>
    </row>
    <row r="5534" spans="1:2" x14ac:dyDescent="0.2">
      <c r="A5534" s="19"/>
      <c r="B5534" s="19"/>
    </row>
    <row r="5535" spans="1:2" x14ac:dyDescent="0.2">
      <c r="A5535" s="19"/>
      <c r="B5535" s="19"/>
    </row>
    <row r="5536" spans="1:2" x14ac:dyDescent="0.2">
      <c r="A5536" s="19"/>
      <c r="B5536" s="19"/>
    </row>
    <row r="5537" spans="1:2" x14ac:dyDescent="0.2">
      <c r="A5537" s="19"/>
      <c r="B5537" s="19"/>
    </row>
    <row r="5538" spans="1:2" x14ac:dyDescent="0.2">
      <c r="A5538" s="19"/>
      <c r="B5538" s="19"/>
    </row>
    <row r="5539" spans="1:2" x14ac:dyDescent="0.2">
      <c r="A5539" s="19"/>
      <c r="B5539" s="19"/>
    </row>
    <row r="5540" spans="1:2" x14ac:dyDescent="0.2">
      <c r="A5540" s="19"/>
      <c r="B5540" s="19"/>
    </row>
    <row r="5541" spans="1:2" x14ac:dyDescent="0.2">
      <c r="A5541" s="19"/>
      <c r="B5541" s="19"/>
    </row>
    <row r="5542" spans="1:2" x14ac:dyDescent="0.2">
      <c r="A5542" s="19"/>
      <c r="B5542" s="19"/>
    </row>
    <row r="5543" spans="1:2" x14ac:dyDescent="0.2">
      <c r="A5543" s="19"/>
      <c r="B5543" s="19"/>
    </row>
    <row r="5544" spans="1:2" x14ac:dyDescent="0.2">
      <c r="A5544" s="19"/>
      <c r="B5544" s="19"/>
    </row>
    <row r="5545" spans="1:2" x14ac:dyDescent="0.2">
      <c r="A5545" s="19"/>
      <c r="B5545" s="19"/>
    </row>
    <row r="5546" spans="1:2" x14ac:dyDescent="0.2">
      <c r="A5546" s="19"/>
      <c r="B5546" s="19"/>
    </row>
    <row r="5547" spans="1:2" x14ac:dyDescent="0.2">
      <c r="A5547" s="19"/>
      <c r="B5547" s="19"/>
    </row>
    <row r="5548" spans="1:2" x14ac:dyDescent="0.2">
      <c r="A5548" s="19"/>
      <c r="B5548" s="19"/>
    </row>
    <row r="5549" spans="1:2" x14ac:dyDescent="0.2">
      <c r="A5549" s="19"/>
      <c r="B5549" s="19"/>
    </row>
    <row r="5550" spans="1:2" x14ac:dyDescent="0.2">
      <c r="A5550" s="19"/>
      <c r="B5550" s="19"/>
    </row>
    <row r="5551" spans="1:2" x14ac:dyDescent="0.2">
      <c r="A5551" s="19"/>
      <c r="B5551" s="19"/>
    </row>
    <row r="5552" spans="1:2" x14ac:dyDescent="0.2">
      <c r="A5552" s="19"/>
      <c r="B5552" s="19"/>
    </row>
    <row r="5553" spans="1:2" x14ac:dyDescent="0.2">
      <c r="A5553" s="19"/>
      <c r="B5553" s="19"/>
    </row>
    <row r="5554" spans="1:2" x14ac:dyDescent="0.2">
      <c r="A5554" s="19"/>
      <c r="B5554" s="19"/>
    </row>
    <row r="5555" spans="1:2" x14ac:dyDescent="0.2">
      <c r="A5555" s="19"/>
      <c r="B5555" s="19"/>
    </row>
    <row r="5556" spans="1:2" x14ac:dyDescent="0.2">
      <c r="A5556" s="19"/>
      <c r="B5556" s="19"/>
    </row>
    <row r="5557" spans="1:2" x14ac:dyDescent="0.2">
      <c r="A5557" s="19"/>
      <c r="B5557" s="19"/>
    </row>
    <row r="5558" spans="1:2" x14ac:dyDescent="0.2">
      <c r="A5558" s="19"/>
      <c r="B5558" s="19"/>
    </row>
    <row r="5559" spans="1:2" x14ac:dyDescent="0.2">
      <c r="A5559" s="19"/>
      <c r="B5559" s="19"/>
    </row>
    <row r="5560" spans="1:2" x14ac:dyDescent="0.2">
      <c r="A5560" s="19"/>
      <c r="B5560" s="19"/>
    </row>
    <row r="5561" spans="1:2" x14ac:dyDescent="0.2">
      <c r="A5561" s="19"/>
      <c r="B5561" s="19"/>
    </row>
    <row r="5562" spans="1:2" x14ac:dyDescent="0.2">
      <c r="A5562" s="19"/>
      <c r="B5562" s="19"/>
    </row>
    <row r="5563" spans="1:2" x14ac:dyDescent="0.2">
      <c r="A5563" s="19"/>
      <c r="B5563" s="19"/>
    </row>
    <row r="5564" spans="1:2" x14ac:dyDescent="0.2">
      <c r="A5564" s="19"/>
      <c r="B5564" s="19"/>
    </row>
    <row r="5565" spans="1:2" x14ac:dyDescent="0.2">
      <c r="A5565" s="19"/>
      <c r="B5565" s="19"/>
    </row>
    <row r="5566" spans="1:2" x14ac:dyDescent="0.2">
      <c r="A5566" s="19"/>
      <c r="B5566" s="19"/>
    </row>
    <row r="5567" spans="1:2" x14ac:dyDescent="0.2">
      <c r="A5567" s="19"/>
      <c r="B5567" s="19"/>
    </row>
    <row r="5568" spans="1:2" x14ac:dyDescent="0.2">
      <c r="A5568" s="19"/>
      <c r="B5568" s="19"/>
    </row>
    <row r="5569" spans="1:2" x14ac:dyDescent="0.2">
      <c r="A5569" s="19"/>
      <c r="B5569" s="19"/>
    </row>
    <row r="5570" spans="1:2" x14ac:dyDescent="0.2">
      <c r="A5570" s="19"/>
      <c r="B5570" s="19"/>
    </row>
    <row r="5571" spans="1:2" x14ac:dyDescent="0.2">
      <c r="A5571" s="19"/>
      <c r="B5571" s="19"/>
    </row>
    <row r="5572" spans="1:2" x14ac:dyDescent="0.2">
      <c r="A5572" s="19"/>
      <c r="B5572" s="19"/>
    </row>
    <row r="5573" spans="1:2" x14ac:dyDescent="0.2">
      <c r="A5573" s="19"/>
      <c r="B5573" s="19"/>
    </row>
    <row r="5574" spans="1:2" x14ac:dyDescent="0.2">
      <c r="A5574" s="19"/>
      <c r="B5574" s="19"/>
    </row>
    <row r="5575" spans="1:2" x14ac:dyDescent="0.2">
      <c r="A5575" s="19"/>
      <c r="B5575" s="19"/>
    </row>
    <row r="5576" spans="1:2" x14ac:dyDescent="0.2">
      <c r="A5576" s="19"/>
      <c r="B5576" s="19"/>
    </row>
    <row r="5577" spans="1:2" x14ac:dyDescent="0.2">
      <c r="A5577" s="19"/>
      <c r="B5577" s="19"/>
    </row>
    <row r="5578" spans="1:2" x14ac:dyDescent="0.2">
      <c r="A5578" s="19"/>
      <c r="B5578" s="19"/>
    </row>
    <row r="5579" spans="1:2" x14ac:dyDescent="0.2">
      <c r="A5579" s="19"/>
      <c r="B5579" s="19"/>
    </row>
    <row r="5580" spans="1:2" x14ac:dyDescent="0.2">
      <c r="A5580" s="19"/>
      <c r="B5580" s="19"/>
    </row>
    <row r="5581" spans="1:2" x14ac:dyDescent="0.2">
      <c r="A5581" s="19"/>
      <c r="B5581" s="19"/>
    </row>
    <row r="5582" spans="1:2" x14ac:dyDescent="0.2">
      <c r="A5582" s="19"/>
      <c r="B5582" s="19"/>
    </row>
    <row r="5583" spans="1:2" x14ac:dyDescent="0.2">
      <c r="A5583" s="19"/>
      <c r="B5583" s="19"/>
    </row>
    <row r="5584" spans="1:2" x14ac:dyDescent="0.2">
      <c r="A5584" s="19"/>
      <c r="B5584" s="19"/>
    </row>
    <row r="5585" spans="1:2" x14ac:dyDescent="0.2">
      <c r="A5585" s="19"/>
      <c r="B5585" s="19"/>
    </row>
  </sheetData>
  <conditionalFormatting sqref="D2:E3382">
    <cfRule type="cellIs" dxfId="1" priority="1" operator="greaterThan">
      <formula>0</formula>
    </cfRule>
    <cfRule type="cellIs" dxfId="0" priority="2"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Studivan</dc:creator>
  <cp:lastModifiedBy>Michael Studivan</cp:lastModifiedBy>
  <dcterms:created xsi:type="dcterms:W3CDTF">2026-04-03T19:16:54Z</dcterms:created>
  <dcterms:modified xsi:type="dcterms:W3CDTF">2026-04-03T19:17:14Z</dcterms:modified>
</cp:coreProperties>
</file>